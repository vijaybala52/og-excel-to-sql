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Pawan\Desktop\og\"/>
    </mc:Choice>
  </mc:AlternateContent>
  <xr:revisionPtr revIDLastSave="0" documentId="13_ncr:1_{348579EC-71D2-4473-B9B1-D9D9E59059D4}" xr6:coauthVersionLast="47" xr6:coauthVersionMax="47" xr10:uidLastSave="{00000000-0000-0000-0000-000000000000}"/>
  <bookViews>
    <workbookView xWindow="1440" yWindow="1185" windowWidth="24570" windowHeight="13830" tabRatio="907" xr2:uid="{00000000-000D-0000-FFFF-FFFF00000000}"/>
  </bookViews>
  <sheets>
    <sheet name="Master" sheetId="1" r:id="rId1"/>
    <sheet name="ZARC" sheetId="2" r:id="rId2"/>
    <sheet name="DATA" sheetId="6" r:id="rId3"/>
    <sheet name="Security Req" sheetId="3" r:id="rId4"/>
    <sheet name="Working hours" sheetId="4" r:id="rId5"/>
    <sheet name="Weekly off" sheetId="5" r:id="rId6"/>
  </sheets>
  <definedNames>
    <definedName name="_xlnm._FilterDatabase" localSheetId="0" hidden="1">Master!$A$1:$AA$101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10" i="1"/>
  <c r="L7" i="1"/>
  <c r="L8" i="1"/>
  <c r="L9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2" i="1"/>
</calcChain>
</file>

<file path=xl/sharedStrings.xml><?xml version="1.0" encoding="utf-8"?>
<sst xmlns="http://schemas.openxmlformats.org/spreadsheetml/2006/main" count="2364" uniqueCount="885">
  <si>
    <t>S No</t>
  </si>
  <si>
    <t>Customer Name</t>
  </si>
  <si>
    <t>M/c No</t>
  </si>
  <si>
    <t>Model</t>
  </si>
  <si>
    <t>GSt No.</t>
  </si>
  <si>
    <t>Status</t>
  </si>
  <si>
    <t>Contact Person</t>
  </si>
  <si>
    <t>Designation</t>
  </si>
  <si>
    <t>City</t>
  </si>
  <si>
    <t>Pin</t>
  </si>
  <si>
    <t>State</t>
  </si>
  <si>
    <t>Country</t>
  </si>
  <si>
    <t>Z</t>
  </si>
  <si>
    <t>A</t>
  </si>
  <si>
    <t>R</t>
  </si>
  <si>
    <t>C</t>
  </si>
  <si>
    <t>Security Reqd</t>
  </si>
  <si>
    <t>Weekly Off</t>
  </si>
  <si>
    <t>Sesha Tools Pvt Ltd</t>
  </si>
  <si>
    <t xml:space="preserve">Calibration </t>
  </si>
  <si>
    <t>Proprietor</t>
  </si>
  <si>
    <r>
      <t>080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26686505</t>
    </r>
  </si>
  <si>
    <t>N.S.Palya</t>
  </si>
  <si>
    <r>
      <t>BTM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Stage</t>
    </r>
  </si>
  <si>
    <t>Bangalore</t>
  </si>
  <si>
    <t>KA</t>
  </si>
  <si>
    <t>India</t>
  </si>
  <si>
    <t>BLR</t>
  </si>
  <si>
    <t>Banashankari</t>
  </si>
  <si>
    <r>
      <t>Pro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Innovative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Technologies.</t>
    </r>
  </si>
  <si>
    <t>Expired</t>
  </si>
  <si>
    <r>
      <t>Mr.Dhiren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Shah</t>
    </r>
  </si>
  <si>
    <t>Managing Director</t>
  </si>
  <si>
    <r>
      <t>080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23307067</t>
    </r>
  </si>
  <si>
    <t>Rajajinagar</t>
  </si>
  <si>
    <t>Peenya</t>
  </si>
  <si>
    <t>Die-Tech India pvt Ltd</t>
  </si>
  <si>
    <t>NOTA</t>
  </si>
  <si>
    <t>Mr.Prabhakaran</t>
  </si>
  <si>
    <r>
      <t>044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-22520673</t>
    </r>
  </si>
  <si>
    <r>
      <t>Pillaiyar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Koil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Street</t>
    </r>
  </si>
  <si>
    <r>
      <t>Manapakkam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Vi</t>
    </r>
  </si>
  <si>
    <t>Chennai</t>
  </si>
  <si>
    <t>TN</t>
  </si>
  <si>
    <t>CHN</t>
  </si>
  <si>
    <t>Sriperumbadur</t>
  </si>
  <si>
    <r>
      <t>Elan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Diamond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Tools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</si>
  <si>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t>2015J LX</t>
  </si>
  <si>
    <r>
      <t>Mr.Venkat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Nagaraj</t>
    </r>
  </si>
  <si>
    <r>
      <t>044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-24992910</t>
    </r>
  </si>
  <si>
    <r>
      <t>1st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Floor</t>
    </r>
  </si>
  <si>
    <r>
      <t>East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Adhiramapuram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1st</t>
    </r>
  </si>
  <si>
    <t>Mylapore</t>
  </si>
  <si>
    <r>
      <t>NSTL (Optomech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Engineers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Ltd)</t>
    </r>
  </si>
  <si>
    <t>3.4J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</si>
  <si>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Alok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Garg</t>
    </r>
  </si>
  <si>
    <r>
      <t>040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-23078371</t>
    </r>
  </si>
  <si>
    <r>
      <t>I.E.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Kukatpally</t>
    </r>
  </si>
  <si>
    <t>Hyderabad</t>
  </si>
  <si>
    <t>AP</t>
  </si>
  <si>
    <t>HYD</t>
  </si>
  <si>
    <t>Jeedimetla</t>
  </si>
  <si>
    <r>
      <t>Integra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Automation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</t>
    </r>
  </si>
  <si>
    <t>Mr.Jyothi</t>
  </si>
  <si>
    <r>
      <t>Manager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Produ</t>
    </r>
  </si>
  <si>
    <r>
      <t>044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-26251303</t>
    </r>
  </si>
  <si>
    <r>
      <t>Sidco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Estate</t>
    </r>
  </si>
  <si>
    <t>Ambattur</t>
  </si>
  <si>
    <t>SKF Technologies India Pvt Ltd</t>
  </si>
  <si>
    <t>ACSC</t>
  </si>
  <si>
    <t>Mr.Vadiraja</t>
  </si>
  <si>
    <r>
      <t>Asst.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Mgr.,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QA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</si>
  <si>
    <r>
      <t>080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-25730207</t>
    </r>
  </si>
  <si>
    <r>
      <t>13th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KM,Hosur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</si>
  <si>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t>Bommasandra</t>
  </si>
  <si>
    <r>
      <t>Iscon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Surgicals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</t>
    </r>
  </si>
  <si>
    <t>Mr.N.K.Jain</t>
  </si>
  <si>
    <t>Director</t>
  </si>
  <si>
    <t>0291-2635164</t>
  </si>
  <si>
    <t>Jodhpur</t>
  </si>
  <si>
    <t>RJ</t>
  </si>
  <si>
    <t>NCR</t>
  </si>
  <si>
    <r>
      <t>Vaish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</si>
  <si>
    <r>
      <t>Mr.Ashir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Vaish</t>
    </r>
  </si>
  <si>
    <r>
      <t>011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5438057</t>
    </r>
  </si>
  <si>
    <t>Phase-II</t>
  </si>
  <si>
    <t>New Delhi</t>
  </si>
  <si>
    <t>DL</t>
  </si>
  <si>
    <t>Rachel Engineering</t>
  </si>
  <si>
    <t>Calibration</t>
  </si>
  <si>
    <t>Mr.Manoj</t>
  </si>
  <si>
    <t>080-25734593</t>
  </si>
  <si>
    <r>
      <t>Near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Kalaniketan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School</t>
    </r>
  </si>
  <si>
    <r>
      <t>Kudlu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Village</t>
    </r>
  </si>
  <si>
    <t>Nelamangal</t>
  </si>
  <si>
    <r>
      <t>Mastercraft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Engineers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</si>
  <si>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t>4020J LX</t>
  </si>
  <si>
    <t>Mr.Pandian</t>
  </si>
  <si>
    <r>
      <t>General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Manag</t>
    </r>
  </si>
  <si>
    <t>080-7834750</t>
  </si>
  <si>
    <r>
      <t>IV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Phase,</t>
    </r>
  </si>
  <si>
    <r>
      <t>Jigani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Hobli</t>
    </r>
  </si>
  <si>
    <r>
      <t>GKDITR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Tooling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Centre</t>
    </r>
  </si>
  <si>
    <r>
      <t>Mr.Hari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Babu</t>
    </r>
  </si>
  <si>
    <r>
      <t>Manager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QA</t>
    </r>
  </si>
  <si>
    <t>0422-2360294</t>
  </si>
  <si>
    <r>
      <t>Arasur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Post</t>
    </r>
  </si>
  <si>
    <t>Coimbatore</t>
  </si>
  <si>
    <t>CBE</t>
  </si>
  <si>
    <t>Arasur</t>
  </si>
  <si>
    <r>
      <t>Candid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Micron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Measurements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</t>
    </r>
  </si>
  <si>
    <t>Mr.Viswanathan</t>
  </si>
  <si>
    <t>0422-3955527</t>
  </si>
  <si>
    <r>
      <t>Athipalayam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Junction</t>
    </r>
  </si>
  <si>
    <r>
      <t>Sathy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Main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</t>
    </r>
  </si>
  <si>
    <t xml:space="preserve">Ganapathy </t>
  </si>
  <si>
    <r>
      <t>Bosch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Limited</t>
    </r>
  </si>
  <si>
    <t>Mr.Shaheed</t>
  </si>
  <si>
    <r>
      <t>080-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41035508</t>
    </r>
  </si>
  <si>
    <r>
      <t>Hosa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Road,</t>
    </r>
  </si>
  <si>
    <r>
      <t>Electronic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City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</si>
  <si>
    <t>E-City</t>
  </si>
  <si>
    <t>SSF Plastics India Pvt Ltd</t>
  </si>
  <si>
    <r>
      <t>Mr.Krishnamurthy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Bh</t>
    </r>
  </si>
  <si>
    <r>
      <t>Manager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(Quality)</t>
    </r>
  </si>
  <si>
    <t>04344-277084</t>
  </si>
  <si>
    <t>Hosur</t>
  </si>
  <si>
    <r>
      <t>Omni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Matrix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</si>
  <si>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Rajesh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Chabria</t>
    </r>
  </si>
  <si>
    <t>080-23359028</t>
  </si>
  <si>
    <r>
      <t>Samvardhana Motherson Intern L (Motherson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Sumi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Sys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L)</t>
    </r>
  </si>
  <si>
    <t>Mr.Ananthram</t>
  </si>
  <si>
    <r>
      <t>Manager,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QA</t>
    </r>
  </si>
  <si>
    <t>080-51952299</t>
  </si>
  <si>
    <r>
      <t>Peenya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Area,</t>
    </r>
  </si>
  <si>
    <t>College of Engg</t>
  </si>
  <si>
    <t>Mr.Farook</t>
  </si>
  <si>
    <r>
      <t>Asst.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Prof.</t>
    </r>
  </si>
  <si>
    <t>0471-2515518</t>
  </si>
  <si>
    <t>Engineering College P.O</t>
  </si>
  <si>
    <t>Tiruvananthapuram</t>
  </si>
  <si>
    <t>KL</t>
  </si>
  <si>
    <r>
      <t>Parle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Elizabeth Tools Pvt Ltd.</t>
    </r>
  </si>
  <si>
    <t>Mr. Subham Purohit</t>
  </si>
  <si>
    <t>Executive Purchase</t>
  </si>
  <si>
    <t>BOL GIDC</t>
  </si>
  <si>
    <t>Sanand-II</t>
  </si>
  <si>
    <t>Ahmedabad</t>
  </si>
  <si>
    <t>GJ</t>
  </si>
  <si>
    <t>Sanand</t>
  </si>
  <si>
    <t>Sansera Engg (P) Ltd</t>
  </si>
  <si>
    <r>
      <t>Mr.Venkatesh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Murth</t>
    </r>
  </si>
  <si>
    <t>080-7833056</t>
  </si>
  <si>
    <r>
      <t>TGT Tech Pvt Ltd (Tool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Grinding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Technologies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Inc.)</t>
    </r>
  </si>
  <si>
    <r>
      <t>Mr.Santosh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Prabhu</t>
    </r>
  </si>
  <si>
    <t>Partner</t>
  </si>
  <si>
    <t>080-41170352</t>
  </si>
  <si>
    <r>
      <t>12th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Cross</t>
    </r>
  </si>
  <si>
    <r>
      <t>Peenya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</t>
    </r>
  </si>
  <si>
    <t>Prismatic Engg</t>
  </si>
  <si>
    <t>3.4M</t>
  </si>
  <si>
    <t>Mr.Pandit</t>
  </si>
  <si>
    <r>
      <t>080-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25537234</t>
    </r>
  </si>
  <si>
    <r>
      <t>III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Block</t>
    </r>
  </si>
  <si>
    <t>Koramangala</t>
  </si>
  <si>
    <t>Jigani</t>
  </si>
  <si>
    <r>
      <t>Hical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Technologies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</si>
  <si>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t>Mr.Ranganath</t>
  </si>
  <si>
    <r>
      <t>Asst.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Mgr,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QA</t>
    </r>
  </si>
  <si>
    <r>
      <t>080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28521053</t>
    </r>
  </si>
  <si>
    <r>
      <t>Hosur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</si>
  <si>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r>
      <t>Electronic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City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Phase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II</t>
    </r>
  </si>
  <si>
    <r>
      <t>Dagger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Master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Tools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(P)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</t>
    </r>
  </si>
  <si>
    <t>Mr.K.K.Narayan</t>
  </si>
  <si>
    <t>0240-2482559</t>
  </si>
  <si>
    <t>Aurangabad</t>
  </si>
  <si>
    <t>MH</t>
  </si>
  <si>
    <r>
      <t>SVP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Packaging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(P)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</si>
  <si>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Saunil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Shah</t>
    </r>
  </si>
  <si>
    <t>022-39431516</t>
  </si>
  <si>
    <r>
      <t>512,S.V.P.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</si>
  <si>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t>Thane</t>
  </si>
  <si>
    <t>Palghar</t>
  </si>
  <si>
    <r>
      <t>Quality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Needles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(P)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</si>
  <si>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t>Service Based</t>
  </si>
  <si>
    <r>
      <t>Mr.Chiranjiv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Singh</t>
    </r>
  </si>
  <si>
    <t>0120-2581002</t>
  </si>
  <si>
    <r>
      <t>Gautam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Budha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Nagar(U.P)</t>
    </r>
  </si>
  <si>
    <r>
      <t>G.B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Nagar</t>
    </r>
  </si>
  <si>
    <t>UP</t>
  </si>
  <si>
    <r>
      <t>Mars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Engineers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Services</t>
    </r>
  </si>
  <si>
    <r>
      <t>Mr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Udhayagiri</t>
    </r>
  </si>
  <si>
    <r>
      <t>044-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23820131</t>
    </r>
  </si>
  <si>
    <t>Gerugamvakkam</t>
  </si>
  <si>
    <r>
      <t>Midhani (Optomech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Engineers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(P)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Ltd)</t>
    </r>
  </si>
  <si>
    <r>
      <t>040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-2307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8371</t>
    </r>
  </si>
  <si>
    <r>
      <t>Prashanthi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Nagar,</t>
    </r>
  </si>
  <si>
    <t>Technicraft</t>
  </si>
  <si>
    <t>Mr.Krishnakumar</t>
  </si>
  <si>
    <r>
      <t>080-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65706497</t>
    </r>
  </si>
  <si>
    <r>
      <t>JC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Area</t>
    </r>
  </si>
  <si>
    <t>Yelchanahalli</t>
  </si>
  <si>
    <t>Kanakapura</t>
  </si>
  <si>
    <r>
      <t>Athereya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Enterprises</t>
    </r>
  </si>
  <si>
    <r>
      <t>Mr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Sivasubramanian</t>
    </r>
  </si>
  <si>
    <t>044-2834101016/17</t>
  </si>
  <si>
    <t>Madhananthapuram</t>
  </si>
  <si>
    <t>Porur</t>
  </si>
  <si>
    <r>
      <t>Centum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</si>
  <si>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Badiger</t>
    </r>
  </si>
  <si>
    <r>
      <t>QA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Manager</t>
    </r>
  </si>
  <si>
    <t>080-28460666</t>
  </si>
  <si>
    <r>
      <t>Yelahanka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New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Town</t>
    </r>
  </si>
  <si>
    <t>Devanahalli</t>
  </si>
  <si>
    <r>
      <t>General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Controls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(P)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</si>
  <si>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Anil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Khadilkar</t>
    </r>
  </si>
  <si>
    <r>
      <t>DGM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Tool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Engg</t>
    </r>
  </si>
  <si>
    <r>
      <t>020-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27122441</t>
    </r>
  </si>
  <si>
    <t>Bhosari</t>
  </si>
  <si>
    <t>Pune</t>
  </si>
  <si>
    <r>
      <t>Nicholas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Piramal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Limited</t>
    </r>
  </si>
  <si>
    <r>
      <t>Mr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Kishore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Patil</t>
    </r>
  </si>
  <si>
    <r>
      <t>Purchase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Mgr.</t>
    </r>
  </si>
  <si>
    <r>
      <t>022-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56636666</t>
    </r>
  </si>
  <si>
    <r>
      <t>Lower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Parel</t>
    </r>
  </si>
  <si>
    <t>Mumbai</t>
  </si>
  <si>
    <r>
      <t>Maini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Precision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Products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(P)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</t>
    </r>
  </si>
  <si>
    <r>
      <t>Mr.Anand.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</t>
    </r>
  </si>
  <si>
    <r>
      <t>DGM,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QA</t>
    </r>
  </si>
  <si>
    <t>080-22898900</t>
  </si>
  <si>
    <r>
      <t>MTL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Instruments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</t>
    </r>
  </si>
  <si>
    <t>Mr.A.Venkatesan</t>
  </si>
  <si>
    <r>
      <t>044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24501552</t>
    </r>
  </si>
  <si>
    <t>Solinganallur</t>
  </si>
  <si>
    <t>OMR</t>
  </si>
  <si>
    <t>Alagappa Chettiar College of Engg</t>
  </si>
  <si>
    <r>
      <t>HOD,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Mech.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Engg.</t>
    </r>
  </si>
  <si>
    <t>Karaikudi</t>
  </si>
  <si>
    <t>Pondicherry</t>
  </si>
  <si>
    <r>
      <t>Trishul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Machine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Tools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(P)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</si>
  <si>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Shiva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Shankaraia</t>
    </r>
  </si>
  <si>
    <t>080-27836166</t>
  </si>
  <si>
    <r>
      <t>JBJ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Machine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Technologies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(P)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</si>
  <si>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Sharad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Purohit</t>
    </r>
  </si>
  <si>
    <r>
      <t>Manager,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QA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</si>
  <si>
    <t>0120-2425180</t>
  </si>
  <si>
    <t>Noida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</si>
  <si>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Nirmal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Raj</t>
    </r>
  </si>
  <si>
    <r>
      <t>Manager,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Purch</t>
    </r>
  </si>
  <si>
    <t>080-28394116</t>
  </si>
  <si>
    <r>
      <t>Shree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Athreya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</si>
  <si>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Madhu</t>
    </r>
  </si>
  <si>
    <t>080-26546193</t>
  </si>
  <si>
    <t>Veerasandra</t>
  </si>
  <si>
    <t>2ndstage,Husku</t>
  </si>
  <si>
    <r>
      <t>Dalal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Plastic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Corporation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</si>
  <si>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Murtaza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Dalal</t>
    </r>
  </si>
  <si>
    <t>CEO</t>
  </si>
  <si>
    <t>022-27692065</t>
  </si>
  <si>
    <r>
      <t>digha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Village,Post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Airolli</t>
    </r>
  </si>
  <si>
    <r>
      <t>Off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Sandoz,Than</t>
    </r>
  </si>
  <si>
    <r>
      <t>Navi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Mumbai</t>
    </r>
  </si>
  <si>
    <t>Navi Mumbai</t>
  </si>
  <si>
    <r>
      <t>Positronic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Interconnects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Ltd.,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</si>
  <si>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Milind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Deshpand</t>
    </r>
  </si>
  <si>
    <t>020-24395014</t>
  </si>
  <si>
    <t>Nahre</t>
  </si>
  <si>
    <r>
      <t>Off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Sinhagad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</t>
    </r>
  </si>
  <si>
    <r>
      <t>SJS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Enterprises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(P)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</si>
  <si>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t>Mr.Adiga</t>
  </si>
  <si>
    <r>
      <t>080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-28425055</t>
    </r>
  </si>
  <si>
    <r>
      <t>Kanakapura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Main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</si>
  <si>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r>
      <t>AT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(P)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</si>
  <si>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Harish</t>
    </r>
  </si>
  <si>
    <r>
      <t>Quality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Enginee</t>
    </r>
  </si>
  <si>
    <t>08221-304000</t>
  </si>
  <si>
    <t>Nanjangud</t>
  </si>
  <si>
    <t>Mysore</t>
  </si>
  <si>
    <r>
      <t>Motherson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Innovative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Engg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Solutions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</si>
  <si>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Ashok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Jindal</t>
    </r>
  </si>
  <si>
    <r>
      <t>Sr.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Mgr.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Prod.</t>
    </r>
  </si>
  <si>
    <t>080-41952222</t>
  </si>
  <si>
    <t>Chengalpattu-Sriperamba</t>
  </si>
  <si>
    <t>Oragadam</t>
  </si>
  <si>
    <r>
      <t>Stumpp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Schuele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Somappa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Springs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</si>
  <si>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Suresh</t>
    </r>
  </si>
  <si>
    <r>
      <t>Chief,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QA</t>
    </r>
  </si>
  <si>
    <t>080-25532335</t>
  </si>
  <si>
    <r>
      <t>Jakap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Metind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</si>
  <si>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Jayesh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Anjaria</t>
    </r>
  </si>
  <si>
    <r>
      <t>Chmn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MD</t>
    </r>
  </si>
  <si>
    <t>020-22923721</t>
  </si>
  <si>
    <t>Pirangut</t>
  </si>
  <si>
    <t>Taluka-Mulshi</t>
  </si>
  <si>
    <r>
      <t>Central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Electrochemical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Research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Institute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</si>
  <si>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Mohan.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</t>
    </r>
  </si>
  <si>
    <r>
      <t>Manager,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Mech</t>
    </r>
  </si>
  <si>
    <t>04565-227550</t>
  </si>
  <si>
    <r>
      <t>Microtech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Engineers</t>
    </r>
  </si>
  <si>
    <t>V3.4J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</si>
  <si>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Gunasekaran</t>
    </r>
  </si>
  <si>
    <r>
      <t>St.Thomas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Mount</t>
    </r>
  </si>
  <si>
    <t>Guindy</t>
  </si>
  <si>
    <r>
      <t>Abhi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burnishing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Tools</t>
    </r>
  </si>
  <si>
    <t>2015J HT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</si>
  <si>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Nanda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Gopal</t>
    </r>
  </si>
  <si>
    <t>0422-2560532</t>
  </si>
  <si>
    <t>Avarampalayam</t>
  </si>
  <si>
    <r>
      <t>EssKay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Corporation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</si>
  <si>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Sunil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Soni</t>
    </r>
  </si>
  <si>
    <r>
      <t>022-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26778473,</t>
    </r>
  </si>
  <si>
    <r>
      <t>Block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Opp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Navrang</t>
    </r>
  </si>
  <si>
    <r>
      <t>Anderi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(W)</t>
    </r>
  </si>
  <si>
    <t>Accusharp</t>
  </si>
  <si>
    <t>TIS-002</t>
  </si>
  <si>
    <t>TIS-2015</t>
  </si>
  <si>
    <r>
      <t>Mr.Ayaz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Shaikh</t>
    </r>
  </si>
  <si>
    <t>020-27129016</t>
  </si>
  <si>
    <r>
      <t>Telco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Road,MIDC</t>
    </r>
  </si>
  <si>
    <r>
      <t>Harkesh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Rubber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</si>
  <si>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Harish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Shah</t>
    </r>
  </si>
  <si>
    <t>022-28364847,</t>
  </si>
  <si>
    <r>
      <t>Murga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Village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</t>
    </r>
  </si>
  <si>
    <t>Maraica Industries</t>
  </si>
  <si>
    <t>V3.5J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</si>
  <si>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Das</t>
    </r>
  </si>
  <si>
    <t>Manager</t>
  </si>
  <si>
    <r>
      <t>033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2237-1075</t>
    </r>
  </si>
  <si>
    <t>Kolkata</t>
  </si>
  <si>
    <t>WB</t>
  </si>
  <si>
    <r>
      <t>Federal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Mogul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Bearings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Limited</t>
    </r>
  </si>
  <si>
    <t>935 (111)</t>
  </si>
  <si>
    <r>
      <t>Mr.Riten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Mandel</t>
    </r>
  </si>
  <si>
    <r>
      <t>QA,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Manager</t>
    </r>
  </si>
  <si>
    <t>01792-232011,12</t>
  </si>
  <si>
    <t>section-2</t>
  </si>
  <si>
    <t>Parwanoo</t>
  </si>
  <si>
    <t>HP</t>
  </si>
  <si>
    <r>
      <rPr>
        <sz val="6"/>
        <color rgb="FF000000"/>
        <rFont val="Calibri"/>
      </rPr>
      <t>Spectrum</t>
    </r>
    <r>
      <rPr>
        <sz val="6"/>
        <color rgb="FF000000"/>
        <rFont val="Times New Roman"/>
      </rPr>
      <t xml:space="preserve"> </t>
    </r>
    <r>
      <rPr>
        <sz val="6"/>
        <color rgb="FF000000"/>
        <rFont val="Calibri"/>
      </rPr>
      <t>Tool</t>
    </r>
    <r>
      <rPr>
        <sz val="6"/>
        <color rgb="FF000000"/>
        <rFont val="Times New Roman"/>
      </rPr>
      <t xml:space="preserve"> </t>
    </r>
    <r>
      <rPr>
        <sz val="6"/>
        <color rgb="FF000000"/>
        <rFont val="Calibri"/>
      </rPr>
      <t>Engineers</t>
    </r>
    <r>
      <rPr>
        <sz val="6"/>
        <color rgb="FF000000"/>
        <rFont val="Times New Roman"/>
      </rPr>
      <t xml:space="preserve"> </t>
    </r>
    <r>
      <rPr>
        <sz val="6"/>
        <color rgb="FF000000"/>
        <rFont val="Calibri"/>
      </rPr>
      <t>(P)</t>
    </r>
    <r>
      <rPr>
        <sz val="6"/>
        <color rgb="FF000000"/>
        <rFont val="Times New Roman"/>
      </rPr>
      <t xml:space="preserve"> </t>
    </r>
    <r>
      <rPr>
        <sz val="6"/>
        <color rgb="FF000000"/>
        <rFont val="Calibri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</si>
  <si>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Sudarshan</t>
    </r>
  </si>
  <si>
    <t>MD</t>
  </si>
  <si>
    <t>080-23488629</t>
  </si>
  <si>
    <t>Kamashipalaya</t>
  </si>
  <si>
    <r>
      <t>Magadi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</si>
  <si>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t>Magadi Rd</t>
  </si>
  <si>
    <r>
      <t>JP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Tools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Technologies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(P)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</si>
  <si>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Vikram</t>
    </r>
  </si>
  <si>
    <t>080-25534660</t>
  </si>
  <si>
    <t>Caparo Engg India Pvt. Ltd</t>
  </si>
  <si>
    <t>2015J CX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</si>
  <si>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Mahantesh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Y</t>
    </r>
  </si>
  <si>
    <r>
      <t>Mgr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Quality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(AF</t>
    </r>
  </si>
  <si>
    <t>044-32001452</t>
  </si>
  <si>
    <r>
      <t>Phase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III,S.V.Chatram,</t>
    </r>
  </si>
  <si>
    <t>Sriperumbudur</t>
  </si>
  <si>
    <t>Kanchipuram</t>
  </si>
  <si>
    <r>
      <t>KJK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Polydiamonds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</si>
  <si>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Suresh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Kumar</t>
    </r>
  </si>
  <si>
    <t>H.P.</t>
  </si>
  <si>
    <t>Kandanchavadi</t>
  </si>
  <si>
    <r>
      <t>IP Rings Ltd (IP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Pins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</si>
  <si>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Prakash</t>
    </r>
  </si>
  <si>
    <t>GM</t>
  </si>
  <si>
    <t>044-27452394</t>
  </si>
  <si>
    <r>
      <t>Industrial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Estate</t>
    </r>
  </si>
  <si>
    <r>
      <t>Maraimalai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Nagar</t>
    </r>
  </si>
  <si>
    <t>Chengalpet</t>
  </si>
  <si>
    <t>MM Nagar</t>
  </si>
  <si>
    <r>
      <t>Mudra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Pressings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</si>
  <si>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Thyagarajan</t>
    </r>
  </si>
  <si>
    <t>044-26811676</t>
  </si>
  <si>
    <t>Thirumzhisai</t>
  </si>
  <si>
    <t>Rimtex Engg P Ltd.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</si>
  <si>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Bhavesh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Chauha</t>
    </r>
  </si>
  <si>
    <r>
      <t>Manager,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Projec</t>
    </r>
  </si>
  <si>
    <t>2752-243322</t>
  </si>
  <si>
    <t>GIDC</t>
  </si>
  <si>
    <t>Wadhwan</t>
  </si>
  <si>
    <r>
      <t>Surender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Nagar</t>
    </r>
  </si>
  <si>
    <r>
      <t>Nebula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Technologies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</si>
  <si>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Gururaj</t>
    </r>
  </si>
  <si>
    <t>080-65607736</t>
  </si>
  <si>
    <r>
      <t>Ideal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Home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Township</t>
    </r>
  </si>
  <si>
    <t>Rajarajeshwari</t>
  </si>
  <si>
    <r>
      <t>VMX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Connectors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</si>
  <si>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t>Mr.Dhananjay</t>
  </si>
  <si>
    <t>080-65668008</t>
  </si>
  <si>
    <r>
      <t>II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Stage,Estate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Club</t>
    </r>
  </si>
  <si>
    <r>
      <t>Huskur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</si>
  <si>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t>Harohalli</t>
  </si>
  <si>
    <r>
      <t>Souriau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 (old Mc No.79)</t>
    </r>
  </si>
  <si>
    <t>Warranty</t>
  </si>
  <si>
    <t>Mr. Balaji.K</t>
  </si>
  <si>
    <t>Senior Engineer – Sourcing</t>
  </si>
  <si>
    <t>Malumachampatti</t>
  </si>
  <si>
    <t>Pollachi Rd</t>
  </si>
  <si>
    <r>
      <t>Universal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Flexible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</si>
  <si>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t>Mr.V.Radhakrishnan</t>
  </si>
  <si>
    <t>G.M.</t>
  </si>
  <si>
    <r>
      <t>Whitefield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Cross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</si>
  <si>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t>Mahadevapura</t>
  </si>
  <si>
    <t>WhiteField</t>
  </si>
  <si>
    <r>
      <t>Excelon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Technologies</t>
    </r>
  </si>
  <si>
    <r>
      <t>Mr.Binu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Gopinath</t>
    </r>
  </si>
  <si>
    <t>080-28360216</t>
  </si>
  <si>
    <r>
      <t>Peenya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Area</t>
    </r>
  </si>
  <si>
    <r>
      <t>560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058</t>
    </r>
  </si>
  <si>
    <r>
      <t>Zenith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Precision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Pvt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</si>
  <si>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Mr.Deepak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Pinto</t>
    </r>
  </si>
  <si>
    <t>Phoenix Textile Engg Pvt Ltd</t>
  </si>
  <si>
    <r>
      <t>Mr.Raghunath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Kadilk</t>
    </r>
  </si>
  <si>
    <t>020-65619961</t>
  </si>
  <si>
    <t>Hadapsar</t>
  </si>
  <si>
    <r>
      <t>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Balakrishnan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Bros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Limited</t>
    </r>
  </si>
  <si>
    <r>
      <t>Mr.A.Sampanth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Kum</t>
    </r>
  </si>
  <si>
    <r>
      <t>Asst.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GM-Pur</t>
    </r>
  </si>
  <si>
    <r>
      <t>Annur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Via,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Avinashi</t>
    </r>
  </si>
  <si>
    <t>Annur</t>
  </si>
  <si>
    <t>Precitherm (Do All Engg )</t>
  </si>
  <si>
    <r>
      <t>Vaibhav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Yadav</t>
    </r>
  </si>
  <si>
    <r>
      <t>0831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2441213</t>
    </r>
  </si>
  <si>
    <t>Udyambag</t>
  </si>
  <si>
    <t>Belgaum</t>
  </si>
  <si>
    <r>
      <t>Sharp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</si>
  <si>
    <t>TIS004</t>
  </si>
  <si>
    <t>TIS150</t>
  </si>
  <si>
    <r>
      <t>Mr.Nitin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Gupta</t>
    </r>
  </si>
  <si>
    <t>0124-2341553</t>
  </si>
  <si>
    <r>
      <t>Maruti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Complex</t>
    </r>
  </si>
  <si>
    <t>Sector-18</t>
  </si>
  <si>
    <t>Gurgaon</t>
  </si>
  <si>
    <t>HR</t>
  </si>
  <si>
    <r>
      <t>Mindarika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(P)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</si>
  <si>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Mr.Abhishek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Jain</t>
    </r>
  </si>
  <si>
    <t>Sikandarpur-Badha</t>
  </si>
  <si>
    <r>
      <t>AeroMech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Technologies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(P)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</si>
  <si>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Mr.Sridhar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Raju</t>
    </r>
  </si>
  <si>
    <r>
      <t>080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23455599</t>
    </r>
  </si>
  <si>
    <r>
      <t>Lakshmipuram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Main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Rd,</t>
    </r>
  </si>
  <si>
    <t>Abbigere</t>
  </si>
  <si>
    <r>
      <t>Kesaria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Rubber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(P)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</si>
  <si>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Mr.Amith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Jain</t>
    </r>
  </si>
  <si>
    <t>0124-2307503</t>
  </si>
  <si>
    <r>
      <t>VPO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Bhada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Kalan,</t>
    </r>
  </si>
  <si>
    <t>NH8</t>
  </si>
  <si>
    <r>
      <t>Best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Tooling</t>
    </r>
  </si>
  <si>
    <t>3.4J CX</t>
  </si>
  <si>
    <t>Mr.Zawahar</t>
  </si>
  <si>
    <t>C.E.O.</t>
  </si>
  <si>
    <t>0422-2</t>
  </si>
  <si>
    <t>Ganapathy</t>
  </si>
  <si>
    <r>
      <t>Havells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</t>
    </r>
  </si>
  <si>
    <t>4020J CX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</si>
  <si>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Amit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Mathur</t>
    </r>
  </si>
  <si>
    <t>0120-2377777</t>
  </si>
  <si>
    <r>
      <t>Mathura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</si>
  <si>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t>Faridabad</t>
  </si>
  <si>
    <r>
      <t>Sun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Casting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</si>
  <si>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Manjunath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Samp</t>
    </r>
  </si>
  <si>
    <t>080-26662001</t>
  </si>
  <si>
    <r>
      <t>Kanakapura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Road</t>
    </r>
  </si>
  <si>
    <r>
      <t>Nutech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Sintered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Products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(P)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</t>
    </r>
  </si>
  <si>
    <r>
      <t>Mr.Kishor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Patel</t>
    </r>
  </si>
  <si>
    <t>02525-255107</t>
  </si>
  <si>
    <r>
      <t>Near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Katha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Factory</t>
    </r>
  </si>
  <si>
    <r>
      <t>Veoor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village,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</si>
  <si>
    <t>First Engg Plastics (I) (P) Ltd</t>
  </si>
  <si>
    <t>Mr.Nagarajan.A</t>
  </si>
  <si>
    <r>
      <t>Design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Manager</t>
    </r>
  </si>
  <si>
    <t>044-47112000</t>
  </si>
  <si>
    <r>
      <t>Industrial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Park</t>
    </r>
  </si>
  <si>
    <t>Irungattukottai</t>
  </si>
  <si>
    <r>
      <t>Terminal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Technologies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</si>
  <si>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Anto</t>
    </r>
  </si>
  <si>
    <t>0250-2456253</t>
  </si>
  <si>
    <r>
      <t>Merchant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Industrial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Com</t>
    </r>
  </si>
  <si>
    <r>
      <t>Valiv,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Vasai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(E)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</si>
  <si>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Prashanth</t>
    </r>
  </si>
  <si>
    <r>
      <t>Plant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Manager</t>
    </r>
  </si>
  <si>
    <t>Nanekarwadi</t>
  </si>
  <si>
    <r>
      <t>Chakan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Khed</t>
    </r>
  </si>
  <si>
    <t>Chakan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</si>
  <si>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Krishnamurthy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</t>
    </r>
  </si>
  <si>
    <r>
      <t>Rockman Industries Ltd (Sargam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Diecastings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</si>
  <si>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N.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Saravanan</t>
    </r>
  </si>
  <si>
    <r>
      <t>(M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QA)</t>
    </r>
  </si>
  <si>
    <t>044-42213333,</t>
  </si>
  <si>
    <t>Thoraipakkam</t>
  </si>
  <si>
    <r>
      <t>Leggett &amp; Platt Automotive (I) Pvt Ltd (L&amp;P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Somappa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Comfort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Sys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</si>
  <si>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Madanagopal</t>
    </r>
  </si>
  <si>
    <t>(SM-O)</t>
  </si>
  <si>
    <r>
      <t>044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27699816</t>
    </r>
  </si>
  <si>
    <r>
      <t>Perambakkam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PO</t>
    </r>
  </si>
  <si>
    <t>Tiruvallur</t>
  </si>
  <si>
    <t>Thiruvallur</t>
  </si>
  <si>
    <r>
      <t>Souriau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</si>
  <si>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Boopalan</t>
    </r>
  </si>
  <si>
    <t>(SE-Q)</t>
  </si>
  <si>
    <t>0422-2530914</t>
  </si>
  <si>
    <r>
      <t>Patco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Precision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Components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</si>
  <si>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R.D.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Patil</t>
    </r>
  </si>
  <si>
    <r>
      <t>0253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6601764</t>
    </r>
  </si>
  <si>
    <t>Ambad</t>
  </si>
  <si>
    <t>Nashik</t>
  </si>
  <si>
    <t>RR Precision (India) Pvt Ltd (RR Engg &amp; Export)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</si>
  <si>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Praveen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Jayaraj</t>
    </r>
  </si>
  <si>
    <t>08512-41313607</t>
  </si>
  <si>
    <t>Tamka</t>
  </si>
  <si>
    <t>Kolar</t>
  </si>
  <si>
    <r>
      <t>Delphi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TVS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Diesel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Systems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Ltd.</t>
    </r>
  </si>
  <si>
    <t>Mr.S.S.Balasubraman</t>
  </si>
  <si>
    <r>
      <t>(AGM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QA)</t>
    </r>
  </si>
  <si>
    <t>044-27659222</t>
  </si>
  <si>
    <r>
      <t>Supreme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Automech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</si>
  <si>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Sundarapandia</t>
    </r>
  </si>
  <si>
    <t>(Mgr-QA)</t>
  </si>
  <si>
    <r>
      <t>0413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2660933</t>
    </r>
  </si>
  <si>
    <t>Mangalam,</t>
  </si>
  <si>
    <r>
      <t>Villianur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Comm</t>
    </r>
  </si>
  <si>
    <r>
      <t>CNC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Engravers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</si>
  <si>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Praveen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Harti</t>
    </r>
  </si>
  <si>
    <t>020-26456085</t>
  </si>
  <si>
    <t>45/2,</t>
  </si>
  <si>
    <r>
      <t>Shankarshet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Ro</t>
    </r>
  </si>
  <si>
    <t>BVGK Engg P Ltd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</si>
  <si>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Krishnamurthy</t>
    </r>
  </si>
  <si>
    <r>
      <t>(GM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-O)</t>
    </r>
  </si>
  <si>
    <t>044-43108494</t>
  </si>
  <si>
    <r>
      <t>GE Renewabla Energy Technologies Pvt Ltd (GE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Tech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Centre)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</si>
  <si>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Girish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Shastry</t>
    </r>
  </si>
  <si>
    <r>
      <t>080-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40121135</t>
    </r>
  </si>
  <si>
    <r>
      <t>Phase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Hoodi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Village,</t>
    </r>
  </si>
  <si>
    <r>
      <t>White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Field</t>
    </r>
  </si>
  <si>
    <r>
      <t>Reliance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Diamond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Tools</t>
    </r>
  </si>
  <si>
    <t>V2015</t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</si>
  <si>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Venkataraman</t>
    </r>
  </si>
  <si>
    <t>044-25587523</t>
  </si>
  <si>
    <r>
      <t>Main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Street</t>
    </r>
  </si>
  <si>
    <t>Sembiam</t>
  </si>
  <si>
    <t>Mr.Sridhar</t>
  </si>
  <si>
    <t>080-26686505</t>
  </si>
  <si>
    <t>N.S.Palya,</t>
  </si>
  <si>
    <t>TIS003</t>
  </si>
  <si>
    <t>TIS2015</t>
  </si>
  <si>
    <r>
      <t>Anand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Testing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Machine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Services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</si>
  <si>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S.V.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Anandache</t>
    </r>
  </si>
  <si>
    <r>
      <t>2422457,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3351,</t>
    </r>
  </si>
  <si>
    <t>Ichalkaranji</t>
  </si>
  <si>
    <t>Kolhapur</t>
  </si>
  <si>
    <r>
      <t>Goodrich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Aerospace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Services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</si>
  <si>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Guruprasad</t>
    </r>
  </si>
  <si>
    <r>
      <t>080-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66165501</t>
    </r>
  </si>
  <si>
    <t>Rajapalya</t>
  </si>
  <si>
    <r>
      <t>ITPL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Rd</t>
    </r>
  </si>
  <si>
    <r>
      <t>Prisms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India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</si>
  <si>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V.Jayaram</t>
    </r>
  </si>
  <si>
    <r>
      <t>0413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-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2277059</t>
    </r>
  </si>
  <si>
    <t>Mettupalayam</t>
  </si>
  <si>
    <r>
      <t>Toyota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Kirloskar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Auto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Parts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Ltd</t>
    </r>
  </si>
  <si>
    <r>
      <t>Mr.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Ajay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Calibri"/>
        <family val="2"/>
      </rPr>
      <t>Kumar</t>
    </r>
  </si>
  <si>
    <t>08027287141/143</t>
  </si>
  <si>
    <t>Bidadi</t>
  </si>
  <si>
    <t>Avadi</t>
  </si>
  <si>
    <t>Jamnagar</t>
  </si>
  <si>
    <t>OVR</t>
  </si>
  <si>
    <t>Kalapatti Rd</t>
  </si>
  <si>
    <t>Goregaon</t>
  </si>
  <si>
    <t>Bahadurgarh</t>
  </si>
  <si>
    <t xml:space="preserve">Dadar </t>
  </si>
  <si>
    <t>Solan</t>
  </si>
  <si>
    <t>Delhi/ New Delhi</t>
  </si>
  <si>
    <t>Avinashi Rd</t>
  </si>
  <si>
    <t>Tirunelveli</t>
  </si>
  <si>
    <t>Dod Pura</t>
  </si>
  <si>
    <t>Jaipur</t>
  </si>
  <si>
    <t>Vapi</t>
  </si>
  <si>
    <t>KOL</t>
  </si>
  <si>
    <t>Haridwar</t>
  </si>
  <si>
    <t>Dombivli</t>
  </si>
  <si>
    <t>Ranipet</t>
  </si>
  <si>
    <t>Madurai</t>
  </si>
  <si>
    <t>Agra</t>
  </si>
  <si>
    <t>Baddi</t>
  </si>
  <si>
    <t>Thirumudivakkam</t>
  </si>
  <si>
    <t>Hinjewadi</t>
  </si>
  <si>
    <t>Villupuram</t>
  </si>
  <si>
    <t>Sonipat</t>
  </si>
  <si>
    <t>Tumkur</t>
  </si>
  <si>
    <t>Rajkot</t>
  </si>
  <si>
    <t>Manesar</t>
  </si>
  <si>
    <t>Ghaziabad</t>
  </si>
  <si>
    <t>Anand</t>
  </si>
  <si>
    <t>Kanpur</t>
  </si>
  <si>
    <t>Vasai</t>
  </si>
  <si>
    <t>Vadodara</t>
  </si>
  <si>
    <t>Kalpakkam</t>
  </si>
  <si>
    <t>Goa</t>
  </si>
  <si>
    <t>Rohtak</t>
  </si>
  <si>
    <t>Aligarh</t>
  </si>
  <si>
    <t>Chandigarh</t>
  </si>
  <si>
    <t>Patiala</t>
  </si>
  <si>
    <t>Hubli</t>
  </si>
  <si>
    <t>Ludhiana</t>
  </si>
  <si>
    <t>Morbi</t>
  </si>
  <si>
    <t>Jhagadia</t>
  </si>
  <si>
    <t>Chittor</t>
  </si>
  <si>
    <t>Kuppam</t>
  </si>
  <si>
    <t>Kundli</t>
  </si>
  <si>
    <t>Tambaram</t>
  </si>
  <si>
    <t>Hassan</t>
  </si>
  <si>
    <t>Vatva</t>
  </si>
  <si>
    <t>Kharagpur</t>
  </si>
  <si>
    <t>Cuttack</t>
  </si>
  <si>
    <t>Nagpur</t>
  </si>
  <si>
    <t xml:space="preserve"> </t>
  </si>
  <si>
    <t>Kadi</t>
  </si>
  <si>
    <t>Gr Noida</t>
  </si>
  <si>
    <t>Ahmdnagar</t>
  </si>
  <si>
    <t>Mangalore</t>
  </si>
  <si>
    <t xml:space="preserve">Jalgaon </t>
  </si>
  <si>
    <t>Patancheruvu</t>
  </si>
  <si>
    <t>Kochin</t>
  </si>
  <si>
    <t>Direct</t>
  </si>
  <si>
    <t>Security Gate</t>
  </si>
  <si>
    <t>Work Permit</t>
  </si>
  <si>
    <t>Bangalore - 8</t>
  </si>
  <si>
    <t>Maharashtra - 2</t>
  </si>
  <si>
    <t>Gujarat - 5</t>
  </si>
  <si>
    <t>NCR - 1</t>
  </si>
  <si>
    <t>Chennai - 40</t>
  </si>
  <si>
    <t>Coimbatore - 41</t>
  </si>
  <si>
    <t>Hyderabad - 6</t>
  </si>
  <si>
    <t>Kolkata-30</t>
  </si>
  <si>
    <t>Clust</t>
  </si>
  <si>
    <t>Off</t>
  </si>
  <si>
    <t>Call Entry</t>
  </si>
  <si>
    <t>Prioty</t>
  </si>
  <si>
    <t>Sun</t>
  </si>
  <si>
    <t>Bhopal</t>
  </si>
  <si>
    <t>Tele/ Support/Courier</t>
  </si>
  <si>
    <t>Service / Repair</t>
  </si>
  <si>
    <t>S</t>
  </si>
  <si>
    <t>Cherlapally</t>
  </si>
  <si>
    <t>Howrah</t>
  </si>
  <si>
    <t>ACSC / Calib</t>
  </si>
  <si>
    <t>Instal/Train/ Upgrade</t>
  </si>
  <si>
    <t>I</t>
  </si>
  <si>
    <t>PMV</t>
  </si>
  <si>
    <t>P</t>
  </si>
  <si>
    <t>Vikhroli</t>
  </si>
  <si>
    <t>Kalol</t>
  </si>
  <si>
    <t>Demo</t>
  </si>
  <si>
    <t>Halol</t>
  </si>
  <si>
    <t>Trichy Rd</t>
  </si>
  <si>
    <t>Future(Pending PO)</t>
  </si>
  <si>
    <t>Binola /Bawal/Nimran</t>
  </si>
  <si>
    <t>Alwar/Bhiwadi</t>
  </si>
  <si>
    <t>Pallakad Rd</t>
  </si>
  <si>
    <t>Wed</t>
  </si>
  <si>
    <t>Mpalyam Rd</t>
  </si>
  <si>
    <t>Fri</t>
  </si>
  <si>
    <t>Sholinghur</t>
  </si>
  <si>
    <t>Talegaon</t>
  </si>
  <si>
    <t>Nelamangala</t>
  </si>
  <si>
    <t>Ennore</t>
  </si>
  <si>
    <t>Shirwal</t>
  </si>
  <si>
    <t>Sricity</t>
  </si>
  <si>
    <t>Chiplun</t>
  </si>
  <si>
    <t>Ex Mumbai</t>
  </si>
  <si>
    <t>Tanjavur</t>
  </si>
  <si>
    <t>Ex Pune</t>
  </si>
  <si>
    <t>Same day return</t>
  </si>
  <si>
    <t>Online/Email Permit</t>
  </si>
  <si>
    <t>Police Clearnce</t>
  </si>
  <si>
    <t>Online/Emial Permit</t>
  </si>
  <si>
    <t>sun</t>
  </si>
  <si>
    <t>Sat - Sun</t>
  </si>
  <si>
    <t xml:space="preserve">Thu </t>
  </si>
  <si>
    <t>Thu</t>
  </si>
  <si>
    <t> </t>
  </si>
  <si>
    <t>Gate Entry</t>
  </si>
  <si>
    <t>end_dt</t>
  </si>
  <si>
    <t>Mr.Kumar</t>
  </si>
  <si>
    <t>Address1</t>
  </si>
  <si>
    <t>#4 9th Main</t>
  </si>
  <si>
    <t>99/49, 2nd Main Industrial Town,</t>
  </si>
  <si>
    <t>TS No. 348/1 &amp; 2 (New No.1/207)</t>
  </si>
  <si>
    <t>No.10(old No.15) 1st Floor</t>
  </si>
  <si>
    <t>3A Type II</t>
  </si>
  <si>
    <t>11 M.T.H. Rd</t>
  </si>
  <si>
    <t>13/5 Singasandra</t>
  </si>
  <si>
    <t>22/4 Heavy Indl Ar</t>
  </si>
  <si>
    <t>Y-50 Industrial Area Okhla</t>
  </si>
  <si>
    <t>365/B Survey no 44/2</t>
  </si>
  <si>
    <t>#126 &amp; 127 Bommasandra Indl A</t>
  </si>
  <si>
    <t>(A Unit of GKD Cha Sangothipalayam</t>
  </si>
  <si>
    <t>238A, V.J.Complex,</t>
  </si>
  <si>
    <t>P.O.Box 6887 Naganathapura Plant</t>
  </si>
  <si>
    <t>Sub Division Plot Nn.52 Sipcot Industrial Complex</t>
  </si>
  <si>
    <t>45/7 Gubbanna Est,</t>
  </si>
  <si>
    <t>Plot No, 471-D1, 3rd Main, VI Phase,</t>
  </si>
  <si>
    <t xml:space="preserve">11 </t>
  </si>
  <si>
    <t>Plot No.PE-37 Near Rasulpura Village</t>
  </si>
  <si>
    <t>Plot No.467,68,69 Site 1/c,4th Phase</t>
  </si>
  <si>
    <t>147F 8th Main</t>
  </si>
  <si>
    <t>S.no.46/47 Hosur Road</t>
  </si>
  <si>
    <t>F2/2 Chikalthana indl Ar</t>
  </si>
  <si>
    <t>4 Prakash Mension</t>
  </si>
  <si>
    <t>A-8 sector-57</t>
  </si>
  <si>
    <t>3/551 Kundrathur Main Roa</t>
  </si>
  <si>
    <t>3A,TYPE – II, I.E. KUKATPALLY.</t>
  </si>
  <si>
    <t>#26/A II Main</t>
  </si>
  <si>
    <t>5/293 Kundrathur Main Roa</t>
  </si>
  <si>
    <t>#23 KHB Industrial Area</t>
  </si>
  <si>
    <t>T-107 M.I.D.C.,</t>
  </si>
  <si>
    <t>Nicholas Power To Ganpatrao Kadam M</t>
  </si>
  <si>
    <t>5A Bommasandra Indl A</t>
  </si>
  <si>
    <t>#3 Old Mahabalipuram</t>
  </si>
  <si>
    <t>#B-8 KSSIDC Industrial Estate</t>
  </si>
  <si>
    <t>F-44 Sector-8</t>
  </si>
  <si>
    <t xml:space="preserve">Peenya </t>
  </si>
  <si>
    <t>SHED#B1 KSSIDC Industrial Est</t>
  </si>
  <si>
    <t>Plot B-18, TTC Industrial Area</t>
  </si>
  <si>
    <t>S.No.51/1/19 Narhe Road</t>
  </si>
  <si>
    <t>No. 1 Talaghatapura</t>
  </si>
  <si>
    <t>12/A Industrial Area</t>
  </si>
  <si>
    <t>A-4 SIPCOT,Indl Growth C</t>
  </si>
  <si>
    <t>139/2 Hosur Road</t>
  </si>
  <si>
    <t>No:1178 Ghotawade Phata</t>
  </si>
  <si>
    <t>#31 Police Office Road</t>
  </si>
  <si>
    <t>18-19 2nd Cross,Santhi Nag</t>
  </si>
  <si>
    <t>107 JP Road,Rajesh Build</t>
  </si>
  <si>
    <t>Plot No.71/1B/11 Paras Co-op Indl Est</t>
  </si>
  <si>
    <t>106 Madhu Indl Est</t>
  </si>
  <si>
    <t>#29/1A Chandeney Chowk</t>
  </si>
  <si>
    <t>Plot No.5 Engine Bearing Division</t>
  </si>
  <si>
    <t># 97 &amp; 100 Petechennapa Indl Es</t>
  </si>
  <si>
    <t>147/G 10th Main 3rd Block</t>
  </si>
  <si>
    <t>T1 &amp; T2 SIPCOT Ind. Park</t>
  </si>
  <si>
    <t>Mo.133 Old M.puram Road</t>
  </si>
  <si>
    <t>OCF Division, D11/12 Industrial Estate</t>
  </si>
  <si>
    <t>DP No.73/74 SIDCO Industrial Esta</t>
  </si>
  <si>
    <t>2701 Phase IV</t>
  </si>
  <si>
    <t>#966 18B Cross,2nd Main</t>
  </si>
  <si>
    <t>Shed No C/15 Veersandra Ind. Area</t>
  </si>
  <si>
    <t>1/5 16B Vadakuthottam Salai</t>
  </si>
  <si>
    <t>2c, 4th Cross Dyavasandra Ind. Are</t>
  </si>
  <si>
    <t>#340 9th cross,4th phase</t>
  </si>
  <si>
    <t>No.20,5th Main 3rd Phase</t>
  </si>
  <si>
    <t>38/5,6 Ramtekadi Ind. Estat</t>
  </si>
  <si>
    <t>Forging Division Pillaippampalayam</t>
  </si>
  <si>
    <t>D-90 Industrial Estate</t>
  </si>
  <si>
    <t>Plot No 32 HSIDC</t>
  </si>
  <si>
    <t>Navada Village, Fathepur P.O.,</t>
  </si>
  <si>
    <t>#2 M.Geetha Bldg. G.N Ind Area,</t>
  </si>
  <si>
    <t>57/58 Milestone Binola Industrial Area</t>
  </si>
  <si>
    <t>15A / 2, FCI Road Bharathi Nagar</t>
  </si>
  <si>
    <t>14 / 3 Unit-Faridabad IP</t>
  </si>
  <si>
    <t>41, JC Ind. Estate Yelachenahalli</t>
  </si>
  <si>
    <t>3 &amp; 4, New Veoor Ind.Estat</t>
  </si>
  <si>
    <t>Plot No.B72 SIPCOT</t>
  </si>
  <si>
    <t>Bldg.No.3 Terminal House</t>
  </si>
  <si>
    <t>Bldg. No.1 Gut No.312/2</t>
  </si>
  <si>
    <t>Sub Division Plot N Sipcot Industrial Complex</t>
  </si>
  <si>
    <t>3/139 OldMahabalipuram R</t>
  </si>
  <si>
    <t>139 Karanai Village</t>
  </si>
  <si>
    <t>A 25 MIDC</t>
  </si>
  <si>
    <t>No. 25 Tamka Industrial Esta</t>
  </si>
  <si>
    <t>Mannur Koottu Roa Thodukadu (Post)</t>
  </si>
  <si>
    <t>R.S No. 74/2B Madukkarai Main Ro</t>
  </si>
  <si>
    <t>No 12, Kumar Inds Estate</t>
  </si>
  <si>
    <t>SP-25, 26&amp;27, XVII phase,</t>
  </si>
  <si>
    <t>Plot No.122 Exp Promotion Indsl</t>
  </si>
  <si>
    <t>4A, Venkatesan nagar,</t>
  </si>
  <si>
    <t>45/2,19th Cross, 9th Main</t>
  </si>
  <si>
    <t>55A Yashwant Colony</t>
  </si>
  <si>
    <t>#135/2 Maruthi Industrial Ar</t>
  </si>
  <si>
    <t>C-92 PIPDIC</t>
  </si>
  <si>
    <t>#21 Bidadi Indstrl Area</t>
  </si>
  <si>
    <t>Address3</t>
  </si>
  <si>
    <t>Address2</t>
  </si>
  <si>
    <t xml:space="preserve"> Inv Date</t>
  </si>
  <si>
    <t>Inv Value</t>
  </si>
  <si>
    <t>Inv No</t>
  </si>
  <si>
    <t>Contact No.</t>
  </si>
  <si>
    <t>not_fill</t>
  </si>
  <si>
    <t>start_dt</t>
  </si>
  <si>
    <t>Sesha Tools Pvt Ltd 8031</t>
  </si>
  <si>
    <t>Pro Innovative Technologies. 8051</t>
  </si>
  <si>
    <t>Die-Tech India pvt Ltd 4031</t>
  </si>
  <si>
    <t>Elan Diamond Tools Ltd 4031</t>
  </si>
  <si>
    <t>NSTL (Optomech Engineers P Ltd) 6021</t>
  </si>
  <si>
    <t>Integra Automation P Ltd. 4041</t>
  </si>
  <si>
    <t>SKF Technologies India Pvt Ltd 8012</t>
  </si>
  <si>
    <t>Iscon Surgicals Ltd. 1002</t>
  </si>
  <si>
    <t>Vaish Industries 0000</t>
  </si>
  <si>
    <t>Rachel Engineering 8054</t>
  </si>
  <si>
    <t>Mastercraft Engineers P Ltd 8012</t>
  </si>
  <si>
    <t>GKDITR Tooling Centre 4111</t>
  </si>
  <si>
    <t>Candid Micron Measurements P Ltd. 4161</t>
  </si>
  <si>
    <t>Bosch Limited 8011</t>
  </si>
  <si>
    <t>SSF Plastics India Pvt Ltd 8013</t>
  </si>
  <si>
    <t>Omni Matrix Pvt Ltd 8051</t>
  </si>
  <si>
    <t>Samvardhana Motherson Intern L (Motherson Sumi Sys L) 8051</t>
  </si>
  <si>
    <t>College of Engg 0000</t>
  </si>
  <si>
    <t>Parle Elizabeth Tools Pvt Ltd. 5011</t>
  </si>
  <si>
    <t>Sansera Engg (P) Ltd 8012</t>
  </si>
  <si>
    <t>TGT Tech Pvt Ltd (Tool Grinding Technologies Inc.) 8051</t>
  </si>
  <si>
    <t>Prismatic Engg 8021</t>
  </si>
  <si>
    <t>Hical Technologies Pvt Ltd 8011</t>
  </si>
  <si>
    <t>Dagger Master Tools (P) Ltd. 0000</t>
  </si>
  <si>
    <t>SVP Packaging (P) Ltd. 2112</t>
  </si>
  <si>
    <t>Quality Needles (P) Ltd 0000</t>
  </si>
  <si>
    <t>Mars Engineers &amp; Services 4041</t>
  </si>
  <si>
    <t>Midhani (Optomech Engineers (P) Ltd) 6021</t>
  </si>
  <si>
    <t>Technicraft 8023</t>
  </si>
  <si>
    <t>Athereya Enterprises 0000</t>
  </si>
  <si>
    <t>Centum Industries P Ltd. 8071</t>
  </si>
  <si>
    <t>General Industrial Controls (P) Ltd 2411</t>
  </si>
  <si>
    <t>Nicholas Piramal India Limited 0000</t>
  </si>
  <si>
    <t>Maini Precision Products (P) Ltd. 8012</t>
  </si>
  <si>
    <t>MTL Instruments Pvt. Ltd. 4011</t>
  </si>
  <si>
    <t>Alagappa Chettiar College of Engg 4013</t>
  </si>
  <si>
    <t>Trishul Machine Tools (P) Ltd. 8012</t>
  </si>
  <si>
    <t>JBJ Machine Technologies (P) Ltd. 1151</t>
  </si>
  <si>
    <t>Maini Precision Products (P) Ltd. 8051</t>
  </si>
  <si>
    <t>Shree Athreya Industries 8011</t>
  </si>
  <si>
    <t>Dalal Plastic Corporation 2224</t>
  </si>
  <si>
    <t>Positronic Interconnects Pvt. Ltd., 0000</t>
  </si>
  <si>
    <t>SJS Enterprises (P) Ltd 8023</t>
  </si>
  <si>
    <t>AT &amp; S India (P) Ltd 8033</t>
  </si>
  <si>
    <t>Motherson Innovative Engg Solutions P Ltd 4032</t>
  </si>
  <si>
    <t>Stumpp Schuele &amp; Somappa Springs Pvt Ltd 8012</t>
  </si>
  <si>
    <t>Jakap Metind Pvt Ltd 2461</t>
  </si>
  <si>
    <t>Central Electrochemical Research Institute 4013</t>
  </si>
  <si>
    <t>Microtech Engineers 4021</t>
  </si>
  <si>
    <t>Abhi burnishing Tools 4111</t>
  </si>
  <si>
    <t>EssKay Corporation 0000</t>
  </si>
  <si>
    <t>Accusharp 2411</t>
  </si>
  <si>
    <t>Harkesh Rubber Industries 0000</t>
  </si>
  <si>
    <t>Maraica Industries 8005</t>
  </si>
  <si>
    <t>Federal Mogul Bearings India Limited 1312</t>
  </si>
  <si>
    <t>Spectrum Tool Engineers (P) Ltd 8041</t>
  </si>
  <si>
    <t>JP Tools &amp; Technologies (P) Ltd 0000</t>
  </si>
  <si>
    <t>Caparo Engg India Pvt. Ltd 4031</t>
  </si>
  <si>
    <t>KJK Polydiamonds P Ltd 0000</t>
  </si>
  <si>
    <t>IP Rings Ltd (IP Pins Ltd) 4024</t>
  </si>
  <si>
    <t>Mudra Pressings P Ltd 0000</t>
  </si>
  <si>
    <t>Rimtex Engg P Ltd. 0000</t>
  </si>
  <si>
    <t>Nebula Technologies 8031</t>
  </si>
  <si>
    <t>VMX Connectors Pvt Ltd 8022</t>
  </si>
  <si>
    <t>Souriau India Pvt Ltd (old Mc No.79) 4131</t>
  </si>
  <si>
    <t>Universal Flexible Pvt Ltd 8081</t>
  </si>
  <si>
    <t>Excelon Technologies 8051</t>
  </si>
  <si>
    <t>Zenith Precision Pvt Ltd 8051</t>
  </si>
  <si>
    <t>Phoenix Textile Engg Pvt Ltd 2441</t>
  </si>
  <si>
    <t>L G B Balakrishnan &amp; Bros Limited 4162</t>
  </si>
  <si>
    <t>Precitherm (Do All Engg ) 8002</t>
  </si>
  <si>
    <t>Sharp Industries 1111</t>
  </si>
  <si>
    <t>Mindarika (P) Ltd 1111</t>
  </si>
  <si>
    <t>AeroMech Technologies (P) Ltd 8051</t>
  </si>
  <si>
    <t>Kesaria Rubber Industries (P) Ltd 1111</t>
  </si>
  <si>
    <t>Best Tooling 4161</t>
  </si>
  <si>
    <t>Havells india Ltd. 1161</t>
  </si>
  <si>
    <t>Sun Casting 8023</t>
  </si>
  <si>
    <t>Nutech Sintered Products (P) Ltd. 2222</t>
  </si>
  <si>
    <t>First Engg Plastics (I) (P) Ltd 4031</t>
  </si>
  <si>
    <t>Terminal Technologies P Ltd 2222</t>
  </si>
  <si>
    <t>Terminal Technologies P Ltd 2421</t>
  </si>
  <si>
    <t>Rockman Industries Ltd (Sargam Diecastings P Ltd) 4031</t>
  </si>
  <si>
    <t>Leggett &amp; Platt Automotive (I) Pvt Ltd (L&amp;P Somappa Comfort Sys I P Ltd) 4043</t>
  </si>
  <si>
    <t>Souriau India P Ltd. 4131</t>
  </si>
  <si>
    <t>Patco Precision Components P Ltd 2301</t>
  </si>
  <si>
    <t>RR Precision (India) Pvt Ltd (RR Engg &amp; Export) 8082</t>
  </si>
  <si>
    <t>Delphi TVS Diesel Systems Ltd. 4031</t>
  </si>
  <si>
    <t>Supreme Automech I P Ltd 4013</t>
  </si>
  <si>
    <t>CNC Engravers 2441</t>
  </si>
  <si>
    <t>BVGK Engg P Ltd 4041</t>
  </si>
  <si>
    <t>GE Renewabla Energy Technologies Pvt Ltd (GE India Tech Centre) 8081</t>
  </si>
  <si>
    <t>Reliance Diamond Tools 4041</t>
  </si>
  <si>
    <t>Anand Testing Machine Services 8004</t>
  </si>
  <si>
    <t>Goodrich Aerospace Services P Ltd 8071</t>
  </si>
  <si>
    <t>Prisms India P Ltd 4013</t>
  </si>
  <si>
    <t>Toyota Kirloskar Auto Parts P Ltd 8032</t>
  </si>
  <si>
    <t>Customer Name + ZARC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</si>
</sst>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Calibri"/>
      <family val="2"/>
      <charset val="204"/>
    </font>
    <font>
      <sz val="6"/>
      <color rgb="FF000000"/>
      <name val="Calibri"/>
      <family val="2"/>
    </font>
    <font>
      <sz val="6"/>
      <color rgb="FF000000"/>
      <name val="Times New Roman"/>
      <family val="1"/>
    </font>
    <font>
      <sz val="6"/>
      <color rgb="FF000000"/>
      <name val="Calibri"/>
      <family val="2"/>
      <charset val="204"/>
    </font>
    <font>
      <sz val="7"/>
      <color rgb="FF000000"/>
      <name val="Calibri"/>
      <family val="2"/>
    </font>
    <font>
      <sz val="7"/>
      <color rgb="FF000000"/>
      <name val="Calibri"/>
      <family val="2"/>
      <charset val="204"/>
    </font>
    <font>
      <sz val="11"/>
      <color theme="1"/>
      <name val="Times New Roman"/>
    </font>
    <font>
      <b/>
      <sz val="12"/>
      <color rgb="FF000000"/>
      <name val="Times New Roman"/>
    </font>
    <font>
      <b/>
      <sz val="11"/>
      <color rgb="FF000000"/>
      <name val="Times New Roman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sz val="10"/>
      <color rgb="FF000000"/>
      <name val="Times New Roman"/>
    </font>
    <font>
      <sz val="12"/>
      <color rgb="FF000000"/>
      <name val="Calibri"/>
      <family val="2"/>
      <scheme val="minor"/>
    </font>
    <font>
      <sz val="12"/>
      <color rgb="FF000000"/>
      <name val="Times New Roman"/>
    </font>
    <font>
      <sz val="12"/>
      <color theme="1"/>
      <name val="Calibri"/>
      <scheme val="minor"/>
    </font>
    <font>
      <sz val="11"/>
      <color rgb="FF000000"/>
      <name val="Times New Roman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Aptos Narrow"/>
      <family val="2"/>
    </font>
    <font>
      <sz val="6"/>
      <color rgb="FF000000"/>
      <name val="Calibri"/>
    </font>
    <font>
      <sz val="6"/>
      <color rgb="FF000000"/>
      <name val="Times New Roman"/>
    </font>
  </fonts>
  <fills count="13">
    <fill>
      <patternFill patternType="none"/>
    </fill>
    <fill>
      <patternFill patternType="gray125"/>
    </fill>
    <fill>
      <patternFill patternType="solid">
        <fgColor rgb="FF9BBB58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7F0B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6699"/>
        <bgColor rgb="FF000000"/>
      </patternFill>
    </fill>
    <fill>
      <patternFill patternType="solid">
        <fgColor theme="6"/>
        <bgColor indexed="64"/>
      </patternFill>
    </fill>
    <fill>
      <patternFill patternType="solid">
        <fgColor rgb="FF9BBB58"/>
        <bgColor rgb="FF000000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right" vertical="center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center" vertical="top" wrapText="1"/>
    </xf>
    <xf numFmtId="0" fontId="5" fillId="0" borderId="0" xfId="0" applyFont="1" applyAlignment="1">
      <alignment wrapText="1"/>
    </xf>
    <xf numFmtId="0" fontId="4" fillId="2" borderId="3" xfId="0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vertical="center" wrapText="1"/>
    </xf>
    <xf numFmtId="15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6" fillId="4" borderId="9" xfId="0" applyFont="1" applyFill="1" applyBorder="1"/>
    <xf numFmtId="0" fontId="6" fillId="4" borderId="10" xfId="0" applyFont="1" applyFill="1" applyBorder="1"/>
    <xf numFmtId="0" fontId="8" fillId="5" borderId="0" xfId="0" applyFont="1" applyFill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8" fillId="4" borderId="14" xfId="0" applyFont="1" applyFill="1" applyBorder="1"/>
    <xf numFmtId="0" fontId="8" fillId="4" borderId="15" xfId="0" applyFont="1" applyFill="1" applyBorder="1"/>
    <xf numFmtId="0" fontId="9" fillId="4" borderId="9" xfId="0" applyFont="1" applyFill="1" applyBorder="1" applyAlignment="1">
      <alignment horizontal="center"/>
    </xf>
    <xf numFmtId="0" fontId="6" fillId="5" borderId="0" xfId="0" applyFont="1" applyFill="1"/>
    <xf numFmtId="0" fontId="6" fillId="3" borderId="0" xfId="0" applyFont="1" applyFill="1"/>
    <xf numFmtId="0" fontId="10" fillId="6" borderId="16" xfId="0" applyFont="1" applyFill="1" applyBorder="1" applyAlignment="1">
      <alignment horizontal="center" vertical="center" wrapText="1"/>
    </xf>
    <xf numFmtId="0" fontId="10" fillId="6" borderId="17" xfId="0" applyFont="1" applyFill="1" applyBorder="1" applyAlignment="1">
      <alignment horizontal="center" vertical="center" wrapText="1"/>
    </xf>
    <xf numFmtId="0" fontId="10" fillId="6" borderId="18" xfId="0" applyFont="1" applyFill="1" applyBorder="1" applyAlignment="1">
      <alignment horizontal="right" vertical="center" wrapText="1"/>
    </xf>
    <xf numFmtId="0" fontId="10" fillId="6" borderId="19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0" fontId="10" fillId="6" borderId="20" xfId="0" applyFont="1" applyFill="1" applyBorder="1" applyAlignment="1">
      <alignment horizontal="right" vertical="center" wrapText="1"/>
    </xf>
    <xf numFmtId="0" fontId="10" fillId="6" borderId="21" xfId="0" applyFont="1" applyFill="1" applyBorder="1" applyAlignment="1">
      <alignment horizontal="center" vertical="center" wrapText="1"/>
    </xf>
    <xf numFmtId="0" fontId="10" fillId="6" borderId="20" xfId="0" applyFont="1" applyFill="1" applyBorder="1" applyAlignment="1">
      <alignment horizontal="center" vertical="center" wrapText="1"/>
    </xf>
    <xf numFmtId="0" fontId="10" fillId="6" borderId="22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0" fillId="6" borderId="16" xfId="0" applyFont="1" applyFill="1" applyBorder="1" applyAlignment="1">
      <alignment horizontal="center" wrapText="1"/>
    </xf>
    <xf numFmtId="0" fontId="10" fillId="6" borderId="20" xfId="0" applyFont="1" applyFill="1" applyBorder="1" applyAlignment="1">
      <alignment horizontal="center" wrapText="1"/>
    </xf>
    <xf numFmtId="0" fontId="10" fillId="6" borderId="17" xfId="0" applyFont="1" applyFill="1" applyBorder="1" applyAlignment="1">
      <alignment wrapText="1"/>
    </xf>
    <xf numFmtId="0" fontId="10" fillId="6" borderId="19" xfId="0" applyFont="1" applyFill="1" applyBorder="1" applyAlignment="1">
      <alignment horizontal="center" wrapText="1"/>
    </xf>
    <xf numFmtId="0" fontId="11" fillId="5" borderId="0" xfId="0" applyFont="1" applyFill="1" applyAlignment="1">
      <alignment wrapText="1"/>
    </xf>
    <xf numFmtId="0" fontId="10" fillId="6" borderId="23" xfId="0" applyFont="1" applyFill="1" applyBorder="1" applyAlignment="1">
      <alignment wrapText="1"/>
    </xf>
    <xf numFmtId="0" fontId="10" fillId="6" borderId="12" xfId="0" applyFont="1" applyFill="1" applyBorder="1" applyAlignment="1">
      <alignment horizontal="center" wrapText="1"/>
    </xf>
    <xf numFmtId="0" fontId="10" fillId="6" borderId="12" xfId="0" applyFont="1" applyFill="1" applyBorder="1" applyAlignment="1">
      <alignment horizontal="right" wrapText="1"/>
    </xf>
    <xf numFmtId="0" fontId="10" fillId="6" borderId="24" xfId="0" applyFont="1" applyFill="1" applyBorder="1" applyAlignment="1">
      <alignment horizontal="center" wrapText="1"/>
    </xf>
    <xf numFmtId="0" fontId="10" fillId="5" borderId="0" xfId="0" applyFont="1" applyFill="1" applyAlignment="1">
      <alignment horizontal="center" vertical="center" wrapText="1"/>
    </xf>
    <xf numFmtId="0" fontId="12" fillId="6" borderId="23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right" vertical="center" wrapText="1"/>
    </xf>
    <xf numFmtId="0" fontId="12" fillId="6" borderId="24" xfId="0" applyFont="1" applyFill="1" applyBorder="1" applyAlignment="1">
      <alignment horizontal="center" vertical="center" wrapText="1"/>
    </xf>
    <xf numFmtId="0" fontId="7" fillId="6" borderId="25" xfId="0" applyFont="1" applyFill="1" applyBorder="1" applyAlignment="1">
      <alignment horizontal="center" vertical="center" wrapText="1"/>
    </xf>
    <xf numFmtId="0" fontId="13" fillId="6" borderId="26" xfId="0" applyFont="1" applyFill="1" applyBorder="1" applyAlignment="1">
      <alignment horizontal="center" vertical="center" wrapText="1"/>
    </xf>
    <xf numFmtId="0" fontId="14" fillId="0" borderId="23" xfId="0" applyFont="1" applyBorder="1"/>
    <xf numFmtId="0" fontId="14" fillId="0" borderId="12" xfId="0" applyFont="1" applyBorder="1"/>
    <xf numFmtId="0" fontId="10" fillId="0" borderId="12" xfId="0" applyFont="1" applyBorder="1" applyAlignment="1">
      <alignment horizontal="right"/>
    </xf>
    <xf numFmtId="0" fontId="10" fillId="7" borderId="27" xfId="0" applyFont="1" applyFill="1" applyBorder="1"/>
    <xf numFmtId="0" fontId="11" fillId="5" borderId="0" xfId="0" applyFont="1" applyFill="1"/>
    <xf numFmtId="0" fontId="10" fillId="0" borderId="23" xfId="0" applyFont="1" applyBorder="1"/>
    <xf numFmtId="0" fontId="10" fillId="8" borderId="24" xfId="0" applyFont="1" applyFill="1" applyBorder="1"/>
    <xf numFmtId="0" fontId="10" fillId="0" borderId="23" xfId="0" applyFont="1" applyBorder="1" applyAlignment="1">
      <alignment horizontal="right"/>
    </xf>
    <xf numFmtId="0" fontId="10" fillId="7" borderId="28" xfId="0" applyFont="1" applyFill="1" applyBorder="1"/>
    <xf numFmtId="0" fontId="10" fillId="0" borderId="12" xfId="0" applyFont="1" applyBorder="1"/>
    <xf numFmtId="0" fontId="10" fillId="0" borderId="29" xfId="0" applyFont="1" applyBorder="1"/>
    <xf numFmtId="0" fontId="10" fillId="0" borderId="27" xfId="0" applyFont="1" applyBorder="1"/>
    <xf numFmtId="0" fontId="10" fillId="0" borderId="30" xfId="0" applyFont="1" applyBorder="1"/>
    <xf numFmtId="0" fontId="10" fillId="0" borderId="18" xfId="0" applyFont="1" applyBorder="1"/>
    <xf numFmtId="0" fontId="10" fillId="0" borderId="18" xfId="0" applyFont="1" applyBorder="1" applyAlignment="1">
      <alignment horizontal="right"/>
    </xf>
    <xf numFmtId="0" fontId="12" fillId="7" borderId="31" xfId="0" applyFont="1" applyFill="1" applyBorder="1"/>
    <xf numFmtId="0" fontId="10" fillId="0" borderId="24" xfId="0" applyFont="1" applyBorder="1"/>
    <xf numFmtId="0" fontId="10" fillId="7" borderId="24" xfId="0" applyFont="1" applyFill="1" applyBorder="1"/>
    <xf numFmtId="0" fontId="10" fillId="5" borderId="0" xfId="0" applyFont="1" applyFill="1"/>
    <xf numFmtId="0" fontId="12" fillId="0" borderId="23" xfId="0" applyFont="1" applyBorder="1"/>
    <xf numFmtId="0" fontId="12" fillId="0" borderId="12" xfId="0" applyFont="1" applyBorder="1"/>
    <xf numFmtId="0" fontId="12" fillId="7" borderId="24" xfId="0" applyFont="1" applyFill="1" applyBorder="1"/>
    <xf numFmtId="0" fontId="10" fillId="0" borderId="32" xfId="0" applyFont="1" applyBorder="1"/>
    <xf numFmtId="0" fontId="10" fillId="0" borderId="33" xfId="0" applyFont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10" fillId="0" borderId="28" xfId="0" applyFont="1" applyBorder="1" applyAlignment="1">
      <alignment horizontal="right"/>
    </xf>
    <xf numFmtId="0" fontId="10" fillId="0" borderId="34" xfId="0" applyFont="1" applyBorder="1"/>
    <xf numFmtId="0" fontId="10" fillId="0" borderId="31" xfId="0" applyFont="1" applyBorder="1"/>
    <xf numFmtId="0" fontId="12" fillId="0" borderId="24" xfId="0" applyFont="1" applyBorder="1"/>
    <xf numFmtId="0" fontId="10" fillId="0" borderId="35" xfId="0" applyFont="1" applyBorder="1"/>
    <xf numFmtId="0" fontId="10" fillId="0" borderId="36" xfId="0" applyFont="1" applyBorder="1"/>
    <xf numFmtId="0" fontId="10" fillId="0" borderId="36" xfId="0" applyFont="1" applyBorder="1" applyAlignment="1">
      <alignment horizontal="right"/>
    </xf>
    <xf numFmtId="0" fontId="10" fillId="7" borderId="37" xfId="0" applyFont="1" applyFill="1" applyBorder="1"/>
    <xf numFmtId="0" fontId="11" fillId="5" borderId="0" xfId="0" applyFont="1" applyFill="1" applyAlignment="1">
      <alignment horizontal="left"/>
    </xf>
    <xf numFmtId="0" fontId="12" fillId="0" borderId="35" xfId="0" applyFont="1" applyBorder="1"/>
    <xf numFmtId="0" fontId="12" fillId="0" borderId="36" xfId="0" applyFont="1" applyBorder="1"/>
    <xf numFmtId="0" fontId="12" fillId="0" borderId="36" xfId="0" applyFont="1" applyBorder="1" applyAlignment="1">
      <alignment horizontal="right"/>
    </xf>
    <xf numFmtId="0" fontId="12" fillId="0" borderId="37" xfId="0" applyFont="1" applyBorder="1"/>
    <xf numFmtId="0" fontId="11" fillId="3" borderId="0" xfId="0" applyFont="1" applyFill="1"/>
    <xf numFmtId="0" fontId="10" fillId="0" borderId="32" xfId="0" applyFont="1" applyBorder="1" applyAlignment="1">
      <alignment wrapText="1"/>
    </xf>
    <xf numFmtId="0" fontId="10" fillId="7" borderId="31" xfId="0" applyFont="1" applyFill="1" applyBorder="1"/>
    <xf numFmtId="0" fontId="11" fillId="3" borderId="0" xfId="0" applyFont="1" applyFill="1" applyAlignment="1">
      <alignment horizontal="right"/>
    </xf>
    <xf numFmtId="0" fontId="11" fillId="3" borderId="0" xfId="0" applyFont="1" applyFill="1" applyAlignment="1">
      <alignment wrapText="1"/>
    </xf>
    <xf numFmtId="0" fontId="10" fillId="0" borderId="38" xfId="0" applyFont="1" applyBorder="1"/>
    <xf numFmtId="0" fontId="10" fillId="0" borderId="39" xfId="0" applyFont="1" applyBorder="1" applyAlignment="1">
      <alignment horizontal="center"/>
    </xf>
    <xf numFmtId="0" fontId="12" fillId="7" borderId="24" xfId="0" applyFont="1" applyFill="1" applyBorder="1" applyAlignment="1">
      <alignment wrapText="1"/>
    </xf>
    <xf numFmtId="0" fontId="10" fillId="0" borderId="28" xfId="0" applyFont="1" applyBorder="1"/>
    <xf numFmtId="0" fontId="10" fillId="0" borderId="20" xfId="0" applyFont="1" applyBorder="1"/>
    <xf numFmtId="0" fontId="10" fillId="0" borderId="17" xfId="0" applyFont="1" applyBorder="1"/>
    <xf numFmtId="0" fontId="10" fillId="7" borderId="19" xfId="0" applyFont="1" applyFill="1" applyBorder="1"/>
    <xf numFmtId="0" fontId="12" fillId="0" borderId="12" xfId="0" applyFont="1" applyBorder="1" applyAlignment="1">
      <alignment horizontal="right"/>
    </xf>
    <xf numFmtId="0" fontId="10" fillId="0" borderId="35" xfId="0" applyFont="1" applyBorder="1" applyAlignment="1">
      <alignment horizontal="right"/>
    </xf>
    <xf numFmtId="0" fontId="10" fillId="0" borderId="40" xfId="0" applyFont="1" applyBorder="1"/>
    <xf numFmtId="0" fontId="12" fillId="7" borderId="37" xfId="0" applyFont="1" applyFill="1" applyBorder="1"/>
    <xf numFmtId="0" fontId="10" fillId="0" borderId="6" xfId="0" applyFont="1" applyBorder="1" applyAlignment="1">
      <alignment horizontal="right"/>
    </xf>
    <xf numFmtId="0" fontId="10" fillId="7" borderId="41" xfId="0" applyFont="1" applyFill="1" applyBorder="1"/>
    <xf numFmtId="0" fontId="11" fillId="5" borderId="0" xfId="0" applyFont="1" applyFill="1" applyAlignment="1">
      <alignment horizontal="right"/>
    </xf>
    <xf numFmtId="0" fontId="12" fillId="7" borderId="42" xfId="0" applyFont="1" applyFill="1" applyBorder="1"/>
    <xf numFmtId="0" fontId="12" fillId="7" borderId="27" xfId="0" applyFont="1" applyFill="1" applyBorder="1"/>
    <xf numFmtId="0" fontId="10" fillId="0" borderId="40" xfId="0" applyFont="1" applyBorder="1" applyAlignment="1">
      <alignment horizontal="right"/>
    </xf>
    <xf numFmtId="0" fontId="10" fillId="0" borderId="37" xfId="0" applyFont="1" applyBorder="1"/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0" fillId="0" borderId="43" xfId="0" applyFont="1" applyBorder="1"/>
    <xf numFmtId="0" fontId="10" fillId="0" borderId="44" xfId="0" applyFont="1" applyBorder="1"/>
    <xf numFmtId="0" fontId="10" fillId="0" borderId="42" xfId="0" applyFont="1" applyBorder="1"/>
    <xf numFmtId="0" fontId="16" fillId="0" borderId="35" xfId="0" applyFont="1" applyBorder="1"/>
    <xf numFmtId="0" fontId="16" fillId="0" borderId="36" xfId="0" applyFont="1" applyBorder="1"/>
    <xf numFmtId="0" fontId="12" fillId="0" borderId="45" xfId="0" applyFont="1" applyBorder="1"/>
    <xf numFmtId="0" fontId="15" fillId="5" borderId="0" xfId="0" applyFont="1" applyFill="1"/>
    <xf numFmtId="0" fontId="15" fillId="5" borderId="0" xfId="0" applyFont="1" applyFill="1" applyAlignment="1">
      <alignment horizontal="right"/>
    </xf>
    <xf numFmtId="0" fontId="0" fillId="5" borderId="0" xfId="0" applyFill="1"/>
    <xf numFmtId="0" fontId="17" fillId="5" borderId="0" xfId="0" applyFont="1" applyFill="1" applyAlignment="1">
      <alignment horizontal="right"/>
    </xf>
    <xf numFmtId="0" fontId="17" fillId="5" borderId="0" xfId="0" applyFont="1" applyFill="1"/>
    <xf numFmtId="0" fontId="18" fillId="3" borderId="0" xfId="0" applyFont="1" applyFill="1"/>
    <xf numFmtId="0" fontId="17" fillId="3" borderId="0" xfId="0" applyFont="1" applyFill="1" applyAlignment="1">
      <alignment horizontal="right"/>
    </xf>
    <xf numFmtId="0" fontId="17" fillId="3" borderId="0" xfId="0" applyFont="1" applyFill="1"/>
    <xf numFmtId="0" fontId="0" fillId="3" borderId="0" xfId="0" applyFill="1"/>
    <xf numFmtId="0" fontId="17" fillId="7" borderId="46" xfId="0" applyFont="1" applyFill="1" applyBorder="1"/>
    <xf numFmtId="0" fontId="0" fillId="3" borderId="0" xfId="0" applyFill="1" applyAlignment="1">
      <alignment horizontal="right"/>
    </xf>
    <xf numFmtId="0" fontId="19" fillId="9" borderId="0" xfId="0" applyFont="1" applyFill="1"/>
    <xf numFmtId="0" fontId="19" fillId="9" borderId="47" xfId="0" applyFont="1" applyFill="1" applyBorder="1"/>
    <xf numFmtId="0" fontId="19" fillId="10" borderId="48" xfId="0" applyFont="1" applyFill="1" applyBorder="1"/>
    <xf numFmtId="0" fontId="19" fillId="9" borderId="1" xfId="0" applyFont="1" applyFill="1" applyBorder="1"/>
    <xf numFmtId="0" fontId="19" fillId="9" borderId="7" xfId="0" applyFont="1" applyFill="1" applyBorder="1"/>
    <xf numFmtId="15" fontId="1" fillId="0" borderId="7" xfId="0" applyNumberFormat="1" applyFont="1" applyBorder="1" applyAlignment="1">
      <alignment horizontal="center" vertical="center" wrapText="1"/>
    </xf>
    <xf numFmtId="0" fontId="0" fillId="0" borderId="12" xfId="0" applyBorder="1"/>
    <xf numFmtId="0" fontId="10" fillId="6" borderId="0" xfId="0" applyFont="1" applyFill="1" applyAlignment="1">
      <alignment horizontal="center" vertical="center" wrapText="1"/>
    </xf>
    <xf numFmtId="0" fontId="10" fillId="7" borderId="49" xfId="0" applyFont="1" applyFill="1" applyBorder="1"/>
    <xf numFmtId="0" fontId="12" fillId="7" borderId="49" xfId="0" applyFont="1" applyFill="1" applyBorder="1"/>
    <xf numFmtId="0" fontId="10" fillId="0" borderId="49" xfId="0" applyFont="1" applyBorder="1"/>
    <xf numFmtId="0" fontId="12" fillId="0" borderId="50" xfId="0" applyFont="1" applyBorder="1"/>
    <xf numFmtId="0" fontId="10" fillId="8" borderId="28" xfId="0" applyFont="1" applyFill="1" applyBorder="1"/>
    <xf numFmtId="0" fontId="10" fillId="7" borderId="2" xfId="0" applyFont="1" applyFill="1" applyBorder="1"/>
    <xf numFmtId="0" fontId="10" fillId="0" borderId="51" xfId="0" applyFont="1" applyBorder="1"/>
    <xf numFmtId="0" fontId="10" fillId="7" borderId="51" xfId="0" applyFont="1" applyFill="1" applyBorder="1"/>
    <xf numFmtId="0" fontId="10" fillId="7" borderId="0" xfId="0" applyFont="1" applyFill="1"/>
    <xf numFmtId="0" fontId="10" fillId="0" borderId="52" xfId="0" applyFont="1" applyBorder="1"/>
    <xf numFmtId="0" fontId="12" fillId="7" borderId="51" xfId="0" applyFont="1" applyFill="1" applyBorder="1"/>
    <xf numFmtId="0" fontId="12" fillId="7" borderId="52" xfId="0" applyFont="1" applyFill="1" applyBorder="1"/>
    <xf numFmtId="0" fontId="12" fillId="0" borderId="28" xfId="0" applyFont="1" applyBorder="1"/>
    <xf numFmtId="0" fontId="12" fillId="7" borderId="28" xfId="0" applyFont="1" applyFill="1" applyBorder="1"/>
    <xf numFmtId="0" fontId="12" fillId="7" borderId="28" xfId="0" applyFont="1" applyFill="1" applyBorder="1" applyAlignment="1">
      <alignment wrapText="1"/>
    </xf>
    <xf numFmtId="0" fontId="12" fillId="7" borderId="40" xfId="0" applyFont="1" applyFill="1" applyBorder="1"/>
    <xf numFmtId="0" fontId="10" fillId="7" borderId="40" xfId="0" applyFont="1" applyFill="1" applyBorder="1"/>
    <xf numFmtId="0" fontId="12" fillId="0" borderId="40" xfId="0" applyFont="1" applyBorder="1"/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8" fillId="4" borderId="10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0" fontId="17" fillId="3" borderId="0" xfId="0" applyFont="1" applyFill="1" applyAlignment="1">
      <alignment horizontal="left"/>
    </xf>
    <xf numFmtId="0" fontId="8" fillId="4" borderId="14" xfId="0" applyFont="1" applyFill="1" applyBorder="1" applyAlignment="1">
      <alignment horizontal="center"/>
    </xf>
    <xf numFmtId="0" fontId="11" fillId="3" borderId="0" xfId="0" applyFont="1" applyFill="1" applyAlignment="1">
      <alignment horizontal="left"/>
    </xf>
    <xf numFmtId="0" fontId="15" fillId="3" borderId="0" xfId="0" applyFont="1" applyFill="1" applyAlignment="1">
      <alignment horizontal="left"/>
    </xf>
    <xf numFmtId="15" fontId="4" fillId="2" borderId="12" xfId="0" applyNumberFormat="1" applyFont="1" applyFill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11" borderId="5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7" fillId="4" borderId="10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0" fontId="9" fillId="4" borderId="11" xfId="0" applyFont="1" applyFill="1" applyBorder="1" applyAlignment="1">
      <alignment horizontal="center"/>
    </xf>
    <xf numFmtId="0" fontId="17" fillId="3" borderId="0" xfId="0" applyFont="1" applyFill="1" applyAlignment="1">
      <alignment horizontal="left"/>
    </xf>
    <xf numFmtId="0" fontId="8" fillId="4" borderId="14" xfId="0" applyFont="1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11" fillId="3" borderId="0" xfId="0" applyFont="1" applyFill="1" applyAlignment="1">
      <alignment horizontal="left"/>
    </xf>
    <xf numFmtId="0" fontId="15" fillId="3" borderId="0" xfId="0" applyFont="1" applyFill="1" applyAlignment="1">
      <alignment horizontal="left"/>
    </xf>
    <xf numFmtId="0" fontId="19" fillId="9" borderId="12" xfId="0" applyFont="1" applyFill="1" applyBorder="1" applyAlignment="1">
      <alignment horizontal="left"/>
    </xf>
    <xf numFmtId="0" fontId="19" fillId="9" borderId="8" xfId="0" applyFont="1" applyFill="1" applyBorder="1"/>
    <xf numFmtId="0" fontId="19" fillId="9" borderId="4" xfId="0" applyFont="1" applyFill="1" applyBorder="1"/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102"/>
  <sheetViews>
    <sheetView tabSelected="1" zoomScale="160" zoomScaleNormal="160" zoomScaleSheetLayoutView="100" workbookViewId="0">
      <pane xSplit="5" ySplit="1" topLeftCell="M26" activePane="bottomRight" state="frozen"/>
      <selection pane="topRight"/>
      <selection pane="bottomLeft" activeCell="A2" sqref="A2"/>
      <selection pane="bottomRight" activeCell="D93" sqref="D93"/>
    </sheetView>
  </sheetViews>
  <sheetFormatPr defaultColWidth="9.140625" defaultRowHeight="15" customHeight="1" x14ac:dyDescent="0.15"/>
  <cols>
    <col min="1" max="1" width="3.42578125" style="1" customWidth="1"/>
    <col min="2" max="3" width="29.42578125" style="5" customWidth="1"/>
    <col min="4" max="4" width="8" style="20" customWidth="1"/>
    <col min="5" max="5" width="7.42578125" style="5" customWidth="1"/>
    <col min="6" max="6" width="8" style="5" hidden="1" customWidth="1"/>
    <col min="7" max="7" width="6.140625" style="177" hidden="1" customWidth="1"/>
    <col min="8" max="8" width="5.85546875" style="5" hidden="1" customWidth="1"/>
    <col min="9" max="9" width="7" style="5" hidden="1" customWidth="1"/>
    <col min="10" max="10" width="5.85546875" style="5" hidden="1" customWidth="1"/>
    <col min="11" max="12" width="5.85546875" style="19" hidden="1" customWidth="1"/>
    <col min="13" max="13" width="11.28515625" style="5" bestFit="1" customWidth="1"/>
    <col min="14" max="14" width="10.7109375" style="5" customWidth="1"/>
    <col min="15" max="15" width="11.42578125" style="10" customWidth="1"/>
    <col min="16" max="16" width="14.7109375" style="1" customWidth="1"/>
    <col min="17" max="17" width="9.140625" style="1" customWidth="1"/>
    <col min="18" max="18" width="24.140625" style="1" customWidth="1"/>
    <col min="19" max="19" width="16.140625" style="1" customWidth="1"/>
    <col min="20" max="20" width="5.5703125" style="1" customWidth="1"/>
    <col min="21" max="21" width="4.28515625" style="1" customWidth="1"/>
    <col min="22" max="22" width="6.42578125" style="1" customWidth="1"/>
    <col min="23" max="23" width="4.85546875" style="1" customWidth="1"/>
    <col min="24" max="24" width="4.28515625" style="1" customWidth="1"/>
    <col min="25" max="25" width="3.85546875" style="1" customWidth="1"/>
    <col min="26" max="26" width="4.7109375" style="1" customWidth="1"/>
    <col min="27" max="27" width="13.7109375" style="1" customWidth="1"/>
    <col min="28" max="16384" width="9.140625" style="1"/>
  </cols>
  <sheetData>
    <row r="1" spans="1:28" s="16" customFormat="1" ht="15" customHeight="1" x14ac:dyDescent="0.15">
      <c r="A1" s="11" t="s">
        <v>0</v>
      </c>
      <c r="B1" s="12" t="s">
        <v>1</v>
      </c>
      <c r="C1" s="12" t="s">
        <v>884</v>
      </c>
      <c r="D1" s="17" t="s">
        <v>2</v>
      </c>
      <c r="E1" s="12" t="s">
        <v>3</v>
      </c>
      <c r="F1" s="17" t="s">
        <v>5</v>
      </c>
      <c r="G1" s="178" t="s">
        <v>4</v>
      </c>
      <c r="H1" s="21" t="s">
        <v>781</v>
      </c>
      <c r="I1" s="21" t="s">
        <v>782</v>
      </c>
      <c r="J1" s="21" t="s">
        <v>783</v>
      </c>
      <c r="K1" s="176" t="s">
        <v>786</v>
      </c>
      <c r="L1" s="176" t="s">
        <v>681</v>
      </c>
      <c r="M1" s="12" t="s">
        <v>6</v>
      </c>
      <c r="N1" s="12" t="s">
        <v>7</v>
      </c>
      <c r="O1" s="13" t="s">
        <v>784</v>
      </c>
      <c r="P1" s="14" t="s">
        <v>780</v>
      </c>
      <c r="Q1" s="14" t="s">
        <v>779</v>
      </c>
      <c r="R1" s="14" t="s">
        <v>683</v>
      </c>
      <c r="S1" s="15" t="s">
        <v>8</v>
      </c>
      <c r="T1" s="15" t="s">
        <v>9</v>
      </c>
      <c r="U1" s="14" t="s">
        <v>10</v>
      </c>
      <c r="V1" s="14" t="s">
        <v>11</v>
      </c>
      <c r="W1" s="14" t="s">
        <v>12</v>
      </c>
      <c r="X1" s="14" t="s">
        <v>13</v>
      </c>
      <c r="Y1" s="14" t="s">
        <v>14</v>
      </c>
      <c r="Z1" s="14" t="s">
        <v>15</v>
      </c>
      <c r="AA1" s="14" t="s">
        <v>16</v>
      </c>
      <c r="AB1" s="179" t="s">
        <v>17</v>
      </c>
    </row>
    <row r="2" spans="1:28" ht="15" customHeight="1" x14ac:dyDescent="0.15">
      <c r="A2" s="7">
        <v>1</v>
      </c>
      <c r="B2" s="4" t="s">
        <v>18</v>
      </c>
      <c r="C2" s="4" t="s">
        <v>787</v>
      </c>
      <c r="D2" s="7">
        <v>214</v>
      </c>
      <c r="E2" s="4">
        <v>2015</v>
      </c>
      <c r="F2" s="23" t="s">
        <v>19</v>
      </c>
      <c r="G2" s="23" t="s">
        <v>785</v>
      </c>
      <c r="H2" s="4"/>
      <c r="I2" s="4" t="s">
        <v>785</v>
      </c>
      <c r="J2" s="4" t="s">
        <v>785</v>
      </c>
      <c r="K2" s="147">
        <v>44398</v>
      </c>
      <c r="L2" s="18">
        <f t="shared" ref="L2:L33" si="0">K2+300</f>
        <v>44698</v>
      </c>
      <c r="M2" s="4" t="s">
        <v>682</v>
      </c>
      <c r="N2" s="4" t="s">
        <v>20</v>
      </c>
      <c r="O2" s="8" t="s">
        <v>21</v>
      </c>
      <c r="P2" s="169" t="s">
        <v>22</v>
      </c>
      <c r="Q2" s="169" t="s">
        <v>23</v>
      </c>
      <c r="R2" s="169" t="s">
        <v>684</v>
      </c>
      <c r="S2" s="169" t="s">
        <v>24</v>
      </c>
      <c r="T2" s="169">
        <v>560076</v>
      </c>
      <c r="U2" s="169" t="s">
        <v>25</v>
      </c>
      <c r="V2" s="169" t="s">
        <v>26</v>
      </c>
      <c r="W2" s="169">
        <v>8</v>
      </c>
      <c r="X2" s="169">
        <v>0</v>
      </c>
      <c r="Y2" s="169">
        <v>3</v>
      </c>
      <c r="Z2" s="169">
        <v>1</v>
      </c>
      <c r="AA2" s="169" t="s">
        <v>785</v>
      </c>
      <c r="AB2" s="168" t="s">
        <v>637</v>
      </c>
    </row>
    <row r="3" spans="1:28" ht="15" customHeight="1" x14ac:dyDescent="0.15">
      <c r="A3" s="7">
        <v>2</v>
      </c>
      <c r="B3" s="4" t="s">
        <v>29</v>
      </c>
      <c r="C3" s="4" t="s">
        <v>788</v>
      </c>
      <c r="D3" s="7">
        <v>135</v>
      </c>
      <c r="E3" s="4">
        <v>2015</v>
      </c>
      <c r="F3" s="23" t="s">
        <v>30</v>
      </c>
      <c r="G3" s="23" t="s">
        <v>785</v>
      </c>
      <c r="H3" s="4"/>
      <c r="I3" s="4" t="s">
        <v>785</v>
      </c>
      <c r="J3" s="4" t="s">
        <v>785</v>
      </c>
      <c r="K3" s="18"/>
      <c r="L3" s="18">
        <f t="shared" si="0"/>
        <v>300</v>
      </c>
      <c r="M3" s="4" t="s">
        <v>31</v>
      </c>
      <c r="N3" s="4" t="s">
        <v>32</v>
      </c>
      <c r="O3" s="8" t="s">
        <v>33</v>
      </c>
      <c r="P3" s="169" t="s">
        <v>34</v>
      </c>
      <c r="Q3" s="168" t="s">
        <v>785</v>
      </c>
      <c r="R3" s="168" t="s">
        <v>685</v>
      </c>
      <c r="S3" s="169" t="s">
        <v>24</v>
      </c>
      <c r="T3" s="169">
        <v>560044</v>
      </c>
      <c r="U3" s="169" t="s">
        <v>25</v>
      </c>
      <c r="V3" s="169" t="s">
        <v>26</v>
      </c>
      <c r="W3" s="169">
        <v>8</v>
      </c>
      <c r="X3" s="169">
        <v>0</v>
      </c>
      <c r="Y3" s="169">
        <v>5</v>
      </c>
      <c r="Z3" s="169">
        <v>1</v>
      </c>
      <c r="AA3" s="168" t="s">
        <v>785</v>
      </c>
      <c r="AB3" s="168" t="s">
        <v>637</v>
      </c>
    </row>
    <row r="4" spans="1:28" ht="15" customHeight="1" x14ac:dyDescent="0.15">
      <c r="A4" s="7">
        <v>3</v>
      </c>
      <c r="B4" s="4" t="s">
        <v>36</v>
      </c>
      <c r="C4" s="4" t="s">
        <v>789</v>
      </c>
      <c r="D4" s="7" t="s">
        <v>785</v>
      </c>
      <c r="E4" s="4" t="s">
        <v>785</v>
      </c>
      <c r="F4" s="23" t="s">
        <v>37</v>
      </c>
      <c r="G4" s="23" t="s">
        <v>785</v>
      </c>
      <c r="H4" s="4"/>
      <c r="I4" s="4" t="s">
        <v>785</v>
      </c>
      <c r="J4" s="4" t="s">
        <v>785</v>
      </c>
      <c r="K4" s="18"/>
      <c r="L4" s="18">
        <f t="shared" si="0"/>
        <v>300</v>
      </c>
      <c r="M4" s="4" t="s">
        <v>38</v>
      </c>
      <c r="N4" s="4" t="s">
        <v>32</v>
      </c>
      <c r="O4" s="8" t="s">
        <v>39</v>
      </c>
      <c r="P4" s="169" t="s">
        <v>40</v>
      </c>
      <c r="Q4" s="169" t="s">
        <v>41</v>
      </c>
      <c r="R4" s="169" t="s">
        <v>686</v>
      </c>
      <c r="S4" s="169" t="s">
        <v>42</v>
      </c>
      <c r="T4" s="169">
        <v>600116</v>
      </c>
      <c r="U4" s="169" t="s">
        <v>43</v>
      </c>
      <c r="V4" s="169" t="s">
        <v>26</v>
      </c>
      <c r="W4" s="169">
        <v>4</v>
      </c>
      <c r="X4" s="169">
        <v>0</v>
      </c>
      <c r="Y4" s="169">
        <v>3</v>
      </c>
      <c r="Z4" s="169">
        <v>1</v>
      </c>
      <c r="AA4" s="168" t="s">
        <v>785</v>
      </c>
      <c r="AB4" s="168" t="s">
        <v>675</v>
      </c>
    </row>
    <row r="5" spans="1:28" ht="15" customHeight="1" x14ac:dyDescent="0.15">
      <c r="A5" s="7">
        <v>4</v>
      </c>
      <c r="B5" s="4" t="s">
        <v>46</v>
      </c>
      <c r="C5" s="4" t="s">
        <v>790</v>
      </c>
      <c r="D5" s="7">
        <v>345</v>
      </c>
      <c r="E5" s="4" t="s">
        <v>47</v>
      </c>
      <c r="F5" s="23" t="s">
        <v>30</v>
      </c>
      <c r="G5" s="23" t="s">
        <v>785</v>
      </c>
      <c r="H5" s="22">
        <v>41236</v>
      </c>
      <c r="I5" s="22" t="s">
        <v>785</v>
      </c>
      <c r="J5" s="22" t="s">
        <v>785</v>
      </c>
      <c r="K5" s="18"/>
      <c r="L5" s="18">
        <f t="shared" si="0"/>
        <v>300</v>
      </c>
      <c r="M5" s="4" t="s">
        <v>48</v>
      </c>
      <c r="N5" s="4" t="s">
        <v>32</v>
      </c>
      <c r="O5" s="8" t="s">
        <v>49</v>
      </c>
      <c r="P5" s="169" t="s">
        <v>51</v>
      </c>
      <c r="Q5" s="169" t="s">
        <v>52</v>
      </c>
      <c r="R5" s="169" t="s">
        <v>687</v>
      </c>
      <c r="S5" s="169" t="s">
        <v>42</v>
      </c>
      <c r="T5" s="169">
        <v>600004</v>
      </c>
      <c r="U5" s="169" t="s">
        <v>43</v>
      </c>
      <c r="V5" s="169" t="s">
        <v>26</v>
      </c>
      <c r="W5" s="168">
        <v>4</v>
      </c>
      <c r="X5" s="168">
        <v>0</v>
      </c>
      <c r="Y5" s="168">
        <v>3</v>
      </c>
      <c r="Z5" s="168">
        <v>1</v>
      </c>
      <c r="AA5" s="168" t="s">
        <v>785</v>
      </c>
      <c r="AB5" s="168" t="s">
        <v>675</v>
      </c>
    </row>
    <row r="6" spans="1:28" ht="15" customHeight="1" x14ac:dyDescent="0.15">
      <c r="A6" s="7">
        <v>5</v>
      </c>
      <c r="B6" s="4" t="s">
        <v>53</v>
      </c>
      <c r="C6" s="4" t="s">
        <v>791</v>
      </c>
      <c r="D6" s="7">
        <v>33</v>
      </c>
      <c r="E6" s="4" t="s">
        <v>54</v>
      </c>
      <c r="F6" s="23" t="s">
        <v>30</v>
      </c>
      <c r="G6" s="23" t="s">
        <v>785</v>
      </c>
      <c r="H6" s="4"/>
      <c r="I6" s="4" t="s">
        <v>785</v>
      </c>
      <c r="J6" s="4" t="s">
        <v>785</v>
      </c>
      <c r="K6" s="18"/>
      <c r="L6" s="18">
        <f t="shared" si="0"/>
        <v>300</v>
      </c>
      <c r="M6" s="4" t="s">
        <v>55</v>
      </c>
      <c r="N6" s="4" t="s">
        <v>32</v>
      </c>
      <c r="O6" s="8" t="s">
        <v>56</v>
      </c>
      <c r="P6" s="169" t="s">
        <v>57</v>
      </c>
      <c r="Q6" s="168" t="s">
        <v>785</v>
      </c>
      <c r="R6" s="168" t="s">
        <v>688</v>
      </c>
      <c r="S6" s="169" t="s">
        <v>58</v>
      </c>
      <c r="T6" s="169">
        <v>500072</v>
      </c>
      <c r="U6" s="169" t="s">
        <v>59</v>
      </c>
      <c r="V6" s="169" t="s">
        <v>26</v>
      </c>
      <c r="W6" s="169">
        <v>6</v>
      </c>
      <c r="X6" s="169">
        <v>0</v>
      </c>
      <c r="Y6" s="169">
        <v>2</v>
      </c>
      <c r="Z6" s="169">
        <v>1</v>
      </c>
      <c r="AA6" s="168" t="s">
        <v>785</v>
      </c>
      <c r="AB6" s="168" t="s">
        <v>675</v>
      </c>
    </row>
    <row r="7" spans="1:28" ht="15" customHeight="1" x14ac:dyDescent="0.15">
      <c r="A7" s="7">
        <v>7</v>
      </c>
      <c r="B7" s="4" t="s">
        <v>62</v>
      </c>
      <c r="C7" s="4" t="s">
        <v>792</v>
      </c>
      <c r="D7" s="7">
        <v>397</v>
      </c>
      <c r="E7" s="4">
        <v>2015</v>
      </c>
      <c r="F7" s="23" t="s">
        <v>30</v>
      </c>
      <c r="G7" s="23" t="s">
        <v>785</v>
      </c>
      <c r="H7" s="4"/>
      <c r="I7" s="4" t="s">
        <v>785</v>
      </c>
      <c r="J7" s="4" t="s">
        <v>785</v>
      </c>
      <c r="K7" s="18"/>
      <c r="L7" s="18">
        <f t="shared" si="0"/>
        <v>300</v>
      </c>
      <c r="M7" s="4" t="s">
        <v>63</v>
      </c>
      <c r="N7" s="4" t="s">
        <v>64</v>
      </c>
      <c r="O7" s="8" t="s">
        <v>65</v>
      </c>
      <c r="P7" s="169" t="s">
        <v>66</v>
      </c>
      <c r="Q7" s="169" t="s">
        <v>67</v>
      </c>
      <c r="R7" s="169" t="s">
        <v>689</v>
      </c>
      <c r="S7" s="169" t="s">
        <v>42</v>
      </c>
      <c r="T7" s="169">
        <v>600098</v>
      </c>
      <c r="U7" s="169" t="s">
        <v>43</v>
      </c>
      <c r="V7" s="169" t="s">
        <v>26</v>
      </c>
      <c r="W7" s="169">
        <v>4</v>
      </c>
      <c r="X7" s="169">
        <v>0</v>
      </c>
      <c r="Y7" s="169">
        <v>4</v>
      </c>
      <c r="Z7" s="169">
        <v>1</v>
      </c>
      <c r="AA7" s="168" t="s">
        <v>785</v>
      </c>
      <c r="AB7" s="168" t="s">
        <v>675</v>
      </c>
    </row>
    <row r="8" spans="1:28" ht="15" customHeight="1" x14ac:dyDescent="0.15">
      <c r="A8" s="7">
        <v>8</v>
      </c>
      <c r="B8" s="4" t="s">
        <v>68</v>
      </c>
      <c r="C8" s="4" t="s">
        <v>793</v>
      </c>
      <c r="D8" s="7">
        <v>514</v>
      </c>
      <c r="E8" s="4">
        <v>2015</v>
      </c>
      <c r="F8" s="23" t="s">
        <v>69</v>
      </c>
      <c r="G8" s="23" t="s">
        <v>785</v>
      </c>
      <c r="H8" s="4"/>
      <c r="I8" s="4" t="s">
        <v>785</v>
      </c>
      <c r="J8" s="4" t="s">
        <v>785</v>
      </c>
      <c r="K8" s="18">
        <v>44260</v>
      </c>
      <c r="L8" s="18">
        <f t="shared" si="0"/>
        <v>44560</v>
      </c>
      <c r="M8" s="4" t="s">
        <v>70</v>
      </c>
      <c r="N8" s="4" t="s">
        <v>71</v>
      </c>
      <c r="O8" s="8" t="s">
        <v>72</v>
      </c>
      <c r="P8" s="169" t="s">
        <v>73</v>
      </c>
      <c r="Q8" s="168" t="s">
        <v>785</v>
      </c>
      <c r="R8" s="168" t="s">
        <v>690</v>
      </c>
      <c r="S8" s="169" t="s">
        <v>24</v>
      </c>
      <c r="T8" s="169">
        <v>560068</v>
      </c>
      <c r="U8" s="169" t="s">
        <v>25</v>
      </c>
      <c r="V8" s="169" t="s">
        <v>26</v>
      </c>
      <c r="W8" s="169">
        <v>8</v>
      </c>
      <c r="X8" s="169">
        <v>0</v>
      </c>
      <c r="Y8" s="169">
        <v>1</v>
      </c>
      <c r="Z8" s="169">
        <v>2</v>
      </c>
      <c r="AA8" s="168" t="s">
        <v>785</v>
      </c>
      <c r="AB8" s="168" t="s">
        <v>637</v>
      </c>
    </row>
    <row r="9" spans="1:28" ht="15" customHeight="1" x14ac:dyDescent="0.15">
      <c r="A9" s="7">
        <v>9</v>
      </c>
      <c r="B9" s="4" t="s">
        <v>75</v>
      </c>
      <c r="C9" s="4" t="s">
        <v>794</v>
      </c>
      <c r="D9" s="7">
        <v>732</v>
      </c>
      <c r="E9" s="4">
        <v>2015</v>
      </c>
      <c r="F9" s="23" t="s">
        <v>69</v>
      </c>
      <c r="G9" s="23" t="s">
        <v>785</v>
      </c>
      <c r="H9" s="22">
        <v>41750</v>
      </c>
      <c r="I9" s="22" t="s">
        <v>785</v>
      </c>
      <c r="J9" s="22" t="s">
        <v>785</v>
      </c>
      <c r="K9" s="18">
        <v>44652</v>
      </c>
      <c r="L9" s="18">
        <f t="shared" si="0"/>
        <v>44952</v>
      </c>
      <c r="M9" s="4" t="s">
        <v>76</v>
      </c>
      <c r="N9" s="4" t="s">
        <v>77</v>
      </c>
      <c r="O9" s="8" t="s">
        <v>78</v>
      </c>
      <c r="P9" s="168" t="s">
        <v>785</v>
      </c>
      <c r="Q9" s="168" t="s">
        <v>785</v>
      </c>
      <c r="R9" s="168" t="s">
        <v>691</v>
      </c>
      <c r="S9" s="169" t="s">
        <v>79</v>
      </c>
      <c r="T9" s="169">
        <v>342003</v>
      </c>
      <c r="U9" s="169" t="s">
        <v>80</v>
      </c>
      <c r="V9" s="169" t="s">
        <v>26</v>
      </c>
      <c r="W9" s="169">
        <v>1</v>
      </c>
      <c r="X9" s="169">
        <v>0</v>
      </c>
      <c r="Y9" s="169">
        <v>0</v>
      </c>
      <c r="Z9" s="169">
        <v>2</v>
      </c>
      <c r="AA9" s="168" t="s">
        <v>785</v>
      </c>
      <c r="AB9" s="168" t="s">
        <v>637</v>
      </c>
    </row>
    <row r="10" spans="1:28" ht="15" customHeight="1" x14ac:dyDescent="0.15">
      <c r="A10" s="7">
        <v>6</v>
      </c>
      <c r="B10" s="4" t="s">
        <v>82</v>
      </c>
      <c r="C10" s="4" t="s">
        <v>795</v>
      </c>
      <c r="D10" s="7">
        <v>811</v>
      </c>
      <c r="E10" s="4" t="s">
        <v>47</v>
      </c>
      <c r="F10" s="23" t="s">
        <v>30</v>
      </c>
      <c r="G10" s="23" t="s">
        <v>785</v>
      </c>
      <c r="H10" s="22">
        <v>43630</v>
      </c>
      <c r="I10" s="22" t="s">
        <v>785</v>
      </c>
      <c r="J10" s="22" t="s">
        <v>785</v>
      </c>
      <c r="K10" s="22">
        <v>44642</v>
      </c>
      <c r="L10" s="18">
        <f t="shared" si="0"/>
        <v>44942</v>
      </c>
      <c r="M10" s="4" t="s">
        <v>83</v>
      </c>
      <c r="N10" s="4" t="s">
        <v>20</v>
      </c>
      <c r="O10" s="8" t="s">
        <v>84</v>
      </c>
      <c r="P10" s="168" t="s">
        <v>85</v>
      </c>
      <c r="Q10" s="168" t="s">
        <v>785</v>
      </c>
      <c r="R10" s="168" t="s">
        <v>692</v>
      </c>
      <c r="S10" s="169" t="s">
        <v>86</v>
      </c>
      <c r="T10" s="169">
        <v>110015</v>
      </c>
      <c r="U10" s="169" t="s">
        <v>87</v>
      </c>
      <c r="V10" s="169" t="s">
        <v>26</v>
      </c>
      <c r="W10" s="169">
        <v>0</v>
      </c>
      <c r="X10" s="169">
        <v>0</v>
      </c>
      <c r="Y10" s="169">
        <v>0</v>
      </c>
      <c r="Z10" s="169">
        <v>0</v>
      </c>
      <c r="AA10" s="168" t="s">
        <v>785</v>
      </c>
      <c r="AB10" s="168" t="s">
        <v>785</v>
      </c>
    </row>
    <row r="11" spans="1:28" ht="15" customHeight="1" x14ac:dyDescent="0.15">
      <c r="A11" s="7">
        <v>10</v>
      </c>
      <c r="B11" s="4" t="s">
        <v>88</v>
      </c>
      <c r="C11" s="4" t="s">
        <v>796</v>
      </c>
      <c r="D11" s="7">
        <v>330</v>
      </c>
      <c r="E11" s="4">
        <v>2015</v>
      </c>
      <c r="F11" s="23" t="s">
        <v>89</v>
      </c>
      <c r="G11" s="23" t="s">
        <v>785</v>
      </c>
      <c r="H11" s="4"/>
      <c r="I11" s="4" t="s">
        <v>785</v>
      </c>
      <c r="J11" s="4" t="s">
        <v>785</v>
      </c>
      <c r="K11" s="18">
        <v>44635</v>
      </c>
      <c r="L11" s="18">
        <f t="shared" si="0"/>
        <v>44935</v>
      </c>
      <c r="M11" s="4" t="s">
        <v>90</v>
      </c>
      <c r="N11" s="4" t="s">
        <v>77</v>
      </c>
      <c r="O11" s="8" t="s">
        <v>91</v>
      </c>
      <c r="P11" s="169" t="s">
        <v>92</v>
      </c>
      <c r="Q11" s="169" t="s">
        <v>93</v>
      </c>
      <c r="R11" s="169" t="s">
        <v>693</v>
      </c>
      <c r="S11" s="169" t="s">
        <v>24</v>
      </c>
      <c r="T11" s="169">
        <v>560068</v>
      </c>
      <c r="U11" s="169" t="s">
        <v>25</v>
      </c>
      <c r="V11" s="169" t="s">
        <v>26</v>
      </c>
      <c r="W11" s="169">
        <v>8</v>
      </c>
      <c r="X11" s="169">
        <v>0</v>
      </c>
      <c r="Y11" s="169">
        <v>5</v>
      </c>
      <c r="Z11" s="169">
        <v>4</v>
      </c>
      <c r="AA11" s="168" t="s">
        <v>785</v>
      </c>
      <c r="AB11" s="168" t="s">
        <v>637</v>
      </c>
    </row>
    <row r="12" spans="1:28" ht="15" customHeight="1" x14ac:dyDescent="0.15">
      <c r="A12" s="7">
        <v>11</v>
      </c>
      <c r="B12" s="4" t="s">
        <v>95</v>
      </c>
      <c r="C12" s="4" t="s">
        <v>797</v>
      </c>
      <c r="D12" s="7">
        <v>207</v>
      </c>
      <c r="E12" s="4" t="s">
        <v>96</v>
      </c>
      <c r="F12" s="23" t="s">
        <v>89</v>
      </c>
      <c r="G12" s="23" t="s">
        <v>785</v>
      </c>
      <c r="H12" s="4"/>
      <c r="I12" s="4" t="s">
        <v>785</v>
      </c>
      <c r="J12" s="4" t="s">
        <v>785</v>
      </c>
      <c r="K12" s="18">
        <v>44553</v>
      </c>
      <c r="L12" s="18">
        <f t="shared" si="0"/>
        <v>44853</v>
      </c>
      <c r="M12" s="4" t="s">
        <v>97</v>
      </c>
      <c r="N12" s="4" t="s">
        <v>98</v>
      </c>
      <c r="O12" s="8" t="s">
        <v>99</v>
      </c>
      <c r="P12" s="169" t="s">
        <v>100</v>
      </c>
      <c r="Q12" s="169" t="s">
        <v>101</v>
      </c>
      <c r="R12" s="169" t="s">
        <v>694</v>
      </c>
      <c r="S12" s="169" t="s">
        <v>24</v>
      </c>
      <c r="T12" s="169">
        <v>560099</v>
      </c>
      <c r="U12" s="169" t="s">
        <v>25</v>
      </c>
      <c r="V12" s="169" t="s">
        <v>26</v>
      </c>
      <c r="W12" s="169">
        <v>8</v>
      </c>
      <c r="X12" s="169">
        <v>0</v>
      </c>
      <c r="Y12" s="169">
        <v>1</v>
      </c>
      <c r="Z12" s="169">
        <v>2</v>
      </c>
      <c r="AA12" s="168" t="s">
        <v>785</v>
      </c>
      <c r="AB12" s="168" t="s">
        <v>637</v>
      </c>
    </row>
    <row r="13" spans="1:28" ht="15" customHeight="1" x14ac:dyDescent="0.15">
      <c r="A13" s="7">
        <v>12</v>
      </c>
      <c r="B13" s="4" t="s">
        <v>102</v>
      </c>
      <c r="C13" s="4" t="s">
        <v>798</v>
      </c>
      <c r="D13" s="7">
        <v>464</v>
      </c>
      <c r="E13" s="4" t="s">
        <v>47</v>
      </c>
      <c r="F13" s="23" t="s">
        <v>69</v>
      </c>
      <c r="G13" s="23" t="s">
        <v>785</v>
      </c>
      <c r="H13" s="4"/>
      <c r="I13" s="4" t="s">
        <v>785</v>
      </c>
      <c r="J13" s="4" t="s">
        <v>785</v>
      </c>
      <c r="K13" s="18">
        <v>44621</v>
      </c>
      <c r="L13" s="18">
        <f t="shared" si="0"/>
        <v>44921</v>
      </c>
      <c r="M13" s="4" t="s">
        <v>103</v>
      </c>
      <c r="N13" s="4" t="s">
        <v>104</v>
      </c>
      <c r="O13" s="8" t="s">
        <v>105</v>
      </c>
      <c r="P13" s="169" t="s">
        <v>106</v>
      </c>
      <c r="Q13" s="168" t="s">
        <v>785</v>
      </c>
      <c r="R13" s="168" t="s">
        <v>695</v>
      </c>
      <c r="S13" s="169" t="s">
        <v>107</v>
      </c>
      <c r="T13" s="169">
        <v>641407</v>
      </c>
      <c r="U13" s="169" t="s">
        <v>43</v>
      </c>
      <c r="V13" s="169" t="s">
        <v>26</v>
      </c>
      <c r="W13" s="169">
        <v>4</v>
      </c>
      <c r="X13" s="169">
        <v>1</v>
      </c>
      <c r="Y13" s="169">
        <v>1</v>
      </c>
      <c r="Z13" s="169">
        <v>1</v>
      </c>
      <c r="AA13" s="168" t="s">
        <v>785</v>
      </c>
      <c r="AB13" s="168" t="s">
        <v>675</v>
      </c>
    </row>
    <row r="14" spans="1:28" ht="15" customHeight="1" x14ac:dyDescent="0.15">
      <c r="A14" s="7">
        <v>13</v>
      </c>
      <c r="B14" s="4" t="s">
        <v>110</v>
      </c>
      <c r="C14" s="4" t="s">
        <v>799</v>
      </c>
      <c r="D14" s="7">
        <v>99</v>
      </c>
      <c r="E14" s="4" t="s">
        <v>47</v>
      </c>
      <c r="F14" s="23" t="s">
        <v>30</v>
      </c>
      <c r="G14" s="23" t="s">
        <v>785</v>
      </c>
      <c r="H14" s="4"/>
      <c r="I14" s="4" t="s">
        <v>785</v>
      </c>
      <c r="J14" s="4" t="s">
        <v>785</v>
      </c>
      <c r="K14" s="18"/>
      <c r="L14" s="18">
        <f t="shared" si="0"/>
        <v>300</v>
      </c>
      <c r="M14" s="4" t="s">
        <v>111</v>
      </c>
      <c r="N14" s="4" t="s">
        <v>32</v>
      </c>
      <c r="O14" s="8" t="s">
        <v>112</v>
      </c>
      <c r="P14" s="169" t="s">
        <v>113</v>
      </c>
      <c r="Q14" s="169" t="s">
        <v>114</v>
      </c>
      <c r="R14" s="169" t="s">
        <v>696</v>
      </c>
      <c r="S14" s="169" t="s">
        <v>107</v>
      </c>
      <c r="T14" s="169">
        <v>641006</v>
      </c>
      <c r="U14" s="169" t="s">
        <v>43</v>
      </c>
      <c r="V14" s="169" t="s">
        <v>26</v>
      </c>
      <c r="W14" s="169">
        <v>4</v>
      </c>
      <c r="X14" s="169">
        <v>1</v>
      </c>
      <c r="Y14" s="169">
        <v>6</v>
      </c>
      <c r="Z14" s="169">
        <v>1</v>
      </c>
      <c r="AA14" s="168" t="s">
        <v>785</v>
      </c>
      <c r="AB14" s="168" t="s">
        <v>675</v>
      </c>
    </row>
    <row r="15" spans="1:28" ht="15" customHeight="1" x14ac:dyDescent="0.15">
      <c r="A15" s="7">
        <v>14</v>
      </c>
      <c r="B15" s="4" t="s">
        <v>116</v>
      </c>
      <c r="C15" s="4" t="s">
        <v>800</v>
      </c>
      <c r="D15" s="7" t="s">
        <v>785</v>
      </c>
      <c r="E15" s="4" t="s">
        <v>785</v>
      </c>
      <c r="F15" s="23" t="s">
        <v>785</v>
      </c>
      <c r="G15" s="23" t="s">
        <v>785</v>
      </c>
      <c r="H15" s="4"/>
      <c r="I15" s="4" t="s">
        <v>785</v>
      </c>
      <c r="J15" s="4" t="s">
        <v>785</v>
      </c>
      <c r="K15" s="18"/>
      <c r="L15" s="18">
        <f t="shared" si="0"/>
        <v>300</v>
      </c>
      <c r="M15" s="4" t="s">
        <v>117</v>
      </c>
      <c r="N15" s="4" t="s">
        <v>104</v>
      </c>
      <c r="O15" s="8" t="s">
        <v>118</v>
      </c>
      <c r="P15" s="169" t="s">
        <v>119</v>
      </c>
      <c r="Q15" s="169" t="s">
        <v>120</v>
      </c>
      <c r="R15" s="169" t="s">
        <v>697</v>
      </c>
      <c r="S15" s="169" t="s">
        <v>24</v>
      </c>
      <c r="T15" s="169">
        <v>560100</v>
      </c>
      <c r="U15" s="169" t="s">
        <v>25</v>
      </c>
      <c r="V15" s="169" t="s">
        <v>26</v>
      </c>
      <c r="W15" s="169">
        <v>8</v>
      </c>
      <c r="X15" s="169">
        <v>0</v>
      </c>
      <c r="Y15" s="169">
        <v>1</v>
      </c>
      <c r="Z15" s="169">
        <v>1</v>
      </c>
      <c r="AA15" s="168" t="s">
        <v>785</v>
      </c>
      <c r="AB15" s="168" t="s">
        <v>637</v>
      </c>
    </row>
    <row r="16" spans="1:28" ht="15" customHeight="1" x14ac:dyDescent="0.15">
      <c r="A16" s="7">
        <v>15</v>
      </c>
      <c r="B16" s="4" t="s">
        <v>122</v>
      </c>
      <c r="C16" s="4" t="s">
        <v>801</v>
      </c>
      <c r="D16" s="7">
        <v>203</v>
      </c>
      <c r="E16" s="4" t="s">
        <v>47</v>
      </c>
      <c r="F16" s="23" t="s">
        <v>30</v>
      </c>
      <c r="G16" s="23" t="s">
        <v>785</v>
      </c>
      <c r="H16" s="4"/>
      <c r="I16" s="4" t="s">
        <v>785</v>
      </c>
      <c r="J16" s="4" t="s">
        <v>785</v>
      </c>
      <c r="K16" s="18">
        <v>44006</v>
      </c>
      <c r="L16" s="18">
        <f t="shared" si="0"/>
        <v>44306</v>
      </c>
      <c r="M16" s="4" t="s">
        <v>123</v>
      </c>
      <c r="N16" s="4" t="s">
        <v>124</v>
      </c>
      <c r="O16" s="8" t="s">
        <v>125</v>
      </c>
      <c r="P16" s="6" t="s">
        <v>785</v>
      </c>
      <c r="Q16" s="168" t="s">
        <v>785</v>
      </c>
      <c r="R16" s="168" t="s">
        <v>698</v>
      </c>
      <c r="S16" s="169" t="s">
        <v>126</v>
      </c>
      <c r="T16" s="169">
        <v>635126</v>
      </c>
      <c r="U16" s="169" t="s">
        <v>43</v>
      </c>
      <c r="V16" s="169" t="s">
        <v>26</v>
      </c>
      <c r="W16" s="169">
        <v>8</v>
      </c>
      <c r="X16" s="169">
        <v>0</v>
      </c>
      <c r="Y16" s="169">
        <v>1</v>
      </c>
      <c r="Z16" s="169">
        <v>3</v>
      </c>
      <c r="AA16" s="168" t="s">
        <v>785</v>
      </c>
      <c r="AB16" s="168" t="s">
        <v>637</v>
      </c>
    </row>
    <row r="17" spans="1:28" ht="15" customHeight="1" x14ac:dyDescent="0.15">
      <c r="A17" s="7">
        <v>16</v>
      </c>
      <c r="B17" s="4" t="s">
        <v>127</v>
      </c>
      <c r="C17" s="4" t="s">
        <v>802</v>
      </c>
      <c r="D17" s="7">
        <v>671</v>
      </c>
      <c r="E17" s="4" t="s">
        <v>47</v>
      </c>
      <c r="F17" s="23" t="s">
        <v>69</v>
      </c>
      <c r="G17" s="23" t="s">
        <v>785</v>
      </c>
      <c r="H17" s="4"/>
      <c r="I17" s="4" t="s">
        <v>785</v>
      </c>
      <c r="J17" s="4" t="s">
        <v>785</v>
      </c>
      <c r="K17" s="18">
        <v>44518</v>
      </c>
      <c r="L17" s="18">
        <f t="shared" si="0"/>
        <v>44818</v>
      </c>
      <c r="M17" s="4" t="s">
        <v>128</v>
      </c>
      <c r="N17" s="4" t="s">
        <v>32</v>
      </c>
      <c r="O17" s="8" t="s">
        <v>129</v>
      </c>
      <c r="P17" s="169" t="s">
        <v>34</v>
      </c>
      <c r="Q17" s="168" t="s">
        <v>785</v>
      </c>
      <c r="R17" s="168" t="s">
        <v>699</v>
      </c>
      <c r="S17" s="169" t="s">
        <v>24</v>
      </c>
      <c r="T17" s="169">
        <v>560010</v>
      </c>
      <c r="U17" s="169" t="s">
        <v>25</v>
      </c>
      <c r="V17" s="169" t="s">
        <v>26</v>
      </c>
      <c r="W17" s="169">
        <v>8</v>
      </c>
      <c r="X17" s="169">
        <v>0</v>
      </c>
      <c r="Y17" s="169">
        <v>5</v>
      </c>
      <c r="Z17" s="169">
        <v>1</v>
      </c>
      <c r="AA17" s="168" t="s">
        <v>785</v>
      </c>
      <c r="AB17" s="168" t="s">
        <v>637</v>
      </c>
    </row>
    <row r="18" spans="1:28" ht="15" customHeight="1" x14ac:dyDescent="0.15">
      <c r="A18" s="7">
        <v>17</v>
      </c>
      <c r="B18" s="4" t="s">
        <v>130</v>
      </c>
      <c r="C18" s="4" t="s">
        <v>803</v>
      </c>
      <c r="D18" s="7">
        <v>608</v>
      </c>
      <c r="E18" s="4" t="s">
        <v>47</v>
      </c>
      <c r="F18" s="23" t="s">
        <v>69</v>
      </c>
      <c r="G18" s="23" t="s">
        <v>785</v>
      </c>
      <c r="H18" s="22">
        <v>42811</v>
      </c>
      <c r="I18" s="22" t="s">
        <v>785</v>
      </c>
      <c r="J18" s="22" t="s">
        <v>785</v>
      </c>
      <c r="K18" s="18">
        <v>44232</v>
      </c>
      <c r="L18" s="18">
        <f t="shared" si="0"/>
        <v>44532</v>
      </c>
      <c r="M18" s="4" t="s">
        <v>131</v>
      </c>
      <c r="N18" s="4" t="s">
        <v>132</v>
      </c>
      <c r="O18" s="8" t="s">
        <v>133</v>
      </c>
      <c r="P18" s="169" t="s">
        <v>134</v>
      </c>
      <c r="Q18" s="168" t="s">
        <v>785</v>
      </c>
      <c r="R18" s="168" t="s">
        <v>700</v>
      </c>
      <c r="S18" s="169" t="s">
        <v>24</v>
      </c>
      <c r="T18" s="169">
        <v>560058</v>
      </c>
      <c r="U18" s="169" t="s">
        <v>25</v>
      </c>
      <c r="V18" s="169" t="s">
        <v>26</v>
      </c>
      <c r="W18" s="169">
        <v>8</v>
      </c>
      <c r="X18" s="169">
        <v>0</v>
      </c>
      <c r="Y18" s="169">
        <v>5</v>
      </c>
      <c r="Z18" s="169">
        <v>1</v>
      </c>
      <c r="AA18" s="168" t="s">
        <v>785</v>
      </c>
      <c r="AB18" s="168" t="s">
        <v>637</v>
      </c>
    </row>
    <row r="19" spans="1:28" ht="15" customHeight="1" x14ac:dyDescent="0.15">
      <c r="A19" s="7">
        <v>18</v>
      </c>
      <c r="B19" s="4" t="s">
        <v>135</v>
      </c>
      <c r="C19" s="4" t="s">
        <v>804</v>
      </c>
      <c r="D19" s="7" t="s">
        <v>785</v>
      </c>
      <c r="E19" s="4" t="s">
        <v>785</v>
      </c>
      <c r="F19" s="23" t="s">
        <v>37</v>
      </c>
      <c r="G19" s="23" t="s">
        <v>785</v>
      </c>
      <c r="H19" s="22">
        <v>38807</v>
      </c>
      <c r="I19" s="22" t="s">
        <v>785</v>
      </c>
      <c r="J19" s="22" t="s">
        <v>785</v>
      </c>
      <c r="K19" s="18"/>
      <c r="L19" s="18">
        <f t="shared" si="0"/>
        <v>300</v>
      </c>
      <c r="M19" s="4" t="s">
        <v>136</v>
      </c>
      <c r="N19" s="4" t="s">
        <v>137</v>
      </c>
      <c r="O19" s="8" t="s">
        <v>138</v>
      </c>
      <c r="P19" s="169" t="s">
        <v>139</v>
      </c>
      <c r="Q19" s="169" t="s">
        <v>785</v>
      </c>
      <c r="R19" s="169" t="s">
        <v>701</v>
      </c>
      <c r="S19" s="169" t="s">
        <v>140</v>
      </c>
      <c r="T19" s="169">
        <v>695016</v>
      </c>
      <c r="U19" s="169" t="s">
        <v>141</v>
      </c>
      <c r="V19" s="169" t="s">
        <v>26</v>
      </c>
      <c r="W19" s="169">
        <v>0</v>
      </c>
      <c r="X19" s="169">
        <v>0</v>
      </c>
      <c r="Y19" s="169">
        <v>0</v>
      </c>
      <c r="Z19" s="169">
        <v>0</v>
      </c>
      <c r="AA19" s="168" t="s">
        <v>785</v>
      </c>
      <c r="AB19" s="168" t="s">
        <v>785</v>
      </c>
    </row>
    <row r="20" spans="1:28" ht="15" customHeight="1" x14ac:dyDescent="0.15">
      <c r="A20" s="7">
        <v>19</v>
      </c>
      <c r="B20" s="4" t="s">
        <v>142</v>
      </c>
      <c r="C20" s="4" t="s">
        <v>805</v>
      </c>
      <c r="D20" s="7">
        <v>167</v>
      </c>
      <c r="E20" s="4" t="s">
        <v>47</v>
      </c>
      <c r="F20" s="23" t="s">
        <v>69</v>
      </c>
      <c r="G20" s="23" t="s">
        <v>785</v>
      </c>
      <c r="H20" s="4"/>
      <c r="I20" s="4" t="s">
        <v>785</v>
      </c>
      <c r="J20" s="4" t="s">
        <v>785</v>
      </c>
      <c r="K20" s="18">
        <v>44378</v>
      </c>
      <c r="L20" s="18">
        <f t="shared" si="0"/>
        <v>44678</v>
      </c>
      <c r="M20" s="4" t="s">
        <v>143</v>
      </c>
      <c r="N20" s="4" t="s">
        <v>144</v>
      </c>
      <c r="O20" s="8">
        <v>7211100103</v>
      </c>
      <c r="P20" s="169" t="s">
        <v>145</v>
      </c>
      <c r="Q20" s="169" t="s">
        <v>146</v>
      </c>
      <c r="R20" s="169" t="s">
        <v>702</v>
      </c>
      <c r="S20" s="169" t="s">
        <v>147</v>
      </c>
      <c r="T20" s="169">
        <v>382170</v>
      </c>
      <c r="U20" s="169" t="s">
        <v>148</v>
      </c>
      <c r="V20" s="169" t="s">
        <v>26</v>
      </c>
      <c r="W20" s="169">
        <v>5</v>
      </c>
      <c r="X20" s="169">
        <v>0</v>
      </c>
      <c r="Y20" s="169">
        <v>1</v>
      </c>
      <c r="Z20" s="169">
        <v>1</v>
      </c>
      <c r="AA20" s="168" t="s">
        <v>785</v>
      </c>
      <c r="AB20" s="168" t="s">
        <v>637</v>
      </c>
    </row>
    <row r="21" spans="1:28" ht="15" customHeight="1" x14ac:dyDescent="0.15">
      <c r="A21" s="7">
        <v>20</v>
      </c>
      <c r="B21" s="4" t="s">
        <v>150</v>
      </c>
      <c r="C21" s="4" t="s">
        <v>806</v>
      </c>
      <c r="D21" s="7">
        <v>17</v>
      </c>
      <c r="E21" s="4" t="s">
        <v>54</v>
      </c>
      <c r="F21" s="23" t="s">
        <v>37</v>
      </c>
      <c r="G21" s="23" t="s">
        <v>785</v>
      </c>
      <c r="H21" s="22">
        <v>38807</v>
      </c>
      <c r="I21" s="22" t="s">
        <v>785</v>
      </c>
      <c r="J21" s="22" t="s">
        <v>785</v>
      </c>
      <c r="K21" s="18"/>
      <c r="L21" s="18">
        <f t="shared" si="0"/>
        <v>300</v>
      </c>
      <c r="M21" s="4" t="s">
        <v>151</v>
      </c>
      <c r="N21" s="4" t="s">
        <v>132</v>
      </c>
      <c r="O21" s="8" t="s">
        <v>152</v>
      </c>
      <c r="P21" s="168" t="s">
        <v>785</v>
      </c>
      <c r="Q21" s="168" t="s">
        <v>785</v>
      </c>
      <c r="R21" s="168" t="s">
        <v>614</v>
      </c>
      <c r="S21" s="169" t="s">
        <v>24</v>
      </c>
      <c r="T21" s="169">
        <v>560099</v>
      </c>
      <c r="U21" s="169" t="s">
        <v>25</v>
      </c>
      <c r="V21" s="169" t="s">
        <v>26</v>
      </c>
      <c r="W21" s="169">
        <v>8</v>
      </c>
      <c r="X21" s="169">
        <v>0</v>
      </c>
      <c r="Y21" s="169">
        <v>1</v>
      </c>
      <c r="Z21" s="169">
        <v>2</v>
      </c>
      <c r="AA21" s="168" t="s">
        <v>785</v>
      </c>
      <c r="AB21" s="168" t="s">
        <v>637</v>
      </c>
    </row>
    <row r="22" spans="1:28" ht="15" customHeight="1" x14ac:dyDescent="0.15">
      <c r="A22" s="7">
        <v>21</v>
      </c>
      <c r="B22" s="4" t="s">
        <v>153</v>
      </c>
      <c r="C22" s="4" t="s">
        <v>807</v>
      </c>
      <c r="D22" s="7">
        <v>191</v>
      </c>
      <c r="E22" s="4" t="s">
        <v>47</v>
      </c>
      <c r="F22" s="23" t="s">
        <v>69</v>
      </c>
      <c r="G22" s="23" t="s">
        <v>785</v>
      </c>
      <c r="H22" s="22">
        <v>41033</v>
      </c>
      <c r="I22" s="22" t="s">
        <v>785</v>
      </c>
      <c r="J22" s="22" t="s">
        <v>785</v>
      </c>
      <c r="K22" s="18">
        <v>44544</v>
      </c>
      <c r="L22" s="18">
        <f t="shared" si="0"/>
        <v>44844</v>
      </c>
      <c r="M22" s="4" t="s">
        <v>154</v>
      </c>
      <c r="N22" s="4" t="s">
        <v>155</v>
      </c>
      <c r="O22" s="8" t="s">
        <v>156</v>
      </c>
      <c r="P22" s="169" t="s">
        <v>157</v>
      </c>
      <c r="Q22" s="169" t="s">
        <v>158</v>
      </c>
      <c r="R22" s="169" t="s">
        <v>703</v>
      </c>
      <c r="S22" s="169" t="s">
        <v>24</v>
      </c>
      <c r="T22" s="169">
        <v>560058</v>
      </c>
      <c r="U22" s="169" t="s">
        <v>25</v>
      </c>
      <c r="V22" s="169" t="s">
        <v>26</v>
      </c>
      <c r="W22" s="169">
        <v>8</v>
      </c>
      <c r="X22" s="169">
        <v>0</v>
      </c>
      <c r="Y22" s="169">
        <v>5</v>
      </c>
      <c r="Z22" s="169">
        <v>1</v>
      </c>
      <c r="AA22" s="168" t="s">
        <v>785</v>
      </c>
      <c r="AB22" s="168" t="s">
        <v>637</v>
      </c>
    </row>
    <row r="23" spans="1:28" ht="15" customHeight="1" x14ac:dyDescent="0.15">
      <c r="A23" s="7">
        <v>22</v>
      </c>
      <c r="B23" s="4" t="s">
        <v>159</v>
      </c>
      <c r="C23" s="4" t="s">
        <v>808</v>
      </c>
      <c r="D23" s="7" t="s">
        <v>785</v>
      </c>
      <c r="E23" s="4" t="s">
        <v>160</v>
      </c>
      <c r="F23" s="23" t="s">
        <v>37</v>
      </c>
      <c r="G23" s="23" t="s">
        <v>785</v>
      </c>
      <c r="H23" s="4"/>
      <c r="I23" s="4" t="s">
        <v>785</v>
      </c>
      <c r="J23" s="4" t="s">
        <v>785</v>
      </c>
      <c r="K23" s="18"/>
      <c r="L23" s="18">
        <f t="shared" si="0"/>
        <v>300</v>
      </c>
      <c r="M23" s="4" t="s">
        <v>161</v>
      </c>
      <c r="N23" s="4" t="s">
        <v>32</v>
      </c>
      <c r="O23" s="8" t="s">
        <v>162</v>
      </c>
      <c r="P23" s="169" t="s">
        <v>163</v>
      </c>
      <c r="Q23" s="169" t="s">
        <v>164</v>
      </c>
      <c r="R23" s="169" t="s">
        <v>704</v>
      </c>
      <c r="S23" s="169" t="s">
        <v>24</v>
      </c>
      <c r="T23" s="169">
        <v>560034</v>
      </c>
      <c r="U23" s="169" t="s">
        <v>25</v>
      </c>
      <c r="V23" s="169" t="s">
        <v>26</v>
      </c>
      <c r="W23" s="169">
        <v>8</v>
      </c>
      <c r="X23" s="169">
        <v>0</v>
      </c>
      <c r="Y23" s="169">
        <v>2</v>
      </c>
      <c r="Z23" s="169">
        <v>1</v>
      </c>
      <c r="AA23" s="168" t="s">
        <v>785</v>
      </c>
      <c r="AB23" s="168" t="s">
        <v>637</v>
      </c>
    </row>
    <row r="24" spans="1:28" ht="15" customHeight="1" x14ac:dyDescent="0.15">
      <c r="A24" s="7">
        <v>23</v>
      </c>
      <c r="B24" s="4" t="s">
        <v>166</v>
      </c>
      <c r="C24" s="4" t="s">
        <v>809</v>
      </c>
      <c r="D24" s="7">
        <v>216</v>
      </c>
      <c r="E24" s="4" t="s">
        <v>47</v>
      </c>
      <c r="F24" s="23" t="s">
        <v>69</v>
      </c>
      <c r="G24" s="23" t="s">
        <v>785</v>
      </c>
      <c r="H24" s="4"/>
      <c r="I24" s="4" t="s">
        <v>785</v>
      </c>
      <c r="J24" s="4" t="s">
        <v>785</v>
      </c>
      <c r="K24" s="18">
        <v>44586</v>
      </c>
      <c r="L24" s="18">
        <f t="shared" si="0"/>
        <v>44886</v>
      </c>
      <c r="M24" s="4" t="s">
        <v>167</v>
      </c>
      <c r="N24" s="4" t="s">
        <v>168</v>
      </c>
      <c r="O24" s="8" t="s">
        <v>169</v>
      </c>
      <c r="P24" s="169" t="s">
        <v>171</v>
      </c>
      <c r="Q24" s="168" t="s">
        <v>785</v>
      </c>
      <c r="R24" s="168" t="s">
        <v>705</v>
      </c>
      <c r="S24" s="169" t="s">
        <v>24</v>
      </c>
      <c r="T24" s="169">
        <v>560100</v>
      </c>
      <c r="U24" s="169" t="s">
        <v>25</v>
      </c>
      <c r="V24" s="169" t="s">
        <v>26</v>
      </c>
      <c r="W24" s="169">
        <v>8</v>
      </c>
      <c r="X24" s="169">
        <v>0</v>
      </c>
      <c r="Y24" s="169">
        <v>1</v>
      </c>
      <c r="Z24" s="169">
        <v>1</v>
      </c>
      <c r="AA24" s="168" t="s">
        <v>785</v>
      </c>
      <c r="AB24" s="168" t="s">
        <v>637</v>
      </c>
    </row>
    <row r="25" spans="1:28" ht="15" customHeight="1" x14ac:dyDescent="0.15">
      <c r="A25" s="7">
        <v>24</v>
      </c>
      <c r="B25" s="4" t="s">
        <v>172</v>
      </c>
      <c r="C25" s="4" t="s">
        <v>810</v>
      </c>
      <c r="D25" s="7">
        <v>28</v>
      </c>
      <c r="E25" s="4" t="s">
        <v>54</v>
      </c>
      <c r="F25" s="23" t="s">
        <v>37</v>
      </c>
      <c r="G25" s="23" t="s">
        <v>785</v>
      </c>
      <c r="H25" s="22">
        <v>38871</v>
      </c>
      <c r="I25" s="22" t="s">
        <v>785</v>
      </c>
      <c r="J25" s="22" t="s">
        <v>785</v>
      </c>
      <c r="K25" s="18"/>
      <c r="L25" s="18">
        <f t="shared" si="0"/>
        <v>300</v>
      </c>
      <c r="M25" s="4" t="s">
        <v>173</v>
      </c>
      <c r="N25" s="4" t="s">
        <v>98</v>
      </c>
      <c r="O25" s="8" t="s">
        <v>174</v>
      </c>
      <c r="P25" s="168" t="s">
        <v>785</v>
      </c>
      <c r="Q25" s="168" t="s">
        <v>785</v>
      </c>
      <c r="R25" s="168" t="s">
        <v>706</v>
      </c>
      <c r="S25" s="169" t="s">
        <v>175</v>
      </c>
      <c r="T25" s="169">
        <v>431210</v>
      </c>
      <c r="U25" s="169" t="s">
        <v>176</v>
      </c>
      <c r="V25" s="169" t="s">
        <v>26</v>
      </c>
      <c r="W25" s="169">
        <v>0</v>
      </c>
      <c r="X25" s="169">
        <v>0</v>
      </c>
      <c r="Y25" s="169">
        <v>0</v>
      </c>
      <c r="Z25" s="169">
        <v>0</v>
      </c>
      <c r="AA25" s="168" t="s">
        <v>785</v>
      </c>
      <c r="AB25" s="168" t="s">
        <v>785</v>
      </c>
    </row>
    <row r="26" spans="1:28" ht="15" customHeight="1" x14ac:dyDescent="0.15">
      <c r="A26" s="7">
        <v>25</v>
      </c>
      <c r="B26" s="4" t="s">
        <v>177</v>
      </c>
      <c r="C26" s="4" t="s">
        <v>811</v>
      </c>
      <c r="D26" s="7">
        <v>204</v>
      </c>
      <c r="E26" s="4" t="s">
        <v>47</v>
      </c>
      <c r="F26" s="23" t="s">
        <v>69</v>
      </c>
      <c r="G26" s="23" t="s">
        <v>785</v>
      </c>
      <c r="H26" s="4"/>
      <c r="I26" s="4" t="s">
        <v>785</v>
      </c>
      <c r="J26" s="4" t="s">
        <v>785</v>
      </c>
      <c r="K26" s="18">
        <v>44525</v>
      </c>
      <c r="L26" s="18">
        <f t="shared" si="0"/>
        <v>44825</v>
      </c>
      <c r="M26" s="4" t="s">
        <v>178</v>
      </c>
      <c r="N26" s="4" t="s">
        <v>32</v>
      </c>
      <c r="O26" s="8" t="s">
        <v>179</v>
      </c>
      <c r="P26" s="169" t="s">
        <v>50</v>
      </c>
      <c r="Q26" s="169" t="s">
        <v>180</v>
      </c>
      <c r="R26" s="169" t="s">
        <v>707</v>
      </c>
      <c r="S26" s="169" t="s">
        <v>181</v>
      </c>
      <c r="T26" s="169">
        <v>401208</v>
      </c>
      <c r="U26" s="169" t="s">
        <v>176</v>
      </c>
      <c r="V26" s="169" t="s">
        <v>26</v>
      </c>
      <c r="W26" s="169">
        <v>2</v>
      </c>
      <c r="X26" s="169">
        <v>1</v>
      </c>
      <c r="Y26" s="169">
        <v>1</v>
      </c>
      <c r="Z26" s="169">
        <v>2</v>
      </c>
      <c r="AA26" s="168" t="s">
        <v>785</v>
      </c>
      <c r="AB26" s="168" t="s">
        <v>637</v>
      </c>
    </row>
    <row r="27" spans="1:28" ht="15" customHeight="1" x14ac:dyDescent="0.15">
      <c r="A27" s="7">
        <v>26</v>
      </c>
      <c r="B27" s="4" t="s">
        <v>183</v>
      </c>
      <c r="C27" s="4" t="s">
        <v>812</v>
      </c>
      <c r="D27" s="7">
        <v>32</v>
      </c>
      <c r="E27" s="4" t="s">
        <v>160</v>
      </c>
      <c r="F27" s="23" t="s">
        <v>184</v>
      </c>
      <c r="G27" s="23" t="s">
        <v>785</v>
      </c>
      <c r="H27" s="4"/>
      <c r="I27" s="4" t="s">
        <v>785</v>
      </c>
      <c r="J27" s="4" t="s">
        <v>785</v>
      </c>
      <c r="K27" s="18"/>
      <c r="L27" s="18">
        <f t="shared" si="0"/>
        <v>300</v>
      </c>
      <c r="M27" s="4" t="s">
        <v>185</v>
      </c>
      <c r="N27" s="4" t="s">
        <v>77</v>
      </c>
      <c r="O27" s="8" t="s">
        <v>186</v>
      </c>
      <c r="P27" s="180" t="s">
        <v>187</v>
      </c>
      <c r="Q27" s="180"/>
      <c r="R27" s="169" t="s">
        <v>708</v>
      </c>
      <c r="S27" s="169" t="s">
        <v>188</v>
      </c>
      <c r="T27" s="169">
        <v>201307</v>
      </c>
      <c r="U27" s="169" t="s">
        <v>189</v>
      </c>
      <c r="V27" s="169" t="s">
        <v>26</v>
      </c>
      <c r="W27" s="169">
        <v>0</v>
      </c>
      <c r="X27" s="169">
        <v>0</v>
      </c>
      <c r="Y27" s="169">
        <v>0</v>
      </c>
      <c r="Z27" s="169">
        <v>0</v>
      </c>
      <c r="AA27" s="168" t="s">
        <v>785</v>
      </c>
      <c r="AB27" s="168" t="s">
        <v>785</v>
      </c>
    </row>
    <row r="28" spans="1:28" ht="15" customHeight="1" x14ac:dyDescent="0.15">
      <c r="A28" s="7">
        <v>27</v>
      </c>
      <c r="B28" s="4" t="s">
        <v>190</v>
      </c>
      <c r="C28" s="4" t="s">
        <v>813</v>
      </c>
      <c r="D28" s="7">
        <v>76</v>
      </c>
      <c r="E28" s="4" t="s">
        <v>54</v>
      </c>
      <c r="F28" s="23" t="s">
        <v>184</v>
      </c>
      <c r="G28" s="23" t="s">
        <v>785</v>
      </c>
      <c r="H28" s="22">
        <v>38943</v>
      </c>
      <c r="I28" s="22" t="s">
        <v>785</v>
      </c>
      <c r="J28" s="22" t="s">
        <v>785</v>
      </c>
      <c r="K28" s="18"/>
      <c r="L28" s="18">
        <f t="shared" si="0"/>
        <v>300</v>
      </c>
      <c r="M28" s="4" t="s">
        <v>191</v>
      </c>
      <c r="N28" s="4" t="s">
        <v>20</v>
      </c>
      <c r="O28" s="8" t="s">
        <v>192</v>
      </c>
      <c r="P28" s="169" t="s">
        <v>193</v>
      </c>
      <c r="Q28" s="168" t="s">
        <v>785</v>
      </c>
      <c r="R28" s="168" t="s">
        <v>709</v>
      </c>
      <c r="S28" s="169" t="s">
        <v>42</v>
      </c>
      <c r="T28" s="169">
        <v>602101</v>
      </c>
      <c r="U28" s="169" t="s">
        <v>43</v>
      </c>
      <c r="V28" s="169" t="s">
        <v>26</v>
      </c>
      <c r="W28" s="169">
        <v>4</v>
      </c>
      <c r="X28" s="169">
        <v>0</v>
      </c>
      <c r="Y28" s="169">
        <v>4</v>
      </c>
      <c r="Z28" s="169">
        <v>1</v>
      </c>
      <c r="AA28" s="168" t="s">
        <v>785</v>
      </c>
      <c r="AB28" s="168" t="s">
        <v>675</v>
      </c>
    </row>
    <row r="29" spans="1:28" ht="15" customHeight="1" x14ac:dyDescent="0.15">
      <c r="A29" s="7">
        <v>28</v>
      </c>
      <c r="B29" s="4" t="s">
        <v>194</v>
      </c>
      <c r="C29" s="4" t="s">
        <v>814</v>
      </c>
      <c r="D29" s="7">
        <v>35</v>
      </c>
      <c r="E29" s="4" t="s">
        <v>54</v>
      </c>
      <c r="F29" s="23" t="s">
        <v>30</v>
      </c>
      <c r="G29" s="23" t="s">
        <v>785</v>
      </c>
      <c r="H29" s="22">
        <v>38948</v>
      </c>
      <c r="I29" s="22" t="s">
        <v>785</v>
      </c>
      <c r="J29" s="22" t="s">
        <v>785</v>
      </c>
      <c r="K29" s="18"/>
      <c r="L29" s="18">
        <f t="shared" si="0"/>
        <v>300</v>
      </c>
      <c r="M29" s="4" t="s">
        <v>55</v>
      </c>
      <c r="N29" s="4" t="s">
        <v>32</v>
      </c>
      <c r="O29" s="8" t="s">
        <v>195</v>
      </c>
      <c r="P29" s="169" t="s">
        <v>196</v>
      </c>
      <c r="Q29" s="168" t="s">
        <v>785</v>
      </c>
      <c r="R29" s="168" t="s">
        <v>710</v>
      </c>
      <c r="S29" s="169" t="s">
        <v>58</v>
      </c>
      <c r="T29" s="169">
        <v>500072</v>
      </c>
      <c r="U29" s="169" t="s">
        <v>59</v>
      </c>
      <c r="V29" s="169" t="s">
        <v>26</v>
      </c>
      <c r="W29" s="169">
        <v>6</v>
      </c>
      <c r="X29" s="169">
        <v>0</v>
      </c>
      <c r="Y29" s="169">
        <v>2</v>
      </c>
      <c r="Z29" s="169">
        <v>1</v>
      </c>
      <c r="AA29" s="168" t="s">
        <v>785</v>
      </c>
      <c r="AB29" s="168" t="s">
        <v>675</v>
      </c>
    </row>
    <row r="30" spans="1:28" ht="15" customHeight="1" x14ac:dyDescent="0.15">
      <c r="A30" s="7">
        <v>29</v>
      </c>
      <c r="B30" s="4" t="s">
        <v>197</v>
      </c>
      <c r="C30" s="4" t="s">
        <v>815</v>
      </c>
      <c r="D30" s="7">
        <v>365</v>
      </c>
      <c r="E30" s="4" t="s">
        <v>47</v>
      </c>
      <c r="F30" s="23" t="s">
        <v>30</v>
      </c>
      <c r="G30" s="23" t="s">
        <v>785</v>
      </c>
      <c r="H30" s="22">
        <v>38935</v>
      </c>
      <c r="I30" s="22" t="s">
        <v>785</v>
      </c>
      <c r="J30" s="22" t="s">
        <v>785</v>
      </c>
      <c r="K30" s="18"/>
      <c r="L30" s="18">
        <f t="shared" si="0"/>
        <v>300</v>
      </c>
      <c r="M30" s="4" t="s">
        <v>198</v>
      </c>
      <c r="N30" s="4" t="s">
        <v>20</v>
      </c>
      <c r="O30" s="8" t="s">
        <v>199</v>
      </c>
      <c r="P30" s="169" t="s">
        <v>200</v>
      </c>
      <c r="Q30" s="169" t="s">
        <v>201</v>
      </c>
      <c r="R30" s="169" t="s">
        <v>711</v>
      </c>
      <c r="S30" s="169" t="s">
        <v>24</v>
      </c>
      <c r="T30" s="169">
        <v>560062</v>
      </c>
      <c r="U30" s="169" t="s">
        <v>25</v>
      </c>
      <c r="V30" s="169" t="s">
        <v>26</v>
      </c>
      <c r="W30" s="169">
        <v>8</v>
      </c>
      <c r="X30" s="169">
        <v>0</v>
      </c>
      <c r="Y30" s="169">
        <v>2</v>
      </c>
      <c r="Z30" s="169">
        <v>3</v>
      </c>
      <c r="AA30" s="168" t="s">
        <v>785</v>
      </c>
      <c r="AB30" s="168" t="s">
        <v>637</v>
      </c>
    </row>
    <row r="31" spans="1:28" ht="15" customHeight="1" x14ac:dyDescent="0.15">
      <c r="A31" s="7">
        <v>30</v>
      </c>
      <c r="B31" s="4" t="s">
        <v>203</v>
      </c>
      <c r="C31" s="4" t="s">
        <v>816</v>
      </c>
      <c r="D31" s="7">
        <v>166</v>
      </c>
      <c r="E31" s="4" t="s">
        <v>47</v>
      </c>
      <c r="F31" s="23" t="s">
        <v>30</v>
      </c>
      <c r="G31" s="23" t="s">
        <v>785</v>
      </c>
      <c r="H31" s="4"/>
      <c r="I31" s="4" t="s">
        <v>785</v>
      </c>
      <c r="J31" s="4" t="s">
        <v>785</v>
      </c>
      <c r="K31" s="18"/>
      <c r="L31" s="18">
        <f t="shared" si="0"/>
        <v>300</v>
      </c>
      <c r="M31" s="4" t="s">
        <v>204</v>
      </c>
      <c r="N31" s="4" t="s">
        <v>98</v>
      </c>
      <c r="O31" s="8" t="s">
        <v>205</v>
      </c>
      <c r="P31" s="169" t="s">
        <v>206</v>
      </c>
      <c r="Q31" s="169" t="s">
        <v>207</v>
      </c>
      <c r="R31" s="169" t="s">
        <v>712</v>
      </c>
      <c r="S31" s="169" t="s">
        <v>42</v>
      </c>
      <c r="T31" s="169">
        <v>600116</v>
      </c>
      <c r="U31" s="169" t="s">
        <v>43</v>
      </c>
      <c r="V31" s="169" t="s">
        <v>26</v>
      </c>
      <c r="W31" s="169">
        <v>0</v>
      </c>
      <c r="X31" s="169">
        <v>0</v>
      </c>
      <c r="Y31" s="169">
        <v>0</v>
      </c>
      <c r="Z31" s="169">
        <v>0</v>
      </c>
      <c r="AA31" s="168" t="s">
        <v>785</v>
      </c>
      <c r="AB31" s="169" t="s">
        <v>785</v>
      </c>
    </row>
    <row r="32" spans="1:28" ht="15" customHeight="1" x14ac:dyDescent="0.15">
      <c r="A32" s="7">
        <v>31</v>
      </c>
      <c r="B32" s="4" t="s">
        <v>208</v>
      </c>
      <c r="C32" s="4" t="s">
        <v>817</v>
      </c>
      <c r="D32" s="7">
        <v>390</v>
      </c>
      <c r="E32" s="4" t="s">
        <v>47</v>
      </c>
      <c r="F32" s="23" t="s">
        <v>30</v>
      </c>
      <c r="G32" s="23" t="s">
        <v>785</v>
      </c>
      <c r="H32" s="4"/>
      <c r="I32" s="4" t="s">
        <v>785</v>
      </c>
      <c r="J32" s="4" t="s">
        <v>785</v>
      </c>
      <c r="K32" s="18">
        <v>43476</v>
      </c>
      <c r="L32" s="18">
        <f t="shared" si="0"/>
        <v>43776</v>
      </c>
      <c r="M32" s="4" t="s">
        <v>209</v>
      </c>
      <c r="N32" s="4" t="s">
        <v>210</v>
      </c>
      <c r="O32" s="8" t="s">
        <v>211</v>
      </c>
      <c r="P32" s="169" t="s">
        <v>212</v>
      </c>
      <c r="Q32" s="168" t="s">
        <v>785</v>
      </c>
      <c r="R32" s="168" t="s">
        <v>713</v>
      </c>
      <c r="S32" s="169" t="s">
        <v>24</v>
      </c>
      <c r="T32" s="169">
        <v>560064</v>
      </c>
      <c r="U32" s="169" t="s">
        <v>25</v>
      </c>
      <c r="V32" s="169" t="s">
        <v>26</v>
      </c>
      <c r="W32" s="169">
        <v>8</v>
      </c>
      <c r="X32" s="169">
        <v>0</v>
      </c>
      <c r="Y32" s="169">
        <v>7</v>
      </c>
      <c r="Z32" s="169">
        <v>1</v>
      </c>
      <c r="AA32" s="168" t="s">
        <v>785</v>
      </c>
      <c r="AB32" s="168" t="s">
        <v>637</v>
      </c>
    </row>
    <row r="33" spans="1:28" ht="15" customHeight="1" x14ac:dyDescent="0.15">
      <c r="A33" s="7">
        <v>32</v>
      </c>
      <c r="B33" s="4" t="s">
        <v>214</v>
      </c>
      <c r="C33" s="4" t="s">
        <v>818</v>
      </c>
      <c r="D33" s="7">
        <v>172</v>
      </c>
      <c r="E33" s="4" t="s">
        <v>47</v>
      </c>
      <c r="F33" s="23" t="s">
        <v>69</v>
      </c>
      <c r="G33" s="23" t="s">
        <v>785</v>
      </c>
      <c r="H33" s="4"/>
      <c r="I33" s="4" t="s">
        <v>785</v>
      </c>
      <c r="J33" s="4" t="s">
        <v>785</v>
      </c>
      <c r="K33" s="18">
        <v>44409</v>
      </c>
      <c r="L33" s="18">
        <f t="shared" si="0"/>
        <v>44709</v>
      </c>
      <c r="M33" s="4" t="s">
        <v>215</v>
      </c>
      <c r="N33" s="4" t="s">
        <v>216</v>
      </c>
      <c r="O33" s="8" t="s">
        <v>217</v>
      </c>
      <c r="P33" s="169" t="s">
        <v>218</v>
      </c>
      <c r="Q33" s="168" t="s">
        <v>785</v>
      </c>
      <c r="R33" s="168" t="s">
        <v>714</v>
      </c>
      <c r="S33" s="169" t="s">
        <v>219</v>
      </c>
      <c r="T33" s="169">
        <v>411026</v>
      </c>
      <c r="U33" s="169" t="s">
        <v>176</v>
      </c>
      <c r="V33" s="169" t="s">
        <v>26</v>
      </c>
      <c r="W33" s="169">
        <v>2</v>
      </c>
      <c r="X33" s="169">
        <v>4</v>
      </c>
      <c r="Y33" s="169">
        <v>1</v>
      </c>
      <c r="Z33" s="169">
        <v>1</v>
      </c>
      <c r="AA33" s="168" t="s">
        <v>785</v>
      </c>
      <c r="AB33" s="168" t="s">
        <v>677</v>
      </c>
    </row>
    <row r="34" spans="1:28" ht="15" customHeight="1" x14ac:dyDescent="0.15">
      <c r="A34" s="7">
        <v>33</v>
      </c>
      <c r="B34" s="4" t="s">
        <v>220</v>
      </c>
      <c r="C34" s="4" t="s">
        <v>819</v>
      </c>
      <c r="D34" s="7" t="s">
        <v>785</v>
      </c>
      <c r="E34" s="4" t="s">
        <v>785</v>
      </c>
      <c r="F34" s="23" t="s">
        <v>37</v>
      </c>
      <c r="G34" s="23" t="s">
        <v>785</v>
      </c>
      <c r="H34" s="4"/>
      <c r="I34" s="4" t="s">
        <v>785</v>
      </c>
      <c r="J34" s="4" t="s">
        <v>785</v>
      </c>
      <c r="K34" s="18"/>
      <c r="L34" s="18">
        <f t="shared" ref="L34:L65" si="1">K34+300</f>
        <v>300</v>
      </c>
      <c r="M34" s="4" t="s">
        <v>221</v>
      </c>
      <c r="N34" s="4" t="s">
        <v>222</v>
      </c>
      <c r="O34" s="8" t="s">
        <v>223</v>
      </c>
      <c r="P34" s="169" t="s">
        <v>224</v>
      </c>
      <c r="Q34" s="168" t="s">
        <v>785</v>
      </c>
      <c r="R34" s="168" t="s">
        <v>715</v>
      </c>
      <c r="S34" s="169" t="s">
        <v>225</v>
      </c>
      <c r="T34" s="169">
        <v>400013</v>
      </c>
      <c r="U34" s="169" t="s">
        <v>176</v>
      </c>
      <c r="V34" s="169" t="s">
        <v>26</v>
      </c>
      <c r="W34" s="169">
        <v>0</v>
      </c>
      <c r="X34" s="169">
        <v>0</v>
      </c>
      <c r="Y34" s="169">
        <v>0</v>
      </c>
      <c r="Z34" s="169">
        <v>0</v>
      </c>
      <c r="AA34" s="168" t="s">
        <v>785</v>
      </c>
      <c r="AB34" s="168" t="s">
        <v>785</v>
      </c>
    </row>
    <row r="35" spans="1:28" ht="15" customHeight="1" x14ac:dyDescent="0.15">
      <c r="A35" s="7">
        <v>34</v>
      </c>
      <c r="B35" s="4" t="s">
        <v>226</v>
      </c>
      <c r="C35" s="4" t="s">
        <v>820</v>
      </c>
      <c r="D35" s="7">
        <v>209</v>
      </c>
      <c r="E35" s="4" t="s">
        <v>47</v>
      </c>
      <c r="F35" s="23" t="s">
        <v>69</v>
      </c>
      <c r="G35" s="23" t="s">
        <v>785</v>
      </c>
      <c r="H35" s="22">
        <v>40462</v>
      </c>
      <c r="I35" s="22" t="s">
        <v>785</v>
      </c>
      <c r="J35" s="22" t="s">
        <v>785</v>
      </c>
      <c r="K35" s="18">
        <v>44289</v>
      </c>
      <c r="L35" s="18">
        <f t="shared" si="1"/>
        <v>44589</v>
      </c>
      <c r="M35" s="4" t="s">
        <v>227</v>
      </c>
      <c r="N35" s="4" t="s">
        <v>228</v>
      </c>
      <c r="O35" s="8" t="s">
        <v>229</v>
      </c>
      <c r="P35" s="169" t="s">
        <v>74</v>
      </c>
      <c r="Q35" s="168" t="s">
        <v>785</v>
      </c>
      <c r="R35" s="168" t="s">
        <v>716</v>
      </c>
      <c r="S35" s="169" t="s">
        <v>24</v>
      </c>
      <c r="T35" s="169">
        <v>560099</v>
      </c>
      <c r="U35" s="169" t="s">
        <v>25</v>
      </c>
      <c r="V35" s="169" t="s">
        <v>26</v>
      </c>
      <c r="W35" s="169">
        <v>8</v>
      </c>
      <c r="X35" s="169">
        <v>0</v>
      </c>
      <c r="Y35" s="169">
        <v>1</v>
      </c>
      <c r="Z35" s="169">
        <v>2</v>
      </c>
      <c r="AA35" s="168" t="s">
        <v>785</v>
      </c>
      <c r="AB35" s="168" t="s">
        <v>637</v>
      </c>
    </row>
    <row r="36" spans="1:28" ht="15" customHeight="1" x14ac:dyDescent="0.15">
      <c r="A36" s="7">
        <v>35</v>
      </c>
      <c r="B36" s="4" t="s">
        <v>230</v>
      </c>
      <c r="C36" s="4" t="s">
        <v>821</v>
      </c>
      <c r="D36" s="7">
        <v>44</v>
      </c>
      <c r="E36" s="4" t="s">
        <v>54</v>
      </c>
      <c r="F36" s="23" t="s">
        <v>30</v>
      </c>
      <c r="G36" s="23" t="s">
        <v>785</v>
      </c>
      <c r="H36" s="4"/>
      <c r="I36" s="4" t="s">
        <v>785</v>
      </c>
      <c r="J36" s="4" t="s">
        <v>785</v>
      </c>
      <c r="K36" s="18"/>
      <c r="L36" s="18">
        <f t="shared" si="1"/>
        <v>300</v>
      </c>
      <c r="M36" s="4" t="s">
        <v>231</v>
      </c>
      <c r="N36" s="4" t="s">
        <v>228</v>
      </c>
      <c r="O36" s="8" t="s">
        <v>232</v>
      </c>
      <c r="P36" s="169" t="s">
        <v>233</v>
      </c>
      <c r="Q36" s="168" t="s">
        <v>785</v>
      </c>
      <c r="R36" s="168" t="s">
        <v>717</v>
      </c>
      <c r="S36" s="169" t="s">
        <v>42</v>
      </c>
      <c r="T36" s="169">
        <v>600119</v>
      </c>
      <c r="U36" s="169" t="s">
        <v>43</v>
      </c>
      <c r="V36" s="169" t="s">
        <v>26</v>
      </c>
      <c r="W36" s="169">
        <v>4</v>
      </c>
      <c r="X36" s="169">
        <v>0</v>
      </c>
      <c r="Y36" s="169">
        <v>1</v>
      </c>
      <c r="Z36" s="169">
        <v>1</v>
      </c>
      <c r="AA36" s="168" t="s">
        <v>785</v>
      </c>
      <c r="AB36" s="168" t="s">
        <v>675</v>
      </c>
    </row>
    <row r="37" spans="1:28" ht="15" customHeight="1" x14ac:dyDescent="0.15">
      <c r="A37" s="7">
        <v>36</v>
      </c>
      <c r="B37" s="4" t="s">
        <v>235</v>
      </c>
      <c r="C37" s="4" t="s">
        <v>822</v>
      </c>
      <c r="D37" s="7" t="s">
        <v>785</v>
      </c>
      <c r="E37" s="4" t="s">
        <v>785</v>
      </c>
      <c r="F37" s="23" t="s">
        <v>785</v>
      </c>
      <c r="G37" s="23" t="s">
        <v>785</v>
      </c>
      <c r="H37" s="4"/>
      <c r="I37" s="4" t="s">
        <v>785</v>
      </c>
      <c r="J37" s="4" t="s">
        <v>785</v>
      </c>
      <c r="K37" s="18"/>
      <c r="L37" s="18">
        <f t="shared" si="1"/>
        <v>300</v>
      </c>
      <c r="M37" s="4" t="s">
        <v>111</v>
      </c>
      <c r="N37" s="3" t="s">
        <v>236</v>
      </c>
      <c r="O37" s="8">
        <v>1</v>
      </c>
      <c r="P37" s="168" t="s">
        <v>785</v>
      </c>
      <c r="Q37" s="168" t="s">
        <v>785</v>
      </c>
      <c r="R37" s="168" t="s">
        <v>614</v>
      </c>
      <c r="S37" s="169" t="s">
        <v>237</v>
      </c>
      <c r="T37" s="169">
        <v>630004</v>
      </c>
      <c r="U37" s="169" t="s">
        <v>43</v>
      </c>
      <c r="V37" s="169" t="s">
        <v>26</v>
      </c>
      <c r="W37" s="169">
        <v>4</v>
      </c>
      <c r="X37" s="169">
        <v>0</v>
      </c>
      <c r="Y37" s="169">
        <v>1</v>
      </c>
      <c r="Z37" s="169">
        <v>3</v>
      </c>
      <c r="AA37" s="168" t="s">
        <v>785</v>
      </c>
      <c r="AB37" s="168" t="s">
        <v>675</v>
      </c>
    </row>
    <row r="38" spans="1:28" ht="15" customHeight="1" x14ac:dyDescent="0.15">
      <c r="A38" s="7">
        <v>37</v>
      </c>
      <c r="B38" s="4" t="s">
        <v>239</v>
      </c>
      <c r="C38" s="4" t="s">
        <v>823</v>
      </c>
      <c r="D38" s="7">
        <v>158</v>
      </c>
      <c r="E38" s="4" t="s">
        <v>47</v>
      </c>
      <c r="F38" s="23" t="s">
        <v>30</v>
      </c>
      <c r="G38" s="23" t="s">
        <v>785</v>
      </c>
      <c r="H38" s="22">
        <v>39078</v>
      </c>
      <c r="I38" s="22" t="s">
        <v>785</v>
      </c>
      <c r="J38" s="22" t="s">
        <v>785</v>
      </c>
      <c r="K38" s="18"/>
      <c r="L38" s="18">
        <f t="shared" si="1"/>
        <v>300</v>
      </c>
      <c r="M38" s="4" t="s">
        <v>240</v>
      </c>
      <c r="N38" s="4" t="s">
        <v>32</v>
      </c>
      <c r="O38" s="8" t="s">
        <v>241</v>
      </c>
      <c r="P38" s="169" t="s">
        <v>74</v>
      </c>
      <c r="Q38" s="169" t="s">
        <v>170</v>
      </c>
      <c r="R38" s="169" t="s">
        <v>718</v>
      </c>
      <c r="S38" s="169" t="s">
        <v>24</v>
      </c>
      <c r="T38" s="169">
        <v>560099</v>
      </c>
      <c r="U38" s="169" t="s">
        <v>25</v>
      </c>
      <c r="V38" s="169" t="s">
        <v>26</v>
      </c>
      <c r="W38" s="169">
        <v>8</v>
      </c>
      <c r="X38" s="169">
        <v>0</v>
      </c>
      <c r="Y38" s="169">
        <v>1</v>
      </c>
      <c r="Z38" s="169">
        <v>2</v>
      </c>
      <c r="AA38" s="168" t="s">
        <v>785</v>
      </c>
      <c r="AB38" s="168" t="s">
        <v>637</v>
      </c>
    </row>
    <row r="39" spans="1:28" ht="15" customHeight="1" x14ac:dyDescent="0.15">
      <c r="A39" s="7">
        <v>38</v>
      </c>
      <c r="B39" s="4" t="s">
        <v>242</v>
      </c>
      <c r="C39" s="4" t="s">
        <v>824</v>
      </c>
      <c r="D39" s="7">
        <v>197</v>
      </c>
      <c r="E39" s="4" t="s">
        <v>47</v>
      </c>
      <c r="F39" s="23" t="s">
        <v>69</v>
      </c>
      <c r="G39" s="23" t="s">
        <v>785</v>
      </c>
      <c r="H39" s="4"/>
      <c r="I39" s="4" t="s">
        <v>785</v>
      </c>
      <c r="J39" s="4" t="s">
        <v>785</v>
      </c>
      <c r="K39" s="18">
        <v>44386</v>
      </c>
      <c r="L39" s="18">
        <f t="shared" si="1"/>
        <v>44686</v>
      </c>
      <c r="M39" s="4" t="s">
        <v>243</v>
      </c>
      <c r="N39" s="4" t="s">
        <v>244</v>
      </c>
      <c r="O39" s="8" t="s">
        <v>245</v>
      </c>
      <c r="P39" s="168" t="s">
        <v>785</v>
      </c>
      <c r="Q39" s="168" t="s">
        <v>785</v>
      </c>
      <c r="R39" s="168" t="s">
        <v>719</v>
      </c>
      <c r="S39" s="169" t="s">
        <v>246</v>
      </c>
      <c r="T39" s="169">
        <v>201301</v>
      </c>
      <c r="U39" s="169" t="s">
        <v>189</v>
      </c>
      <c r="V39" s="169" t="s">
        <v>26</v>
      </c>
      <c r="W39" s="169">
        <v>1</v>
      </c>
      <c r="X39" s="169">
        <v>1</v>
      </c>
      <c r="Y39" s="169">
        <v>5</v>
      </c>
      <c r="Z39" s="169">
        <v>1</v>
      </c>
      <c r="AA39" s="168" t="s">
        <v>785</v>
      </c>
      <c r="AB39" s="168" t="s">
        <v>637</v>
      </c>
    </row>
    <row r="40" spans="1:28" ht="15" customHeight="1" x14ac:dyDescent="0.15">
      <c r="A40" s="7">
        <v>39</v>
      </c>
      <c r="B40" s="4" t="s">
        <v>226</v>
      </c>
      <c r="C40" s="4" t="s">
        <v>825</v>
      </c>
      <c r="D40" s="7">
        <v>280</v>
      </c>
      <c r="E40" s="4" t="s">
        <v>47</v>
      </c>
      <c r="F40" s="23" t="s">
        <v>69</v>
      </c>
      <c r="G40" s="23" t="s">
        <v>785</v>
      </c>
      <c r="H40" s="22">
        <v>41195</v>
      </c>
      <c r="I40" s="22" t="s">
        <v>785</v>
      </c>
      <c r="J40" s="22" t="s">
        <v>785</v>
      </c>
      <c r="K40" s="18">
        <v>44613</v>
      </c>
      <c r="L40" s="18">
        <f t="shared" si="1"/>
        <v>44913</v>
      </c>
      <c r="M40" s="4" t="s">
        <v>247</v>
      </c>
      <c r="N40" s="4" t="s">
        <v>248</v>
      </c>
      <c r="O40" s="8" t="s">
        <v>249</v>
      </c>
      <c r="P40" s="168" t="s">
        <v>785</v>
      </c>
      <c r="Q40" s="168" t="s">
        <v>785</v>
      </c>
      <c r="R40" s="168" t="s">
        <v>720</v>
      </c>
      <c r="S40" s="169" t="s">
        <v>24</v>
      </c>
      <c r="T40" s="169">
        <v>560058</v>
      </c>
      <c r="U40" s="169" t="s">
        <v>25</v>
      </c>
      <c r="V40" s="169" t="s">
        <v>26</v>
      </c>
      <c r="W40" s="169">
        <v>8</v>
      </c>
      <c r="X40" s="169">
        <v>0</v>
      </c>
      <c r="Y40" s="169">
        <v>5</v>
      </c>
      <c r="Z40" s="169">
        <v>1</v>
      </c>
      <c r="AA40" s="168" t="s">
        <v>785</v>
      </c>
      <c r="AB40" s="168" t="s">
        <v>637</v>
      </c>
    </row>
    <row r="41" spans="1:28" ht="15" customHeight="1" x14ac:dyDescent="0.15">
      <c r="A41" s="7">
        <v>40</v>
      </c>
      <c r="B41" s="4" t="s">
        <v>250</v>
      </c>
      <c r="C41" s="4" t="s">
        <v>826</v>
      </c>
      <c r="D41" s="7">
        <v>166</v>
      </c>
      <c r="E41" s="4" t="s">
        <v>47</v>
      </c>
      <c r="F41" s="23" t="s">
        <v>30</v>
      </c>
      <c r="G41" s="23" t="s">
        <v>785</v>
      </c>
      <c r="H41" s="22">
        <v>42682</v>
      </c>
      <c r="I41" s="22" t="s">
        <v>785</v>
      </c>
      <c r="J41" s="22" t="s">
        <v>785</v>
      </c>
      <c r="K41" s="18"/>
      <c r="L41" s="18">
        <f t="shared" si="1"/>
        <v>300</v>
      </c>
      <c r="M41" s="4" t="s">
        <v>251</v>
      </c>
      <c r="N41" s="4" t="s">
        <v>20</v>
      </c>
      <c r="O41" s="8" t="s">
        <v>252</v>
      </c>
      <c r="P41" s="169" t="s">
        <v>253</v>
      </c>
      <c r="Q41" s="169" t="s">
        <v>254</v>
      </c>
      <c r="R41" s="169" t="s">
        <v>721</v>
      </c>
      <c r="S41" s="169" t="s">
        <v>24</v>
      </c>
      <c r="T41" s="169">
        <v>560100</v>
      </c>
      <c r="U41" s="169" t="s">
        <v>25</v>
      </c>
      <c r="V41" s="169" t="s">
        <v>26</v>
      </c>
      <c r="W41" s="169">
        <v>8</v>
      </c>
      <c r="X41" s="169">
        <v>0</v>
      </c>
      <c r="Y41" s="169">
        <v>1</v>
      </c>
      <c r="Z41" s="169">
        <v>1</v>
      </c>
      <c r="AA41" s="168" t="s">
        <v>785</v>
      </c>
      <c r="AB41" s="168" t="s">
        <v>637</v>
      </c>
    </row>
    <row r="42" spans="1:28" ht="15" customHeight="1" x14ac:dyDescent="0.15">
      <c r="A42" s="7">
        <v>41</v>
      </c>
      <c r="B42" s="4" t="s">
        <v>255</v>
      </c>
      <c r="C42" s="4" t="s">
        <v>827</v>
      </c>
      <c r="D42" s="7">
        <v>164</v>
      </c>
      <c r="E42" s="4" t="s">
        <v>47</v>
      </c>
      <c r="F42" s="23" t="s">
        <v>89</v>
      </c>
      <c r="G42" s="23" t="s">
        <v>785</v>
      </c>
      <c r="H42" s="22">
        <v>40176</v>
      </c>
      <c r="I42" s="22" t="s">
        <v>785</v>
      </c>
      <c r="J42" s="22" t="s">
        <v>785</v>
      </c>
      <c r="K42" s="18">
        <v>44373</v>
      </c>
      <c r="L42" s="18">
        <f t="shared" si="1"/>
        <v>44673</v>
      </c>
      <c r="M42" s="4" t="s">
        <v>256</v>
      </c>
      <c r="N42" s="4" t="s">
        <v>257</v>
      </c>
      <c r="O42" s="8" t="s">
        <v>258</v>
      </c>
      <c r="P42" s="169" t="s">
        <v>259</v>
      </c>
      <c r="Q42" s="169" t="s">
        <v>260</v>
      </c>
      <c r="R42" s="169" t="s">
        <v>722</v>
      </c>
      <c r="S42" s="169" t="s">
        <v>261</v>
      </c>
      <c r="T42" s="169">
        <v>400708</v>
      </c>
      <c r="U42" s="169" t="s">
        <v>176</v>
      </c>
      <c r="V42" s="169" t="s">
        <v>26</v>
      </c>
      <c r="W42" s="169">
        <v>2</v>
      </c>
      <c r="X42" s="169">
        <v>2</v>
      </c>
      <c r="Y42" s="169">
        <v>2</v>
      </c>
      <c r="Z42" s="169">
        <v>4</v>
      </c>
      <c r="AA42" s="168" t="s">
        <v>785</v>
      </c>
      <c r="AB42" s="168" t="s">
        <v>675</v>
      </c>
    </row>
    <row r="43" spans="1:28" ht="15" customHeight="1" x14ac:dyDescent="0.15">
      <c r="A43" s="7">
        <v>42</v>
      </c>
      <c r="B43" s="4" t="s">
        <v>263</v>
      </c>
      <c r="C43" s="4" t="s">
        <v>828</v>
      </c>
      <c r="D43" s="7" t="s">
        <v>785</v>
      </c>
      <c r="E43" s="4" t="s">
        <v>785</v>
      </c>
      <c r="F43" s="23" t="s">
        <v>785</v>
      </c>
      <c r="G43" s="23" t="s">
        <v>785</v>
      </c>
      <c r="H43" s="4"/>
      <c r="I43" s="4" t="s">
        <v>785</v>
      </c>
      <c r="J43" s="4" t="s">
        <v>785</v>
      </c>
      <c r="K43" s="18"/>
      <c r="L43" s="18">
        <f t="shared" si="1"/>
        <v>300</v>
      </c>
      <c r="M43" s="4" t="s">
        <v>264</v>
      </c>
      <c r="N43" s="4" t="s">
        <v>77</v>
      </c>
      <c r="O43" s="8" t="s">
        <v>265</v>
      </c>
      <c r="P43" s="169" t="s">
        <v>266</v>
      </c>
      <c r="Q43" s="169" t="s">
        <v>267</v>
      </c>
      <c r="R43" s="169" t="s">
        <v>723</v>
      </c>
      <c r="S43" s="169" t="s">
        <v>219</v>
      </c>
      <c r="T43" s="169">
        <v>411041</v>
      </c>
      <c r="U43" s="169" t="s">
        <v>176</v>
      </c>
      <c r="V43" s="169" t="s">
        <v>26</v>
      </c>
      <c r="W43" s="169">
        <v>0</v>
      </c>
      <c r="X43" s="169">
        <v>0</v>
      </c>
      <c r="Y43" s="169">
        <v>0</v>
      </c>
      <c r="Z43" s="169">
        <v>0</v>
      </c>
      <c r="AA43" s="168" t="s">
        <v>785</v>
      </c>
      <c r="AB43" s="168" t="s">
        <v>785</v>
      </c>
    </row>
    <row r="44" spans="1:28" ht="15" customHeight="1" x14ac:dyDescent="0.15">
      <c r="A44" s="7">
        <v>43</v>
      </c>
      <c r="B44" s="4" t="s">
        <v>268</v>
      </c>
      <c r="C44" s="4" t="s">
        <v>829</v>
      </c>
      <c r="D44" s="7">
        <v>240</v>
      </c>
      <c r="E44" s="4" t="s">
        <v>96</v>
      </c>
      <c r="F44" s="23" t="s">
        <v>69</v>
      </c>
      <c r="G44" s="23" t="s">
        <v>785</v>
      </c>
      <c r="H44" s="4"/>
      <c r="I44" s="4" t="s">
        <v>785</v>
      </c>
      <c r="J44" s="4" t="s">
        <v>785</v>
      </c>
      <c r="K44" s="18">
        <v>44629</v>
      </c>
      <c r="L44" s="18">
        <f t="shared" si="1"/>
        <v>44929</v>
      </c>
      <c r="M44" s="4" t="s">
        <v>269</v>
      </c>
      <c r="N44" s="2" t="s">
        <v>785</v>
      </c>
      <c r="O44" s="8" t="s">
        <v>270</v>
      </c>
      <c r="P44" s="169" t="s">
        <v>271</v>
      </c>
      <c r="Q44" s="168" t="s">
        <v>785</v>
      </c>
      <c r="R44" s="168" t="s">
        <v>724</v>
      </c>
      <c r="S44" s="169" t="s">
        <v>24</v>
      </c>
      <c r="T44" s="169">
        <v>560060</v>
      </c>
      <c r="U44" s="169" t="s">
        <v>25</v>
      </c>
      <c r="V44" s="169" t="s">
        <v>26</v>
      </c>
      <c r="W44" s="169">
        <v>8</v>
      </c>
      <c r="X44" s="169">
        <v>0</v>
      </c>
      <c r="Y44" s="169">
        <v>2</v>
      </c>
      <c r="Z44" s="169">
        <v>3</v>
      </c>
      <c r="AA44" s="168" t="s">
        <v>785</v>
      </c>
      <c r="AB44" s="168" t="s">
        <v>637</v>
      </c>
    </row>
    <row r="45" spans="1:28" ht="15" customHeight="1" x14ac:dyDescent="0.15">
      <c r="A45" s="7">
        <v>44</v>
      </c>
      <c r="B45" s="4" t="s">
        <v>272</v>
      </c>
      <c r="C45" s="4" t="s">
        <v>830</v>
      </c>
      <c r="D45" s="7">
        <v>51</v>
      </c>
      <c r="E45" s="4" t="s">
        <v>47</v>
      </c>
      <c r="F45" s="23" t="s">
        <v>37</v>
      </c>
      <c r="G45" s="23" t="s">
        <v>785</v>
      </c>
      <c r="H45" s="4"/>
      <c r="I45" s="4" t="s">
        <v>785</v>
      </c>
      <c r="J45" s="4" t="s">
        <v>785</v>
      </c>
      <c r="K45" s="18"/>
      <c r="L45" s="18">
        <f t="shared" si="1"/>
        <v>300</v>
      </c>
      <c r="M45" s="4" t="s">
        <v>273</v>
      </c>
      <c r="N45" s="4" t="s">
        <v>274</v>
      </c>
      <c r="O45" s="8" t="s">
        <v>275</v>
      </c>
      <c r="P45" s="169" t="s">
        <v>276</v>
      </c>
      <c r="Q45" s="168" t="s">
        <v>785</v>
      </c>
      <c r="R45" s="168" t="s">
        <v>725</v>
      </c>
      <c r="S45" s="169" t="s">
        <v>277</v>
      </c>
      <c r="T45" s="169">
        <v>571301</v>
      </c>
      <c r="U45" s="169" t="s">
        <v>25</v>
      </c>
      <c r="V45" s="169" t="s">
        <v>26</v>
      </c>
      <c r="W45" s="169">
        <v>8</v>
      </c>
      <c r="X45" s="169">
        <v>0</v>
      </c>
      <c r="Y45" s="169">
        <v>3</v>
      </c>
      <c r="Z45" s="169">
        <v>3</v>
      </c>
      <c r="AA45" s="168" t="s">
        <v>785</v>
      </c>
      <c r="AB45" s="168" t="s">
        <v>637</v>
      </c>
    </row>
    <row r="46" spans="1:28" ht="15" customHeight="1" x14ac:dyDescent="0.15">
      <c r="A46" s="7">
        <v>45</v>
      </c>
      <c r="B46" s="4" t="s">
        <v>278</v>
      </c>
      <c r="C46" s="4" t="s">
        <v>831</v>
      </c>
      <c r="D46" s="7" t="s">
        <v>785</v>
      </c>
      <c r="E46" s="4" t="s">
        <v>785</v>
      </c>
      <c r="F46" s="23" t="s">
        <v>785</v>
      </c>
      <c r="G46" s="23" t="s">
        <v>785</v>
      </c>
      <c r="H46" s="4"/>
      <c r="I46" s="4" t="s">
        <v>785</v>
      </c>
      <c r="J46" s="4" t="s">
        <v>785</v>
      </c>
      <c r="K46" s="18"/>
      <c r="L46" s="18">
        <f t="shared" si="1"/>
        <v>300</v>
      </c>
      <c r="M46" s="4" t="s">
        <v>279</v>
      </c>
      <c r="N46" s="4" t="s">
        <v>280</v>
      </c>
      <c r="O46" s="8" t="s">
        <v>281</v>
      </c>
      <c r="P46" s="169" t="s">
        <v>282</v>
      </c>
      <c r="Q46" s="169" t="s">
        <v>283</v>
      </c>
      <c r="R46" s="169" t="s">
        <v>726</v>
      </c>
      <c r="S46" s="169" t="s">
        <v>42</v>
      </c>
      <c r="T46" s="169">
        <v>602105</v>
      </c>
      <c r="U46" s="169" t="s">
        <v>43</v>
      </c>
      <c r="V46" s="169" t="s">
        <v>26</v>
      </c>
      <c r="W46" s="169">
        <v>4</v>
      </c>
      <c r="X46" s="169">
        <v>0</v>
      </c>
      <c r="Y46" s="169">
        <v>3</v>
      </c>
      <c r="Z46" s="169">
        <v>2</v>
      </c>
      <c r="AA46" s="168" t="s">
        <v>785</v>
      </c>
      <c r="AB46" s="168" t="s">
        <v>675</v>
      </c>
    </row>
    <row r="47" spans="1:28" ht="15" customHeight="1" x14ac:dyDescent="0.15">
      <c r="A47" s="7">
        <v>46</v>
      </c>
      <c r="B47" s="4" t="s">
        <v>284</v>
      </c>
      <c r="C47" s="4" t="s">
        <v>832</v>
      </c>
      <c r="D47" s="7" t="s">
        <v>785</v>
      </c>
      <c r="E47" s="4" t="s">
        <v>785</v>
      </c>
      <c r="F47" s="23" t="s">
        <v>785</v>
      </c>
      <c r="G47" s="23" t="s">
        <v>785</v>
      </c>
      <c r="H47" s="4"/>
      <c r="I47" s="4" t="s">
        <v>785</v>
      </c>
      <c r="J47" s="4" t="s">
        <v>785</v>
      </c>
      <c r="K47" s="18"/>
      <c r="L47" s="18">
        <f t="shared" si="1"/>
        <v>300</v>
      </c>
      <c r="M47" s="4" t="s">
        <v>285</v>
      </c>
      <c r="N47" s="4" t="s">
        <v>286</v>
      </c>
      <c r="O47" s="8" t="s">
        <v>287</v>
      </c>
      <c r="P47" s="169" t="s">
        <v>164</v>
      </c>
      <c r="Q47" s="168" t="s">
        <v>785</v>
      </c>
      <c r="R47" s="168" t="s">
        <v>727</v>
      </c>
      <c r="S47" s="169" t="s">
        <v>24</v>
      </c>
      <c r="T47" s="169">
        <v>560095</v>
      </c>
      <c r="U47" s="169" t="s">
        <v>25</v>
      </c>
      <c r="V47" s="169" t="s">
        <v>26</v>
      </c>
      <c r="W47" s="169">
        <v>8</v>
      </c>
      <c r="X47" s="169">
        <v>0</v>
      </c>
      <c r="Y47" s="169">
        <v>1</v>
      </c>
      <c r="Z47" s="169">
        <v>2</v>
      </c>
      <c r="AA47" s="168" t="s">
        <v>785</v>
      </c>
      <c r="AB47" s="168" t="s">
        <v>637</v>
      </c>
    </row>
    <row r="48" spans="1:28" ht="15" customHeight="1" x14ac:dyDescent="0.15">
      <c r="A48" s="7">
        <v>47</v>
      </c>
      <c r="B48" s="4" t="s">
        <v>288</v>
      </c>
      <c r="C48" s="4" t="s">
        <v>833</v>
      </c>
      <c r="D48" s="7">
        <v>413</v>
      </c>
      <c r="E48" s="4" t="s">
        <v>47</v>
      </c>
      <c r="F48" s="23" t="s">
        <v>89</v>
      </c>
      <c r="G48" s="23" t="s">
        <v>785</v>
      </c>
      <c r="H48" s="4"/>
      <c r="I48" s="4" t="s">
        <v>785</v>
      </c>
      <c r="J48" s="4" t="s">
        <v>785</v>
      </c>
      <c r="K48" s="18">
        <v>44639</v>
      </c>
      <c r="L48" s="18">
        <f t="shared" si="1"/>
        <v>44939</v>
      </c>
      <c r="M48" s="4" t="s">
        <v>289</v>
      </c>
      <c r="N48" s="4" t="s">
        <v>290</v>
      </c>
      <c r="O48" s="8" t="s">
        <v>291</v>
      </c>
      <c r="P48" s="169" t="s">
        <v>292</v>
      </c>
      <c r="Q48" s="169" t="s">
        <v>293</v>
      </c>
      <c r="R48" s="169" t="s">
        <v>728</v>
      </c>
      <c r="S48" s="169" t="s">
        <v>219</v>
      </c>
      <c r="T48" s="169">
        <v>412108</v>
      </c>
      <c r="U48" s="169" t="s">
        <v>176</v>
      </c>
      <c r="V48" s="169" t="s">
        <v>26</v>
      </c>
      <c r="W48" s="169">
        <v>2</v>
      </c>
      <c r="X48" s="169">
        <v>4</v>
      </c>
      <c r="Y48" s="169">
        <v>6</v>
      </c>
      <c r="Z48" s="169">
        <v>1</v>
      </c>
      <c r="AA48" s="168" t="s">
        <v>785</v>
      </c>
      <c r="AB48" s="168" t="s">
        <v>678</v>
      </c>
    </row>
    <row r="49" spans="1:28" ht="15" customHeight="1" x14ac:dyDescent="0.15">
      <c r="A49" s="7">
        <v>48</v>
      </c>
      <c r="B49" s="4" t="s">
        <v>294</v>
      </c>
      <c r="C49" s="4" t="s">
        <v>834</v>
      </c>
      <c r="D49" s="7" t="s">
        <v>785</v>
      </c>
      <c r="E49" s="4" t="s">
        <v>785</v>
      </c>
      <c r="F49" s="23" t="s">
        <v>785</v>
      </c>
      <c r="G49" s="23" t="s">
        <v>785</v>
      </c>
      <c r="H49" s="4"/>
      <c r="I49" s="4" t="s">
        <v>785</v>
      </c>
      <c r="J49" s="4" t="s">
        <v>785</v>
      </c>
      <c r="K49" s="18"/>
      <c r="L49" s="18">
        <f t="shared" si="1"/>
        <v>300</v>
      </c>
      <c r="M49" s="4" t="s">
        <v>295</v>
      </c>
      <c r="N49" s="4" t="s">
        <v>296</v>
      </c>
      <c r="O49" s="8" t="s">
        <v>297</v>
      </c>
      <c r="P49" s="168" t="s">
        <v>785</v>
      </c>
      <c r="Q49" s="168" t="s">
        <v>785</v>
      </c>
      <c r="R49" s="168" t="s">
        <v>614</v>
      </c>
      <c r="S49" s="169" t="s">
        <v>237</v>
      </c>
      <c r="T49" s="169">
        <v>630006</v>
      </c>
      <c r="U49" s="169" t="s">
        <v>43</v>
      </c>
      <c r="V49" s="169" t="s">
        <v>26</v>
      </c>
      <c r="W49" s="169">
        <v>4</v>
      </c>
      <c r="X49" s="169">
        <v>0</v>
      </c>
      <c r="Y49" s="169">
        <v>1</v>
      </c>
      <c r="Z49" s="169">
        <v>3</v>
      </c>
      <c r="AA49" s="168" t="s">
        <v>785</v>
      </c>
      <c r="AB49" s="168" t="s">
        <v>675</v>
      </c>
    </row>
    <row r="50" spans="1:28" ht="15" customHeight="1" x14ac:dyDescent="0.15">
      <c r="A50" s="7">
        <v>49</v>
      </c>
      <c r="B50" s="4" t="s">
        <v>298</v>
      </c>
      <c r="C50" s="4" t="s">
        <v>835</v>
      </c>
      <c r="D50" s="7">
        <v>59</v>
      </c>
      <c r="E50" s="4" t="s">
        <v>299</v>
      </c>
      <c r="F50" s="23" t="s">
        <v>30</v>
      </c>
      <c r="G50" s="23" t="s">
        <v>785</v>
      </c>
      <c r="H50" s="4"/>
      <c r="I50" s="4" t="s">
        <v>785</v>
      </c>
      <c r="J50" s="4" t="s">
        <v>785</v>
      </c>
      <c r="K50" s="18"/>
      <c r="L50" s="18">
        <f t="shared" si="1"/>
        <v>300</v>
      </c>
      <c r="M50" s="4" t="s">
        <v>300</v>
      </c>
      <c r="N50" s="4" t="s">
        <v>257</v>
      </c>
      <c r="O50" s="9">
        <v>1</v>
      </c>
      <c r="P50" s="169" t="s">
        <v>301</v>
      </c>
      <c r="Q50" s="168" t="s">
        <v>785</v>
      </c>
      <c r="R50" s="168" t="s">
        <v>729</v>
      </c>
      <c r="S50" s="169" t="s">
        <v>42</v>
      </c>
      <c r="T50" s="169">
        <v>600000</v>
      </c>
      <c r="U50" s="169" t="s">
        <v>43</v>
      </c>
      <c r="V50" s="169" t="s">
        <v>26</v>
      </c>
      <c r="W50" s="169">
        <v>4</v>
      </c>
      <c r="X50" s="169">
        <v>0</v>
      </c>
      <c r="Y50" s="169">
        <v>2</v>
      </c>
      <c r="Z50" s="169">
        <v>1</v>
      </c>
      <c r="AA50" s="168" t="s">
        <v>785</v>
      </c>
      <c r="AB50" s="168" t="s">
        <v>675</v>
      </c>
    </row>
    <row r="51" spans="1:28" ht="15" customHeight="1" x14ac:dyDescent="0.15">
      <c r="A51" s="7">
        <v>50</v>
      </c>
      <c r="B51" s="4" t="s">
        <v>303</v>
      </c>
      <c r="C51" s="4" t="s">
        <v>836</v>
      </c>
      <c r="D51" s="7">
        <v>67</v>
      </c>
      <c r="E51" s="4" t="s">
        <v>304</v>
      </c>
      <c r="F51" s="23" t="s">
        <v>19</v>
      </c>
      <c r="G51" s="23" t="s">
        <v>785</v>
      </c>
      <c r="H51" s="4"/>
      <c r="I51" s="4" t="s">
        <v>785</v>
      </c>
      <c r="J51" s="4" t="s">
        <v>785</v>
      </c>
      <c r="K51" s="18">
        <v>44275</v>
      </c>
      <c r="L51" s="18">
        <f t="shared" si="1"/>
        <v>44575</v>
      </c>
      <c r="M51" s="4" t="s">
        <v>305</v>
      </c>
      <c r="N51" s="4" t="s">
        <v>20</v>
      </c>
      <c r="O51" s="8" t="s">
        <v>306</v>
      </c>
      <c r="P51" s="169" t="s">
        <v>307</v>
      </c>
      <c r="Q51" s="168" t="s">
        <v>785</v>
      </c>
      <c r="R51" s="168" t="s">
        <v>730</v>
      </c>
      <c r="S51" s="169" t="s">
        <v>107</v>
      </c>
      <c r="T51" s="169">
        <v>641006</v>
      </c>
      <c r="U51" s="169" t="s">
        <v>43</v>
      </c>
      <c r="V51" s="169" t="s">
        <v>26</v>
      </c>
      <c r="W51" s="169">
        <v>4</v>
      </c>
      <c r="X51" s="169">
        <v>1</v>
      </c>
      <c r="Y51" s="169">
        <v>1</v>
      </c>
      <c r="Z51" s="169">
        <v>1</v>
      </c>
      <c r="AA51" s="168" t="s">
        <v>785</v>
      </c>
      <c r="AB51" s="168" t="s">
        <v>675</v>
      </c>
    </row>
    <row r="52" spans="1:28" ht="15" customHeight="1" x14ac:dyDescent="0.15">
      <c r="A52" s="7">
        <v>51</v>
      </c>
      <c r="B52" s="4" t="s">
        <v>308</v>
      </c>
      <c r="C52" s="4" t="s">
        <v>837</v>
      </c>
      <c r="D52" s="7" t="s">
        <v>785</v>
      </c>
      <c r="E52" s="4" t="s">
        <v>785</v>
      </c>
      <c r="F52" s="23" t="s">
        <v>785</v>
      </c>
      <c r="G52" s="23" t="s">
        <v>785</v>
      </c>
      <c r="H52" s="4"/>
      <c r="I52" s="4" t="s">
        <v>785</v>
      </c>
      <c r="J52" s="4" t="s">
        <v>785</v>
      </c>
      <c r="K52" s="18"/>
      <c r="L52" s="18">
        <f t="shared" si="1"/>
        <v>300</v>
      </c>
      <c r="M52" s="4" t="s">
        <v>309</v>
      </c>
      <c r="N52" s="4" t="s">
        <v>257</v>
      </c>
      <c r="O52" s="8" t="s">
        <v>310</v>
      </c>
      <c r="P52" s="169" t="s">
        <v>311</v>
      </c>
      <c r="Q52" s="169" t="s">
        <v>312</v>
      </c>
      <c r="R52" s="169" t="s">
        <v>731</v>
      </c>
      <c r="S52" s="169" t="s">
        <v>24</v>
      </c>
      <c r="T52" s="169">
        <v>560000</v>
      </c>
      <c r="U52" s="169" t="s">
        <v>25</v>
      </c>
      <c r="V52" s="169" t="s">
        <v>26</v>
      </c>
      <c r="W52" s="169">
        <v>0</v>
      </c>
      <c r="X52" s="169">
        <v>0</v>
      </c>
      <c r="Y52" s="169">
        <v>0</v>
      </c>
      <c r="Z52" s="169">
        <v>0</v>
      </c>
      <c r="AA52" s="168" t="s">
        <v>785</v>
      </c>
      <c r="AB52" s="168" t="s">
        <v>785</v>
      </c>
    </row>
    <row r="53" spans="1:28" ht="15" customHeight="1" x14ac:dyDescent="0.15">
      <c r="A53" s="7">
        <v>52</v>
      </c>
      <c r="B53" s="4" t="s">
        <v>313</v>
      </c>
      <c r="C53" s="4" t="s">
        <v>838</v>
      </c>
      <c r="D53" s="7" t="s">
        <v>314</v>
      </c>
      <c r="E53" s="4" t="s">
        <v>315</v>
      </c>
      <c r="F53" s="23" t="s">
        <v>30</v>
      </c>
      <c r="G53" s="23" t="s">
        <v>785</v>
      </c>
      <c r="H53" s="4"/>
      <c r="I53" s="4" t="s">
        <v>785</v>
      </c>
      <c r="J53" s="4" t="s">
        <v>785</v>
      </c>
      <c r="K53" s="18"/>
      <c r="L53" s="18">
        <f t="shared" si="1"/>
        <v>300</v>
      </c>
      <c r="M53" s="4" t="s">
        <v>316</v>
      </c>
      <c r="N53" s="4" t="s">
        <v>257</v>
      </c>
      <c r="O53" s="8" t="s">
        <v>317</v>
      </c>
      <c r="P53" s="169" t="s">
        <v>318</v>
      </c>
      <c r="Q53" s="169" t="s">
        <v>218</v>
      </c>
      <c r="R53" s="169" t="s">
        <v>732</v>
      </c>
      <c r="S53" s="169" t="s">
        <v>219</v>
      </c>
      <c r="T53" s="169">
        <v>411026</v>
      </c>
      <c r="U53" s="169" t="s">
        <v>176</v>
      </c>
      <c r="V53" s="169" t="s">
        <v>26</v>
      </c>
      <c r="W53" s="169">
        <v>2</v>
      </c>
      <c r="X53" s="169">
        <v>4</v>
      </c>
      <c r="Y53" s="169">
        <v>1</v>
      </c>
      <c r="Z53" s="169">
        <v>1</v>
      </c>
      <c r="AA53" s="168" t="s">
        <v>785</v>
      </c>
      <c r="AB53" s="168" t="s">
        <v>677</v>
      </c>
    </row>
    <row r="54" spans="1:28" ht="15" customHeight="1" x14ac:dyDescent="0.15">
      <c r="A54" s="7">
        <v>53</v>
      </c>
      <c r="B54" s="4" t="s">
        <v>319</v>
      </c>
      <c r="C54" s="4" t="s">
        <v>839</v>
      </c>
      <c r="D54" s="7">
        <v>340</v>
      </c>
      <c r="E54" s="4">
        <v>2015</v>
      </c>
      <c r="F54" s="23" t="s">
        <v>89</v>
      </c>
      <c r="G54" s="23" t="s">
        <v>785</v>
      </c>
      <c r="H54" s="4"/>
      <c r="I54" s="4" t="s">
        <v>785</v>
      </c>
      <c r="J54" s="4" t="s">
        <v>785</v>
      </c>
      <c r="K54" s="18">
        <v>45565</v>
      </c>
      <c r="L54" s="18">
        <f t="shared" si="1"/>
        <v>45865</v>
      </c>
      <c r="M54" s="4" t="s">
        <v>320</v>
      </c>
      <c r="N54" s="4" t="s">
        <v>257</v>
      </c>
      <c r="O54" s="8" t="s">
        <v>321</v>
      </c>
      <c r="P54" s="169" t="s">
        <v>50</v>
      </c>
      <c r="Q54" s="169" t="s">
        <v>322</v>
      </c>
      <c r="R54" s="169" t="s">
        <v>733</v>
      </c>
      <c r="S54" s="169" t="s">
        <v>225</v>
      </c>
      <c r="T54" s="169">
        <v>400069</v>
      </c>
      <c r="U54" s="169" t="s">
        <v>176</v>
      </c>
      <c r="V54" s="169" t="s">
        <v>26</v>
      </c>
      <c r="W54" s="169">
        <v>0</v>
      </c>
      <c r="X54" s="169">
        <v>0</v>
      </c>
      <c r="Y54" s="169">
        <v>0</v>
      </c>
      <c r="Z54" s="169">
        <v>0</v>
      </c>
      <c r="AA54" s="168" t="s">
        <v>785</v>
      </c>
      <c r="AB54" s="168" t="s">
        <v>785</v>
      </c>
    </row>
    <row r="55" spans="1:28" ht="15" customHeight="1" x14ac:dyDescent="0.15">
      <c r="A55" s="7">
        <v>54</v>
      </c>
      <c r="B55" s="4" t="s">
        <v>323</v>
      </c>
      <c r="C55" s="4" t="s">
        <v>840</v>
      </c>
      <c r="D55" s="7">
        <v>290</v>
      </c>
      <c r="E55" s="4" t="s">
        <v>324</v>
      </c>
      <c r="F55" s="23" t="s">
        <v>30</v>
      </c>
      <c r="G55" s="23" t="s">
        <v>785</v>
      </c>
      <c r="H55" s="22">
        <v>40985</v>
      </c>
      <c r="I55" s="22" t="s">
        <v>785</v>
      </c>
      <c r="J55" s="22" t="s">
        <v>785</v>
      </c>
      <c r="K55" s="18"/>
      <c r="L55" s="18">
        <f t="shared" si="1"/>
        <v>300</v>
      </c>
      <c r="M55" s="4" t="s">
        <v>325</v>
      </c>
      <c r="N55" s="4" t="s">
        <v>326</v>
      </c>
      <c r="O55" s="8" t="s">
        <v>327</v>
      </c>
      <c r="P55" s="168" t="s">
        <v>785</v>
      </c>
      <c r="Q55" s="168" t="s">
        <v>785</v>
      </c>
      <c r="R55" s="168" t="s">
        <v>734</v>
      </c>
      <c r="S55" s="169" t="s">
        <v>328</v>
      </c>
      <c r="T55" s="169">
        <v>700072</v>
      </c>
      <c r="U55" s="169" t="s">
        <v>329</v>
      </c>
      <c r="V55" s="169" t="s">
        <v>26</v>
      </c>
      <c r="W55" s="169">
        <v>8</v>
      </c>
      <c r="X55" s="169">
        <v>0</v>
      </c>
      <c r="Y55" s="169">
        <v>0</v>
      </c>
      <c r="Z55" s="169">
        <v>5</v>
      </c>
      <c r="AA55" s="168" t="s">
        <v>785</v>
      </c>
      <c r="AB55" s="168" t="s">
        <v>637</v>
      </c>
    </row>
    <row r="56" spans="1:28" ht="15" customHeight="1" x14ac:dyDescent="0.15">
      <c r="A56" s="7">
        <v>55</v>
      </c>
      <c r="B56" s="4" t="s">
        <v>330</v>
      </c>
      <c r="C56" s="4" t="s">
        <v>841</v>
      </c>
      <c r="D56" s="7" t="s">
        <v>331</v>
      </c>
      <c r="E56" s="4" t="s">
        <v>96</v>
      </c>
      <c r="F56" s="23" t="s">
        <v>69</v>
      </c>
      <c r="G56" s="23" t="s">
        <v>785</v>
      </c>
      <c r="H56" s="4"/>
      <c r="I56" s="4" t="s">
        <v>785</v>
      </c>
      <c r="J56" s="4" t="s">
        <v>785</v>
      </c>
      <c r="K56" s="18">
        <v>44501</v>
      </c>
      <c r="L56" s="18">
        <f t="shared" si="1"/>
        <v>44801</v>
      </c>
      <c r="M56" s="4" t="s">
        <v>332</v>
      </c>
      <c r="N56" s="4" t="s">
        <v>333</v>
      </c>
      <c r="O56" s="8" t="s">
        <v>334</v>
      </c>
      <c r="P56" s="169" t="s">
        <v>335</v>
      </c>
      <c r="Q56" s="168" t="s">
        <v>785</v>
      </c>
      <c r="R56" s="168" t="s">
        <v>735</v>
      </c>
      <c r="S56" s="169" t="s">
        <v>336</v>
      </c>
      <c r="T56" s="169">
        <v>173220</v>
      </c>
      <c r="U56" s="169" t="s">
        <v>337</v>
      </c>
      <c r="V56" s="169" t="s">
        <v>26</v>
      </c>
      <c r="W56" s="169">
        <v>1</v>
      </c>
      <c r="X56" s="169">
        <v>3</v>
      </c>
      <c r="Y56" s="169">
        <v>1</v>
      </c>
      <c r="Z56" s="169">
        <v>2</v>
      </c>
      <c r="AA56" s="168" t="s">
        <v>785</v>
      </c>
      <c r="AB56" s="168" t="s">
        <v>637</v>
      </c>
    </row>
    <row r="57" spans="1:28" ht="15" customHeight="1" x14ac:dyDescent="0.15">
      <c r="A57" s="7">
        <v>56</v>
      </c>
      <c r="B57" s="4" t="s">
        <v>338</v>
      </c>
      <c r="C57" s="4" t="s">
        <v>842</v>
      </c>
      <c r="D57" s="7">
        <v>327</v>
      </c>
      <c r="E57" s="4" t="s">
        <v>47</v>
      </c>
      <c r="F57" s="23" t="s">
        <v>30</v>
      </c>
      <c r="G57" s="23" t="s">
        <v>785</v>
      </c>
      <c r="H57" s="4"/>
      <c r="I57" s="4" t="s">
        <v>785</v>
      </c>
      <c r="J57" s="4" t="s">
        <v>785</v>
      </c>
      <c r="K57" s="18">
        <v>44554</v>
      </c>
      <c r="L57" s="18">
        <f t="shared" si="1"/>
        <v>44854</v>
      </c>
      <c r="M57" s="4" t="s">
        <v>339</v>
      </c>
      <c r="N57" s="4" t="s">
        <v>340</v>
      </c>
      <c r="O57" s="8" t="s">
        <v>341</v>
      </c>
      <c r="P57" s="169" t="s">
        <v>342</v>
      </c>
      <c r="Q57" s="169" t="s">
        <v>343</v>
      </c>
      <c r="R57" s="169" t="s">
        <v>736</v>
      </c>
      <c r="S57" s="169" t="s">
        <v>24</v>
      </c>
      <c r="T57" s="169">
        <v>560079</v>
      </c>
      <c r="U57" s="169" t="s">
        <v>25</v>
      </c>
      <c r="V57" s="169" t="s">
        <v>26</v>
      </c>
      <c r="W57" s="169">
        <v>8</v>
      </c>
      <c r="X57" s="169">
        <v>0</v>
      </c>
      <c r="Y57" s="169">
        <v>4</v>
      </c>
      <c r="Z57" s="169">
        <v>1</v>
      </c>
      <c r="AA57" s="168" t="s">
        <v>785</v>
      </c>
      <c r="AB57" s="168" t="s">
        <v>637</v>
      </c>
    </row>
    <row r="58" spans="1:28" ht="15" customHeight="1" x14ac:dyDescent="0.15">
      <c r="A58" s="7">
        <v>57</v>
      </c>
      <c r="B58" s="4" t="s">
        <v>345</v>
      </c>
      <c r="C58" s="4" t="s">
        <v>843</v>
      </c>
      <c r="D58" s="7">
        <v>61</v>
      </c>
      <c r="E58" s="4" t="s">
        <v>54</v>
      </c>
      <c r="F58" s="23" t="s">
        <v>37</v>
      </c>
      <c r="G58" s="23" t="s">
        <v>785</v>
      </c>
      <c r="H58" s="4"/>
      <c r="I58" s="4" t="s">
        <v>785</v>
      </c>
      <c r="J58" s="4" t="s">
        <v>785</v>
      </c>
      <c r="K58" s="18"/>
      <c r="L58" s="18">
        <f t="shared" si="1"/>
        <v>300</v>
      </c>
      <c r="M58" s="4" t="s">
        <v>346</v>
      </c>
      <c r="N58" s="4" t="s">
        <v>257</v>
      </c>
      <c r="O58" s="8" t="s">
        <v>347</v>
      </c>
      <c r="P58" s="169" t="s">
        <v>164</v>
      </c>
      <c r="Q58" s="168" t="s">
        <v>785</v>
      </c>
      <c r="R58" s="168" t="s">
        <v>737</v>
      </c>
      <c r="S58" s="169" t="s">
        <v>24</v>
      </c>
      <c r="T58" s="169">
        <v>560034</v>
      </c>
      <c r="U58" s="169" t="s">
        <v>25</v>
      </c>
      <c r="V58" s="169" t="s">
        <v>26</v>
      </c>
      <c r="W58" s="169">
        <v>0</v>
      </c>
      <c r="X58" s="169">
        <v>0</v>
      </c>
      <c r="Y58" s="169">
        <v>0</v>
      </c>
      <c r="Z58" s="169">
        <v>0</v>
      </c>
      <c r="AA58" s="168" t="s">
        <v>785</v>
      </c>
      <c r="AB58" s="168" t="s">
        <v>785</v>
      </c>
    </row>
    <row r="59" spans="1:28" ht="15" customHeight="1" x14ac:dyDescent="0.15">
      <c r="A59" s="7">
        <v>58</v>
      </c>
      <c r="B59" s="4" t="s">
        <v>348</v>
      </c>
      <c r="C59" s="4" t="s">
        <v>844</v>
      </c>
      <c r="D59" s="7">
        <v>71</v>
      </c>
      <c r="E59" s="4" t="s">
        <v>349</v>
      </c>
      <c r="F59" s="23" t="s">
        <v>785</v>
      </c>
      <c r="G59" s="23" t="s">
        <v>785</v>
      </c>
      <c r="H59" s="4"/>
      <c r="I59" s="4" t="s">
        <v>785</v>
      </c>
      <c r="J59" s="4" t="s">
        <v>785</v>
      </c>
      <c r="K59" s="18"/>
      <c r="L59" s="18">
        <f t="shared" si="1"/>
        <v>300</v>
      </c>
      <c r="M59" s="4" t="s">
        <v>350</v>
      </c>
      <c r="N59" s="4" t="s">
        <v>351</v>
      </c>
      <c r="O59" s="8" t="s">
        <v>352</v>
      </c>
      <c r="P59" s="169" t="s">
        <v>353</v>
      </c>
      <c r="Q59" s="169" t="s">
        <v>354</v>
      </c>
      <c r="R59" s="169" t="s">
        <v>738</v>
      </c>
      <c r="S59" s="169" t="s">
        <v>355</v>
      </c>
      <c r="T59" s="169">
        <v>602105</v>
      </c>
      <c r="U59" s="169" t="s">
        <v>43</v>
      </c>
      <c r="V59" s="169" t="s">
        <v>26</v>
      </c>
      <c r="W59" s="169">
        <v>4</v>
      </c>
      <c r="X59" s="169">
        <v>0</v>
      </c>
      <c r="Y59" s="169">
        <v>3</v>
      </c>
      <c r="Z59" s="169">
        <v>1</v>
      </c>
      <c r="AA59" s="168" t="s">
        <v>785</v>
      </c>
      <c r="AB59" s="168" t="s">
        <v>675</v>
      </c>
    </row>
    <row r="60" spans="1:28" ht="15" customHeight="1" x14ac:dyDescent="0.15">
      <c r="A60" s="7">
        <v>59</v>
      </c>
      <c r="B60" s="4" t="s">
        <v>356</v>
      </c>
      <c r="C60" s="4" t="s">
        <v>845</v>
      </c>
      <c r="D60" s="7">
        <v>74</v>
      </c>
      <c r="E60" s="4" t="s">
        <v>349</v>
      </c>
      <c r="F60" s="23" t="s">
        <v>30</v>
      </c>
      <c r="G60" s="23" t="s">
        <v>785</v>
      </c>
      <c r="H60" s="22">
        <v>39343</v>
      </c>
      <c r="I60" s="22" t="s">
        <v>785</v>
      </c>
      <c r="J60" s="22" t="s">
        <v>785</v>
      </c>
      <c r="K60" s="18"/>
      <c r="L60" s="18">
        <f t="shared" si="1"/>
        <v>300</v>
      </c>
      <c r="M60" s="4" t="s">
        <v>357</v>
      </c>
      <c r="N60" s="4" t="s">
        <v>358</v>
      </c>
      <c r="O60" s="8">
        <v>9840856572</v>
      </c>
      <c r="P60" s="169" t="s">
        <v>359</v>
      </c>
      <c r="Q60" s="168" t="s">
        <v>785</v>
      </c>
      <c r="R60" s="168" t="s">
        <v>739</v>
      </c>
      <c r="S60" s="169" t="s">
        <v>42</v>
      </c>
      <c r="T60" s="169">
        <v>600096</v>
      </c>
      <c r="U60" s="169" t="s">
        <v>43</v>
      </c>
      <c r="V60" s="169" t="s">
        <v>26</v>
      </c>
      <c r="W60" s="169">
        <v>0</v>
      </c>
      <c r="X60" s="169">
        <v>0</v>
      </c>
      <c r="Y60" s="169">
        <v>0</v>
      </c>
      <c r="Z60" s="169">
        <v>0</v>
      </c>
      <c r="AA60" s="168" t="s">
        <v>785</v>
      </c>
      <c r="AB60" s="168" t="s">
        <v>785</v>
      </c>
    </row>
    <row r="61" spans="1:28" ht="15" customHeight="1" x14ac:dyDescent="0.15">
      <c r="A61" s="7">
        <v>60</v>
      </c>
      <c r="B61" s="4" t="s">
        <v>360</v>
      </c>
      <c r="C61" s="4" t="s">
        <v>846</v>
      </c>
      <c r="D61" s="7">
        <v>62</v>
      </c>
      <c r="E61" s="4" t="s">
        <v>54</v>
      </c>
      <c r="F61" s="23" t="s">
        <v>69</v>
      </c>
      <c r="G61" s="23" t="s">
        <v>785</v>
      </c>
      <c r="H61" s="4"/>
      <c r="I61" s="4" t="s">
        <v>785</v>
      </c>
      <c r="J61" s="4" t="s">
        <v>785</v>
      </c>
      <c r="K61" s="18">
        <v>44496</v>
      </c>
      <c r="L61" s="18">
        <f t="shared" si="1"/>
        <v>44796</v>
      </c>
      <c r="M61" s="4" t="s">
        <v>361</v>
      </c>
      <c r="N61" s="4" t="s">
        <v>362</v>
      </c>
      <c r="O61" s="8" t="s">
        <v>363</v>
      </c>
      <c r="P61" s="169" t="s">
        <v>365</v>
      </c>
      <c r="Q61" s="168" t="s">
        <v>785</v>
      </c>
      <c r="R61" s="168" t="s">
        <v>740</v>
      </c>
      <c r="S61" s="169" t="s">
        <v>366</v>
      </c>
      <c r="T61" s="169">
        <v>603209</v>
      </c>
      <c r="U61" s="169" t="s">
        <v>43</v>
      </c>
      <c r="V61" s="169" t="s">
        <v>26</v>
      </c>
      <c r="W61" s="169">
        <v>4</v>
      </c>
      <c r="X61" s="169">
        <v>0</v>
      </c>
      <c r="Y61" s="169">
        <v>2</v>
      </c>
      <c r="Z61" s="169">
        <v>4</v>
      </c>
      <c r="AA61" s="168" t="s">
        <v>785</v>
      </c>
      <c r="AB61" s="168" t="s">
        <v>675</v>
      </c>
    </row>
    <row r="62" spans="1:28" ht="15" customHeight="1" x14ac:dyDescent="0.15">
      <c r="A62" s="7">
        <v>61</v>
      </c>
      <c r="B62" s="4" t="s">
        <v>368</v>
      </c>
      <c r="C62" s="4" t="s">
        <v>847</v>
      </c>
      <c r="D62" s="7">
        <v>78</v>
      </c>
      <c r="E62" s="4" t="s">
        <v>54</v>
      </c>
      <c r="F62" s="23" t="s">
        <v>30</v>
      </c>
      <c r="G62" s="23" t="s">
        <v>785</v>
      </c>
      <c r="H62" s="4"/>
      <c r="I62" s="4" t="s">
        <v>785</v>
      </c>
      <c r="J62" s="4" t="s">
        <v>785</v>
      </c>
      <c r="K62" s="18"/>
      <c r="L62" s="18">
        <f t="shared" si="1"/>
        <v>300</v>
      </c>
      <c r="M62" s="4" t="s">
        <v>369</v>
      </c>
      <c r="N62" s="4" t="s">
        <v>340</v>
      </c>
      <c r="O62" s="8" t="s">
        <v>370</v>
      </c>
      <c r="P62" s="169" t="s">
        <v>371</v>
      </c>
      <c r="Q62" s="168" t="s">
        <v>785</v>
      </c>
      <c r="R62" s="168" t="s">
        <v>741</v>
      </c>
      <c r="S62" s="169" t="s">
        <v>42</v>
      </c>
      <c r="T62" s="169">
        <v>602107</v>
      </c>
      <c r="U62" s="169" t="s">
        <v>43</v>
      </c>
      <c r="V62" s="169" t="s">
        <v>26</v>
      </c>
      <c r="W62" s="169">
        <v>0</v>
      </c>
      <c r="X62" s="169">
        <v>0</v>
      </c>
      <c r="Y62" s="169">
        <v>0</v>
      </c>
      <c r="Z62" s="169">
        <v>0</v>
      </c>
      <c r="AA62" s="168" t="s">
        <v>785</v>
      </c>
      <c r="AB62" s="168" t="s">
        <v>785</v>
      </c>
    </row>
    <row r="63" spans="1:28" ht="15" customHeight="1" x14ac:dyDescent="0.15">
      <c r="A63" s="7">
        <v>62</v>
      </c>
      <c r="B63" s="4" t="s">
        <v>372</v>
      </c>
      <c r="C63" s="4" t="s">
        <v>848</v>
      </c>
      <c r="D63" s="7">
        <v>72</v>
      </c>
      <c r="E63" s="4" t="s">
        <v>54</v>
      </c>
      <c r="F63" s="23" t="s">
        <v>30</v>
      </c>
      <c r="G63" s="23" t="s">
        <v>785</v>
      </c>
      <c r="H63" s="4"/>
      <c r="I63" s="4" t="s">
        <v>785</v>
      </c>
      <c r="J63" s="4" t="s">
        <v>785</v>
      </c>
      <c r="K63" s="18"/>
      <c r="L63" s="18">
        <f t="shared" si="1"/>
        <v>300</v>
      </c>
      <c r="M63" s="4" t="s">
        <v>373</v>
      </c>
      <c r="N63" s="4" t="s">
        <v>374</v>
      </c>
      <c r="O63" s="8" t="s">
        <v>375</v>
      </c>
      <c r="P63" s="169" t="s">
        <v>376</v>
      </c>
      <c r="Q63" s="169" t="s">
        <v>377</v>
      </c>
      <c r="R63" s="169" t="s">
        <v>742</v>
      </c>
      <c r="S63" s="169" t="s">
        <v>378</v>
      </c>
      <c r="T63" s="169">
        <v>363035</v>
      </c>
      <c r="U63" s="169" t="s">
        <v>148</v>
      </c>
      <c r="V63" s="169" t="s">
        <v>26</v>
      </c>
      <c r="W63" s="169">
        <v>0</v>
      </c>
      <c r="X63" s="169">
        <v>0</v>
      </c>
      <c r="Y63" s="169">
        <v>0</v>
      </c>
      <c r="Z63" s="169">
        <v>0</v>
      </c>
      <c r="AA63" s="168" t="s">
        <v>785</v>
      </c>
      <c r="AB63" s="168" t="s">
        <v>785</v>
      </c>
    </row>
    <row r="64" spans="1:28" ht="15" customHeight="1" x14ac:dyDescent="0.15">
      <c r="A64" s="7">
        <v>63</v>
      </c>
      <c r="B64" s="4" t="s">
        <v>379</v>
      </c>
      <c r="C64" s="4" t="s">
        <v>849</v>
      </c>
      <c r="D64" s="7">
        <v>287</v>
      </c>
      <c r="E64" s="4" t="s">
        <v>47</v>
      </c>
      <c r="F64" s="23" t="s">
        <v>30</v>
      </c>
      <c r="G64" s="23" t="s">
        <v>785</v>
      </c>
      <c r="H64" s="22">
        <v>39354</v>
      </c>
      <c r="I64" s="22" t="s">
        <v>785</v>
      </c>
      <c r="J64" s="22" t="s">
        <v>785</v>
      </c>
      <c r="K64" s="18"/>
      <c r="L64" s="18">
        <f t="shared" si="1"/>
        <v>300</v>
      </c>
      <c r="M64" s="4" t="s">
        <v>380</v>
      </c>
      <c r="N64" s="4" t="s">
        <v>257</v>
      </c>
      <c r="O64" s="8" t="s">
        <v>381</v>
      </c>
      <c r="P64" s="169" t="s">
        <v>382</v>
      </c>
      <c r="Q64" s="169" t="s">
        <v>383</v>
      </c>
      <c r="R64" s="169" t="s">
        <v>743</v>
      </c>
      <c r="S64" s="169" t="s">
        <v>24</v>
      </c>
      <c r="T64" s="169">
        <v>560098</v>
      </c>
      <c r="U64" s="169" t="s">
        <v>25</v>
      </c>
      <c r="V64" s="169" t="s">
        <v>26</v>
      </c>
      <c r="W64" s="169">
        <v>8</v>
      </c>
      <c r="X64" s="169">
        <v>0</v>
      </c>
      <c r="Y64" s="169">
        <v>3</v>
      </c>
      <c r="Z64" s="169">
        <v>1</v>
      </c>
      <c r="AA64" s="168" t="s">
        <v>785</v>
      </c>
      <c r="AB64" s="168" t="s">
        <v>637</v>
      </c>
    </row>
    <row r="65" spans="1:28" ht="15" customHeight="1" x14ac:dyDescent="0.15">
      <c r="A65" s="7">
        <v>64</v>
      </c>
      <c r="B65" s="4" t="s">
        <v>384</v>
      </c>
      <c r="C65" s="4" t="s">
        <v>850</v>
      </c>
      <c r="D65" s="7">
        <v>77</v>
      </c>
      <c r="E65" s="4" t="s">
        <v>47</v>
      </c>
      <c r="F65" s="23" t="s">
        <v>69</v>
      </c>
      <c r="G65" s="23" t="s">
        <v>785</v>
      </c>
      <c r="H65" s="4"/>
      <c r="I65" s="4" t="s">
        <v>785</v>
      </c>
      <c r="J65" s="4" t="s">
        <v>785</v>
      </c>
      <c r="K65" s="18">
        <v>44462</v>
      </c>
      <c r="L65" s="18">
        <f t="shared" si="1"/>
        <v>44762</v>
      </c>
      <c r="M65" s="4" t="s">
        <v>385</v>
      </c>
      <c r="N65" s="4" t="s">
        <v>257</v>
      </c>
      <c r="O65" s="8" t="s">
        <v>386</v>
      </c>
      <c r="P65" s="169" t="s">
        <v>387</v>
      </c>
      <c r="Q65" s="169" t="s">
        <v>388</v>
      </c>
      <c r="R65" s="169" t="s">
        <v>744</v>
      </c>
      <c r="S65" s="169" t="s">
        <v>24</v>
      </c>
      <c r="T65" s="169">
        <v>560099</v>
      </c>
      <c r="U65" s="169" t="s">
        <v>25</v>
      </c>
      <c r="V65" s="169" t="s">
        <v>26</v>
      </c>
      <c r="W65" s="169">
        <v>8</v>
      </c>
      <c r="X65" s="169">
        <v>0</v>
      </c>
      <c r="Y65" s="169">
        <v>2</v>
      </c>
      <c r="Z65" s="169">
        <v>2</v>
      </c>
      <c r="AA65" s="168" t="s">
        <v>785</v>
      </c>
      <c r="AB65" s="168" t="s">
        <v>637</v>
      </c>
    </row>
    <row r="66" spans="1:28" ht="15" customHeight="1" x14ac:dyDescent="0.15">
      <c r="A66" s="7">
        <v>65</v>
      </c>
      <c r="B66" s="4" t="s">
        <v>390</v>
      </c>
      <c r="C66" s="4" t="s">
        <v>851</v>
      </c>
      <c r="D66" s="7">
        <v>856</v>
      </c>
      <c r="E66" s="4" t="s">
        <v>96</v>
      </c>
      <c r="F66" s="23" t="s">
        <v>391</v>
      </c>
      <c r="G66" s="23" t="s">
        <v>785</v>
      </c>
      <c r="H66" s="22">
        <v>44355</v>
      </c>
      <c r="I66" s="22" t="s">
        <v>785</v>
      </c>
      <c r="J66" s="22" t="s">
        <v>785</v>
      </c>
      <c r="K66" s="18">
        <v>45442</v>
      </c>
      <c r="L66" s="18">
        <f t="shared" ref="L66:L97" si="2">K66+300</f>
        <v>45742</v>
      </c>
      <c r="M66" s="4" t="s">
        <v>392</v>
      </c>
      <c r="N66" s="4" t="s">
        <v>393</v>
      </c>
      <c r="O66" s="8">
        <v>9150030719</v>
      </c>
      <c r="P66" s="169" t="s">
        <v>394</v>
      </c>
      <c r="Q66" s="169" t="s">
        <v>785</v>
      </c>
      <c r="R66" s="169" t="s">
        <v>745</v>
      </c>
      <c r="S66" s="169" t="s">
        <v>107</v>
      </c>
      <c r="T66" s="169">
        <v>641050</v>
      </c>
      <c r="U66" s="169" t="s">
        <v>43</v>
      </c>
      <c r="V66" s="169" t="s">
        <v>26</v>
      </c>
      <c r="W66" s="169">
        <v>4</v>
      </c>
      <c r="X66" s="169">
        <v>1</v>
      </c>
      <c r="Y66" s="169">
        <v>3</v>
      </c>
      <c r="Z66" s="169">
        <v>1</v>
      </c>
      <c r="AA66" s="168" t="s">
        <v>785</v>
      </c>
      <c r="AB66" s="168" t="s">
        <v>675</v>
      </c>
    </row>
    <row r="67" spans="1:28" ht="15" customHeight="1" x14ac:dyDescent="0.15">
      <c r="A67" s="7">
        <v>66</v>
      </c>
      <c r="B67" s="4" t="s">
        <v>396</v>
      </c>
      <c r="C67" s="4" t="s">
        <v>852</v>
      </c>
      <c r="D67" s="7">
        <v>70</v>
      </c>
      <c r="E67" s="4" t="s">
        <v>54</v>
      </c>
      <c r="F67" s="23" t="s">
        <v>89</v>
      </c>
      <c r="G67" s="23" t="s">
        <v>785</v>
      </c>
      <c r="H67" s="4"/>
      <c r="I67" s="4" t="s">
        <v>785</v>
      </c>
      <c r="J67" s="4" t="s">
        <v>785</v>
      </c>
      <c r="K67" s="18">
        <v>44820</v>
      </c>
      <c r="L67" s="18">
        <f t="shared" si="2"/>
        <v>45120</v>
      </c>
      <c r="M67" s="4" t="s">
        <v>397</v>
      </c>
      <c r="N67" s="4" t="s">
        <v>398</v>
      </c>
      <c r="O67" s="8">
        <v>28511376</v>
      </c>
      <c r="P67" s="169" t="s">
        <v>399</v>
      </c>
      <c r="Q67" s="169" t="s">
        <v>400</v>
      </c>
      <c r="R67" s="169" t="s">
        <v>746</v>
      </c>
      <c r="S67" s="169" t="s">
        <v>24</v>
      </c>
      <c r="T67" s="169">
        <v>560004</v>
      </c>
      <c r="U67" s="169" t="s">
        <v>25</v>
      </c>
      <c r="V67" s="169" t="s">
        <v>26</v>
      </c>
      <c r="W67" s="169">
        <v>8</v>
      </c>
      <c r="X67" s="169">
        <v>0</v>
      </c>
      <c r="Y67" s="169">
        <v>8</v>
      </c>
      <c r="Z67" s="169">
        <v>1</v>
      </c>
      <c r="AA67" s="168" t="s">
        <v>785</v>
      </c>
      <c r="AB67" s="168" t="s">
        <v>637</v>
      </c>
    </row>
    <row r="68" spans="1:28" ht="15" customHeight="1" x14ac:dyDescent="0.15">
      <c r="A68" s="7">
        <v>67</v>
      </c>
      <c r="B68" s="4" t="s">
        <v>402</v>
      </c>
      <c r="C68" s="4" t="s">
        <v>853</v>
      </c>
      <c r="D68" s="7">
        <v>81</v>
      </c>
      <c r="E68" s="4" t="s">
        <v>54</v>
      </c>
      <c r="F68" s="23" t="s">
        <v>19</v>
      </c>
      <c r="G68" s="23" t="s">
        <v>785</v>
      </c>
      <c r="H68" s="4"/>
      <c r="I68" s="4" t="s">
        <v>785</v>
      </c>
      <c r="J68" s="4" t="s">
        <v>785</v>
      </c>
      <c r="K68" s="18">
        <v>44001</v>
      </c>
      <c r="L68" s="18">
        <f t="shared" si="2"/>
        <v>44301</v>
      </c>
      <c r="M68" s="4" t="s">
        <v>403</v>
      </c>
      <c r="N68" s="4" t="s">
        <v>257</v>
      </c>
      <c r="O68" s="8" t="s">
        <v>404</v>
      </c>
      <c r="P68" s="169" t="s">
        <v>405</v>
      </c>
      <c r="Q68" s="168" t="s">
        <v>785</v>
      </c>
      <c r="R68" s="168" t="s">
        <v>747</v>
      </c>
      <c r="S68" s="169" t="s">
        <v>24</v>
      </c>
      <c r="T68" s="169" t="s">
        <v>406</v>
      </c>
      <c r="U68" s="169" t="s">
        <v>25</v>
      </c>
      <c r="V68" s="169" t="s">
        <v>26</v>
      </c>
      <c r="W68" s="169">
        <v>8</v>
      </c>
      <c r="X68" s="169">
        <v>0</v>
      </c>
      <c r="Y68" s="169">
        <v>5</v>
      </c>
      <c r="Z68" s="169">
        <v>1</v>
      </c>
      <c r="AA68" s="168" t="s">
        <v>785</v>
      </c>
      <c r="AB68" s="168" t="s">
        <v>637</v>
      </c>
    </row>
    <row r="69" spans="1:28" ht="15" customHeight="1" x14ac:dyDescent="0.15">
      <c r="A69" s="7">
        <v>68</v>
      </c>
      <c r="B69" s="4" t="s">
        <v>407</v>
      </c>
      <c r="C69" s="4" t="s">
        <v>854</v>
      </c>
      <c r="D69" s="7">
        <v>82</v>
      </c>
      <c r="E69" s="4" t="s">
        <v>54</v>
      </c>
      <c r="F69" s="23" t="s">
        <v>30</v>
      </c>
      <c r="G69" s="23" t="s">
        <v>785</v>
      </c>
      <c r="H69" s="4"/>
      <c r="I69" s="4" t="s">
        <v>785</v>
      </c>
      <c r="J69" s="4" t="s">
        <v>785</v>
      </c>
      <c r="K69" s="18"/>
      <c r="L69" s="18">
        <f t="shared" si="2"/>
        <v>300</v>
      </c>
      <c r="M69" s="4" t="s">
        <v>408</v>
      </c>
      <c r="N69" s="4" t="s">
        <v>340</v>
      </c>
      <c r="O69" s="8">
        <v>41172499</v>
      </c>
      <c r="P69" s="169" t="s">
        <v>405</v>
      </c>
      <c r="Q69" s="168" t="s">
        <v>785</v>
      </c>
      <c r="R69" s="168" t="s">
        <v>748</v>
      </c>
      <c r="S69" s="169" t="s">
        <v>24</v>
      </c>
      <c r="T69" s="169" t="s">
        <v>406</v>
      </c>
      <c r="U69" s="169" t="s">
        <v>25</v>
      </c>
      <c r="V69" s="169" t="s">
        <v>26</v>
      </c>
      <c r="W69" s="169">
        <v>8</v>
      </c>
      <c r="X69" s="169">
        <v>0</v>
      </c>
      <c r="Y69" s="169">
        <v>5</v>
      </c>
      <c r="Z69" s="169">
        <v>1</v>
      </c>
      <c r="AA69" s="168" t="s">
        <v>785</v>
      </c>
      <c r="AB69" s="168" t="s">
        <v>637</v>
      </c>
    </row>
    <row r="70" spans="1:28" ht="15" customHeight="1" x14ac:dyDescent="0.15">
      <c r="A70" s="7">
        <v>69</v>
      </c>
      <c r="B70" s="4" t="s">
        <v>409</v>
      </c>
      <c r="C70" s="4" t="s">
        <v>855</v>
      </c>
      <c r="D70" s="7">
        <v>80</v>
      </c>
      <c r="E70" s="4" t="s">
        <v>54</v>
      </c>
      <c r="F70" s="23" t="s">
        <v>89</v>
      </c>
      <c r="G70" s="23" t="s">
        <v>785</v>
      </c>
      <c r="H70" s="4"/>
      <c r="I70" s="4" t="s">
        <v>785</v>
      </c>
      <c r="J70" s="4" t="s">
        <v>785</v>
      </c>
      <c r="K70" s="18">
        <v>44639</v>
      </c>
      <c r="L70" s="18">
        <f t="shared" si="2"/>
        <v>44939</v>
      </c>
      <c r="M70" s="4" t="s">
        <v>410</v>
      </c>
      <c r="N70" s="4" t="s">
        <v>77</v>
      </c>
      <c r="O70" s="8" t="s">
        <v>411</v>
      </c>
      <c r="P70" s="169" t="s">
        <v>412</v>
      </c>
      <c r="Q70" s="168" t="s">
        <v>785</v>
      </c>
      <c r="R70" s="168" t="s">
        <v>749</v>
      </c>
      <c r="S70" s="169" t="s">
        <v>219</v>
      </c>
      <c r="T70" s="169">
        <v>411013</v>
      </c>
      <c r="U70" s="169" t="s">
        <v>176</v>
      </c>
      <c r="V70" s="169" t="s">
        <v>26</v>
      </c>
      <c r="W70" s="169">
        <v>2</v>
      </c>
      <c r="X70" s="169">
        <v>4</v>
      </c>
      <c r="Y70" s="169">
        <v>4</v>
      </c>
      <c r="Z70" s="169">
        <v>1</v>
      </c>
      <c r="AA70" s="168" t="s">
        <v>785</v>
      </c>
      <c r="AB70" s="168" t="s">
        <v>678</v>
      </c>
    </row>
    <row r="71" spans="1:28" ht="15" customHeight="1" x14ac:dyDescent="0.15">
      <c r="A71" s="7">
        <v>70</v>
      </c>
      <c r="B71" s="4" t="s">
        <v>413</v>
      </c>
      <c r="C71" s="4" t="s">
        <v>856</v>
      </c>
      <c r="D71" s="7" t="s">
        <v>785</v>
      </c>
      <c r="E71" s="4" t="s">
        <v>785</v>
      </c>
      <c r="F71" s="23" t="s">
        <v>785</v>
      </c>
      <c r="G71" s="23" t="s">
        <v>785</v>
      </c>
      <c r="H71" s="4"/>
      <c r="I71" s="4" t="s">
        <v>785</v>
      </c>
      <c r="J71" s="4" t="s">
        <v>785</v>
      </c>
      <c r="K71" s="18"/>
      <c r="L71" s="18">
        <f t="shared" si="2"/>
        <v>300</v>
      </c>
      <c r="M71" s="4" t="s">
        <v>414</v>
      </c>
      <c r="N71" s="4" t="s">
        <v>415</v>
      </c>
      <c r="O71" s="9">
        <v>1</v>
      </c>
      <c r="P71" s="169" t="s">
        <v>416</v>
      </c>
      <c r="Q71" s="168" t="s">
        <v>785</v>
      </c>
      <c r="R71" s="168" t="s">
        <v>750</v>
      </c>
      <c r="S71" s="169" t="s">
        <v>107</v>
      </c>
      <c r="T71" s="169">
        <v>641653</v>
      </c>
      <c r="U71" s="169" t="s">
        <v>43</v>
      </c>
      <c r="V71" s="169" t="s">
        <v>26</v>
      </c>
      <c r="W71" s="169">
        <v>4</v>
      </c>
      <c r="X71" s="169">
        <v>1</v>
      </c>
      <c r="Y71" s="169">
        <v>6</v>
      </c>
      <c r="Z71" s="169">
        <v>2</v>
      </c>
      <c r="AA71" s="168" t="s">
        <v>785</v>
      </c>
      <c r="AB71" s="168" t="s">
        <v>675</v>
      </c>
    </row>
    <row r="72" spans="1:28" ht="15" customHeight="1" x14ac:dyDescent="0.15">
      <c r="A72" s="7">
        <v>71</v>
      </c>
      <c r="B72" s="4" t="s">
        <v>418</v>
      </c>
      <c r="C72" s="4" t="s">
        <v>857</v>
      </c>
      <c r="D72" s="7">
        <v>73</v>
      </c>
      <c r="E72" s="4" t="s">
        <v>54</v>
      </c>
      <c r="F72" s="23" t="s">
        <v>30</v>
      </c>
      <c r="G72" s="23" t="s">
        <v>785</v>
      </c>
      <c r="H72" s="4"/>
      <c r="I72" s="4" t="s">
        <v>785</v>
      </c>
      <c r="J72" s="4" t="s">
        <v>785</v>
      </c>
      <c r="K72" s="18"/>
      <c r="L72" s="18">
        <f t="shared" si="2"/>
        <v>300</v>
      </c>
      <c r="M72" s="4" t="s">
        <v>419</v>
      </c>
      <c r="N72" s="2" t="s">
        <v>785</v>
      </c>
      <c r="O72" s="8" t="s">
        <v>420</v>
      </c>
      <c r="P72" s="169" t="s">
        <v>421</v>
      </c>
      <c r="Q72" s="168" t="s">
        <v>785</v>
      </c>
      <c r="R72" s="168" t="s">
        <v>751</v>
      </c>
      <c r="S72" s="169" t="s">
        <v>422</v>
      </c>
      <c r="T72" s="169">
        <v>590008</v>
      </c>
      <c r="U72" s="169" t="s">
        <v>25</v>
      </c>
      <c r="V72" s="169" t="s">
        <v>26</v>
      </c>
      <c r="W72" s="169">
        <v>8</v>
      </c>
      <c r="X72" s="169">
        <v>0</v>
      </c>
      <c r="Y72" s="169">
        <v>0</v>
      </c>
      <c r="Z72" s="169">
        <v>2</v>
      </c>
      <c r="AA72" s="168" t="s">
        <v>785</v>
      </c>
      <c r="AB72" s="168" t="s">
        <v>637</v>
      </c>
    </row>
    <row r="73" spans="1:28" ht="15" customHeight="1" x14ac:dyDescent="0.15">
      <c r="A73" s="7">
        <v>72</v>
      </c>
      <c r="B73" s="4" t="s">
        <v>423</v>
      </c>
      <c r="C73" s="4" t="s">
        <v>858</v>
      </c>
      <c r="D73" s="7" t="s">
        <v>424</v>
      </c>
      <c r="E73" s="4" t="s">
        <v>425</v>
      </c>
      <c r="F73" s="23" t="s">
        <v>30</v>
      </c>
      <c r="G73" s="23" t="s">
        <v>785</v>
      </c>
      <c r="H73" s="22">
        <v>39505</v>
      </c>
      <c r="I73" s="22" t="s">
        <v>785</v>
      </c>
      <c r="J73" s="22" t="s">
        <v>785</v>
      </c>
      <c r="K73" s="18"/>
      <c r="L73" s="18">
        <f t="shared" si="2"/>
        <v>300</v>
      </c>
      <c r="M73" s="4" t="s">
        <v>426</v>
      </c>
      <c r="N73" s="4" t="s">
        <v>257</v>
      </c>
      <c r="O73" s="8" t="s">
        <v>427</v>
      </c>
      <c r="P73" s="169" t="s">
        <v>428</v>
      </c>
      <c r="Q73" s="169" t="s">
        <v>429</v>
      </c>
      <c r="R73" s="169" t="s">
        <v>752</v>
      </c>
      <c r="S73" s="169" t="s">
        <v>430</v>
      </c>
      <c r="T73" s="169">
        <v>122015</v>
      </c>
      <c r="U73" s="169" t="s">
        <v>431</v>
      </c>
      <c r="V73" s="169" t="s">
        <v>26</v>
      </c>
      <c r="W73" s="169">
        <v>1</v>
      </c>
      <c r="X73" s="169">
        <v>1</v>
      </c>
      <c r="Y73" s="169">
        <v>1</v>
      </c>
      <c r="Z73" s="169">
        <v>1</v>
      </c>
      <c r="AA73" s="168" t="s">
        <v>785</v>
      </c>
      <c r="AB73" s="168" t="s">
        <v>637</v>
      </c>
    </row>
    <row r="74" spans="1:28" ht="15" customHeight="1" x14ac:dyDescent="0.15">
      <c r="A74" s="7">
        <v>73</v>
      </c>
      <c r="B74" s="4" t="s">
        <v>432</v>
      </c>
      <c r="C74" s="4" t="s">
        <v>859</v>
      </c>
      <c r="D74" s="7">
        <v>86</v>
      </c>
      <c r="E74" s="4" t="s">
        <v>54</v>
      </c>
      <c r="F74" s="23" t="s">
        <v>69</v>
      </c>
      <c r="G74" s="23" t="s">
        <v>785</v>
      </c>
      <c r="H74" s="4"/>
      <c r="I74" s="4" t="s">
        <v>785</v>
      </c>
      <c r="J74" s="4" t="s">
        <v>785</v>
      </c>
      <c r="K74" s="18">
        <v>44573</v>
      </c>
      <c r="L74" s="18">
        <f t="shared" si="2"/>
        <v>44873</v>
      </c>
      <c r="M74" s="4" t="s">
        <v>433</v>
      </c>
      <c r="N74" s="4" t="s">
        <v>104</v>
      </c>
      <c r="O74" s="9">
        <v>1</v>
      </c>
      <c r="P74" s="169" t="s">
        <v>434</v>
      </c>
      <c r="Q74" s="168" t="s">
        <v>785</v>
      </c>
      <c r="R74" s="168" t="s">
        <v>753</v>
      </c>
      <c r="S74" s="169" t="s">
        <v>430</v>
      </c>
      <c r="T74" s="169">
        <v>122001</v>
      </c>
      <c r="U74" s="169" t="s">
        <v>431</v>
      </c>
      <c r="V74" s="169" t="s">
        <v>26</v>
      </c>
      <c r="W74" s="169">
        <v>1</v>
      </c>
      <c r="X74" s="169">
        <v>1</v>
      </c>
      <c r="Y74" s="169">
        <v>1</v>
      </c>
      <c r="Z74" s="169">
        <v>1</v>
      </c>
      <c r="AA74" s="168" t="s">
        <v>785</v>
      </c>
      <c r="AB74" s="168" t="s">
        <v>637</v>
      </c>
    </row>
    <row r="75" spans="1:28" ht="15" customHeight="1" x14ac:dyDescent="0.15">
      <c r="A75" s="7">
        <v>74</v>
      </c>
      <c r="B75" s="4" t="s">
        <v>435</v>
      </c>
      <c r="C75" s="4" t="s">
        <v>860</v>
      </c>
      <c r="D75" s="7">
        <v>85</v>
      </c>
      <c r="E75" s="4" t="s">
        <v>349</v>
      </c>
      <c r="F75" s="23" t="s">
        <v>30</v>
      </c>
      <c r="G75" s="23" t="s">
        <v>785</v>
      </c>
      <c r="H75" s="4"/>
      <c r="I75" s="4" t="s">
        <v>785</v>
      </c>
      <c r="J75" s="4" t="s">
        <v>785</v>
      </c>
      <c r="K75" s="18"/>
      <c r="L75" s="18">
        <f t="shared" si="2"/>
        <v>300</v>
      </c>
      <c r="M75" s="4" t="s">
        <v>436</v>
      </c>
      <c r="N75" s="4" t="s">
        <v>77</v>
      </c>
      <c r="O75" s="8" t="s">
        <v>437</v>
      </c>
      <c r="P75" s="169" t="s">
        <v>438</v>
      </c>
      <c r="Q75" s="169" t="s">
        <v>439</v>
      </c>
      <c r="R75" s="169" t="s">
        <v>754</v>
      </c>
      <c r="S75" s="169" t="s">
        <v>24</v>
      </c>
      <c r="T75" s="169">
        <v>560090</v>
      </c>
      <c r="U75" s="169" t="s">
        <v>25</v>
      </c>
      <c r="V75" s="169" t="s">
        <v>26</v>
      </c>
      <c r="W75" s="169">
        <v>8</v>
      </c>
      <c r="X75" s="169">
        <v>0</v>
      </c>
      <c r="Y75" s="169">
        <v>5</v>
      </c>
      <c r="Z75" s="169">
        <v>1</v>
      </c>
      <c r="AA75" s="168" t="s">
        <v>785</v>
      </c>
      <c r="AB75" s="168" t="s">
        <v>637</v>
      </c>
    </row>
    <row r="76" spans="1:28" ht="15" customHeight="1" x14ac:dyDescent="0.15">
      <c r="A76" s="7">
        <v>75</v>
      </c>
      <c r="B76" s="4" t="s">
        <v>440</v>
      </c>
      <c r="C76" s="4" t="s">
        <v>861</v>
      </c>
      <c r="D76" s="7">
        <v>89</v>
      </c>
      <c r="E76" s="4" t="s">
        <v>299</v>
      </c>
      <c r="F76" s="23" t="s">
        <v>69</v>
      </c>
      <c r="G76" s="23" t="s">
        <v>785</v>
      </c>
      <c r="H76" s="4"/>
      <c r="I76" s="4" t="s">
        <v>785</v>
      </c>
      <c r="J76" s="4" t="s">
        <v>785</v>
      </c>
      <c r="K76" s="18">
        <v>44501</v>
      </c>
      <c r="L76" s="18">
        <f t="shared" si="2"/>
        <v>44801</v>
      </c>
      <c r="M76" s="4" t="s">
        <v>441</v>
      </c>
      <c r="N76" s="4" t="s">
        <v>77</v>
      </c>
      <c r="O76" s="8" t="s">
        <v>442</v>
      </c>
      <c r="P76" s="169" t="s">
        <v>443</v>
      </c>
      <c r="Q76" s="169" t="s">
        <v>444</v>
      </c>
      <c r="R76" s="169" t="s">
        <v>755</v>
      </c>
      <c r="S76" s="169" t="s">
        <v>430</v>
      </c>
      <c r="T76" s="169">
        <v>122413</v>
      </c>
      <c r="U76" s="169" t="s">
        <v>431</v>
      </c>
      <c r="V76" s="169" t="s">
        <v>26</v>
      </c>
      <c r="W76" s="169">
        <v>1</v>
      </c>
      <c r="X76" s="169">
        <v>1</v>
      </c>
      <c r="Y76" s="169">
        <v>1</v>
      </c>
      <c r="Z76" s="169">
        <v>1</v>
      </c>
      <c r="AA76" s="168" t="s">
        <v>785</v>
      </c>
      <c r="AB76" s="168" t="s">
        <v>637</v>
      </c>
    </row>
    <row r="77" spans="1:28" ht="15" customHeight="1" x14ac:dyDescent="0.15">
      <c r="A77" s="7">
        <v>76</v>
      </c>
      <c r="B77" s="4" t="s">
        <v>445</v>
      </c>
      <c r="C77" s="4" t="s">
        <v>862</v>
      </c>
      <c r="D77" s="7">
        <v>83</v>
      </c>
      <c r="E77" s="4" t="s">
        <v>446</v>
      </c>
      <c r="F77" s="23" t="s">
        <v>30</v>
      </c>
      <c r="G77" s="23" t="s">
        <v>785</v>
      </c>
      <c r="H77" s="22">
        <v>37709</v>
      </c>
      <c r="I77" s="22" t="s">
        <v>785</v>
      </c>
      <c r="J77" s="22" t="s">
        <v>785</v>
      </c>
      <c r="K77" s="18"/>
      <c r="L77" s="18">
        <f t="shared" si="2"/>
        <v>300</v>
      </c>
      <c r="M77" s="4" t="s">
        <v>447</v>
      </c>
      <c r="N77" s="4" t="s">
        <v>448</v>
      </c>
      <c r="O77" s="8" t="s">
        <v>449</v>
      </c>
      <c r="P77" s="169" t="s">
        <v>450</v>
      </c>
      <c r="Q77" s="168" t="s">
        <v>785</v>
      </c>
      <c r="R77" s="168" t="s">
        <v>756</v>
      </c>
      <c r="S77" s="169" t="s">
        <v>107</v>
      </c>
      <c r="T77" s="169">
        <v>641006</v>
      </c>
      <c r="U77" s="169" t="s">
        <v>43</v>
      </c>
      <c r="V77" s="169" t="s">
        <v>26</v>
      </c>
      <c r="W77" s="169">
        <v>4</v>
      </c>
      <c r="X77" s="169">
        <v>1</v>
      </c>
      <c r="Y77" s="169">
        <v>6</v>
      </c>
      <c r="Z77" s="169">
        <v>1</v>
      </c>
      <c r="AA77" s="168" t="s">
        <v>785</v>
      </c>
      <c r="AB77" s="168" t="s">
        <v>675</v>
      </c>
    </row>
    <row r="78" spans="1:28" ht="15" customHeight="1" x14ac:dyDescent="0.15">
      <c r="A78" s="7">
        <v>77</v>
      </c>
      <c r="B78" s="4" t="s">
        <v>451</v>
      </c>
      <c r="C78" s="4" t="s">
        <v>863</v>
      </c>
      <c r="D78" s="7">
        <v>94</v>
      </c>
      <c r="E78" s="4" t="s">
        <v>452</v>
      </c>
      <c r="F78" s="23" t="s">
        <v>69</v>
      </c>
      <c r="G78" s="23" t="s">
        <v>785</v>
      </c>
      <c r="H78" s="4"/>
      <c r="I78" s="4" t="s">
        <v>785</v>
      </c>
      <c r="J78" s="4" t="s">
        <v>785</v>
      </c>
      <c r="K78" s="18">
        <v>44409</v>
      </c>
      <c r="L78" s="18">
        <f t="shared" si="2"/>
        <v>44709</v>
      </c>
      <c r="M78" s="4" t="s">
        <v>453</v>
      </c>
      <c r="N78" s="4" t="s">
        <v>362</v>
      </c>
      <c r="O78" s="8" t="s">
        <v>454</v>
      </c>
      <c r="P78" s="169" t="s">
        <v>455</v>
      </c>
      <c r="Q78" s="168" t="s">
        <v>785</v>
      </c>
      <c r="R78" s="168" t="s">
        <v>757</v>
      </c>
      <c r="S78" s="169" t="s">
        <v>456</v>
      </c>
      <c r="T78" s="169">
        <v>121003</v>
      </c>
      <c r="U78" s="169" t="s">
        <v>431</v>
      </c>
      <c r="V78" s="169" t="s">
        <v>26</v>
      </c>
      <c r="W78" s="169">
        <v>1</v>
      </c>
      <c r="X78" s="169">
        <v>1</v>
      </c>
      <c r="Y78" s="169">
        <v>6</v>
      </c>
      <c r="Z78" s="169">
        <v>1</v>
      </c>
      <c r="AA78" s="168" t="s">
        <v>785</v>
      </c>
      <c r="AB78" s="168" t="s">
        <v>637</v>
      </c>
    </row>
    <row r="79" spans="1:28" ht="15" customHeight="1" x14ac:dyDescent="0.15">
      <c r="A79" s="7">
        <v>78</v>
      </c>
      <c r="B79" s="4" t="s">
        <v>457</v>
      </c>
      <c r="C79" s="4" t="s">
        <v>864</v>
      </c>
      <c r="D79" s="7">
        <v>88</v>
      </c>
      <c r="E79" s="4" t="s">
        <v>349</v>
      </c>
      <c r="F79" s="23" t="s">
        <v>30</v>
      </c>
      <c r="G79" s="23" t="s">
        <v>785</v>
      </c>
      <c r="H79" s="4"/>
      <c r="I79" s="4" t="s">
        <v>785</v>
      </c>
      <c r="J79" s="4" t="s">
        <v>785</v>
      </c>
      <c r="K79" s="18"/>
      <c r="L79" s="18">
        <f t="shared" si="2"/>
        <v>300</v>
      </c>
      <c r="M79" s="4" t="s">
        <v>458</v>
      </c>
      <c r="N79" s="4" t="s">
        <v>448</v>
      </c>
      <c r="O79" s="8" t="s">
        <v>459</v>
      </c>
      <c r="P79" s="169" t="s">
        <v>460</v>
      </c>
      <c r="Q79" s="168" t="s">
        <v>785</v>
      </c>
      <c r="R79" s="168" t="s">
        <v>758</v>
      </c>
      <c r="S79" s="169" t="s">
        <v>24</v>
      </c>
      <c r="T79" s="169">
        <v>560062</v>
      </c>
      <c r="U79" s="169" t="s">
        <v>25</v>
      </c>
      <c r="V79" s="169" t="s">
        <v>26</v>
      </c>
      <c r="W79" s="169">
        <v>8</v>
      </c>
      <c r="X79" s="169">
        <v>0</v>
      </c>
      <c r="Y79" s="169">
        <v>2</v>
      </c>
      <c r="Z79" s="169">
        <v>3</v>
      </c>
      <c r="AA79" s="168" t="s">
        <v>785</v>
      </c>
      <c r="AB79" s="168" t="s">
        <v>637</v>
      </c>
    </row>
    <row r="80" spans="1:28" ht="15" customHeight="1" x14ac:dyDescent="0.15">
      <c r="A80" s="7">
        <v>79</v>
      </c>
      <c r="B80" s="4" t="s">
        <v>461</v>
      </c>
      <c r="C80" s="4" t="s">
        <v>865</v>
      </c>
      <c r="D80" s="7">
        <v>96</v>
      </c>
      <c r="E80" s="4" t="s">
        <v>349</v>
      </c>
      <c r="F80" s="23" t="s">
        <v>89</v>
      </c>
      <c r="G80" s="23" t="s">
        <v>785</v>
      </c>
      <c r="H80" s="4"/>
      <c r="I80" s="4" t="s">
        <v>785</v>
      </c>
      <c r="J80" s="4" t="s">
        <v>785</v>
      </c>
      <c r="K80" s="18">
        <v>44538</v>
      </c>
      <c r="L80" s="18">
        <f t="shared" si="2"/>
        <v>44838</v>
      </c>
      <c r="M80" s="4" t="s">
        <v>462</v>
      </c>
      <c r="N80" s="4" t="s">
        <v>340</v>
      </c>
      <c r="O80" s="8" t="s">
        <v>463</v>
      </c>
      <c r="P80" s="169" t="s">
        <v>464</v>
      </c>
      <c r="Q80" s="169" t="s">
        <v>465</v>
      </c>
      <c r="R80" s="169" t="s">
        <v>759</v>
      </c>
      <c r="S80" s="169" t="s">
        <v>181</v>
      </c>
      <c r="T80" s="169">
        <v>401404</v>
      </c>
      <c r="U80" s="169" t="s">
        <v>176</v>
      </c>
      <c r="V80" s="169" t="s">
        <v>26</v>
      </c>
      <c r="W80" s="169">
        <v>2</v>
      </c>
      <c r="X80" s="169">
        <v>2</v>
      </c>
      <c r="Y80" s="169">
        <v>2</v>
      </c>
      <c r="Z80" s="169">
        <v>2</v>
      </c>
      <c r="AA80" s="168" t="s">
        <v>785</v>
      </c>
      <c r="AB80" s="168" t="s">
        <v>637</v>
      </c>
    </row>
    <row r="81" spans="1:28" ht="15" customHeight="1" x14ac:dyDescent="0.15">
      <c r="A81" s="7">
        <v>80</v>
      </c>
      <c r="B81" s="4" t="s">
        <v>466</v>
      </c>
      <c r="C81" s="4" t="s">
        <v>866</v>
      </c>
      <c r="D81" s="7">
        <v>100</v>
      </c>
      <c r="E81" s="4" t="s">
        <v>54</v>
      </c>
      <c r="F81" s="23" t="s">
        <v>30</v>
      </c>
      <c r="G81" s="23" t="s">
        <v>785</v>
      </c>
      <c r="H81" s="22">
        <v>39608</v>
      </c>
      <c r="I81" s="22" t="s">
        <v>785</v>
      </c>
      <c r="J81" s="22" t="s">
        <v>785</v>
      </c>
      <c r="K81" s="18"/>
      <c r="L81" s="18">
        <f t="shared" si="2"/>
        <v>300</v>
      </c>
      <c r="M81" s="4" t="s">
        <v>467</v>
      </c>
      <c r="N81" s="4" t="s">
        <v>468</v>
      </c>
      <c r="O81" s="8" t="s">
        <v>469</v>
      </c>
      <c r="P81" s="169" t="s">
        <v>470</v>
      </c>
      <c r="Q81" s="169" t="s">
        <v>471</v>
      </c>
      <c r="R81" s="169" t="s">
        <v>760</v>
      </c>
      <c r="S81" s="169" t="s">
        <v>354</v>
      </c>
      <c r="T81" s="169">
        <v>602105</v>
      </c>
      <c r="U81" s="169" t="s">
        <v>43</v>
      </c>
      <c r="V81" s="169" t="s">
        <v>26</v>
      </c>
      <c r="W81" s="169">
        <v>4</v>
      </c>
      <c r="X81" s="169">
        <v>0</v>
      </c>
      <c r="Y81" s="169">
        <v>3</v>
      </c>
      <c r="Z81" s="169">
        <v>1</v>
      </c>
      <c r="AA81" s="168" t="s">
        <v>785</v>
      </c>
      <c r="AB81" s="168" t="s">
        <v>675</v>
      </c>
    </row>
    <row r="82" spans="1:28" ht="15" customHeight="1" x14ac:dyDescent="0.15">
      <c r="A82" s="7">
        <v>81</v>
      </c>
      <c r="B82" s="4" t="s">
        <v>472</v>
      </c>
      <c r="C82" s="4" t="s">
        <v>867</v>
      </c>
      <c r="D82" s="7">
        <v>92</v>
      </c>
      <c r="E82" s="4" t="s">
        <v>349</v>
      </c>
      <c r="F82" s="23" t="s">
        <v>69</v>
      </c>
      <c r="G82" s="23" t="s">
        <v>785</v>
      </c>
      <c r="H82" s="22">
        <v>39611</v>
      </c>
      <c r="I82" s="22" t="s">
        <v>785</v>
      </c>
      <c r="J82" s="22" t="s">
        <v>785</v>
      </c>
      <c r="K82" s="18">
        <v>44535</v>
      </c>
      <c r="L82" s="18">
        <f t="shared" si="2"/>
        <v>44835</v>
      </c>
      <c r="M82" s="4" t="s">
        <v>473</v>
      </c>
      <c r="N82" s="4" t="s">
        <v>77</v>
      </c>
      <c r="O82" s="8" t="s">
        <v>474</v>
      </c>
      <c r="P82" s="169" t="s">
        <v>475</v>
      </c>
      <c r="Q82" s="169" t="s">
        <v>476</v>
      </c>
      <c r="R82" s="169" t="s">
        <v>761</v>
      </c>
      <c r="S82" s="169" t="s">
        <v>181</v>
      </c>
      <c r="T82" s="169">
        <v>401202</v>
      </c>
      <c r="U82" s="169" t="s">
        <v>176</v>
      </c>
      <c r="V82" s="169" t="s">
        <v>26</v>
      </c>
      <c r="W82" s="169">
        <v>2</v>
      </c>
      <c r="X82" s="169">
        <v>2</v>
      </c>
      <c r="Y82" s="169">
        <v>2</v>
      </c>
      <c r="Z82" s="169">
        <v>2</v>
      </c>
      <c r="AA82" s="168" t="s">
        <v>785</v>
      </c>
      <c r="AB82" s="168" t="s">
        <v>637</v>
      </c>
    </row>
    <row r="83" spans="1:28" ht="15" customHeight="1" x14ac:dyDescent="0.15">
      <c r="A83" s="7">
        <v>82</v>
      </c>
      <c r="B83" s="4" t="s">
        <v>472</v>
      </c>
      <c r="C83" s="4" t="s">
        <v>868</v>
      </c>
      <c r="D83" s="7">
        <v>93</v>
      </c>
      <c r="E83" s="4" t="s">
        <v>349</v>
      </c>
      <c r="F83" s="23" t="s">
        <v>69</v>
      </c>
      <c r="G83" s="23" t="s">
        <v>785</v>
      </c>
      <c r="H83" s="22">
        <v>39611</v>
      </c>
      <c r="I83" s="22" t="s">
        <v>785</v>
      </c>
      <c r="J83" s="22" t="s">
        <v>785</v>
      </c>
      <c r="K83" s="18">
        <v>44535</v>
      </c>
      <c r="L83" s="18">
        <f t="shared" si="2"/>
        <v>44835</v>
      </c>
      <c r="M83" s="4" t="s">
        <v>477</v>
      </c>
      <c r="N83" s="4" t="s">
        <v>478</v>
      </c>
      <c r="O83" s="9">
        <v>1</v>
      </c>
      <c r="P83" s="169" t="s">
        <v>479</v>
      </c>
      <c r="Q83" s="169" t="s">
        <v>480</v>
      </c>
      <c r="R83" s="169" t="s">
        <v>762</v>
      </c>
      <c r="S83" s="169" t="s">
        <v>219</v>
      </c>
      <c r="T83" s="169">
        <v>410501</v>
      </c>
      <c r="U83" s="169" t="s">
        <v>176</v>
      </c>
      <c r="V83" s="169" t="s">
        <v>26</v>
      </c>
      <c r="W83" s="169">
        <v>2</v>
      </c>
      <c r="X83" s="169">
        <v>4</v>
      </c>
      <c r="Y83" s="169">
        <v>2</v>
      </c>
      <c r="Z83" s="169">
        <v>1</v>
      </c>
      <c r="AA83" s="168" t="s">
        <v>785</v>
      </c>
      <c r="AB83" s="168" t="s">
        <v>678</v>
      </c>
    </row>
    <row r="84" spans="1:28" ht="15" customHeight="1" x14ac:dyDescent="0.15">
      <c r="A84" s="7">
        <v>83</v>
      </c>
      <c r="B84" s="4" t="s">
        <v>122</v>
      </c>
      <c r="C84" s="4" t="s">
        <v>801</v>
      </c>
      <c r="D84" s="7">
        <v>210</v>
      </c>
      <c r="E84" s="4" t="s">
        <v>47</v>
      </c>
      <c r="F84" s="23" t="s">
        <v>69</v>
      </c>
      <c r="G84" s="23" t="s">
        <v>785</v>
      </c>
      <c r="H84" s="4"/>
      <c r="I84" s="4" t="s">
        <v>785</v>
      </c>
      <c r="J84" s="4" t="s">
        <v>785</v>
      </c>
      <c r="K84" s="18">
        <v>44378</v>
      </c>
      <c r="L84" s="18">
        <f t="shared" si="2"/>
        <v>44678</v>
      </c>
      <c r="M84" s="4" t="s">
        <v>482</v>
      </c>
      <c r="N84" s="4" t="s">
        <v>104</v>
      </c>
      <c r="O84" s="8" t="s">
        <v>125</v>
      </c>
      <c r="P84" s="6" t="s">
        <v>785</v>
      </c>
      <c r="Q84" s="168" t="s">
        <v>785</v>
      </c>
      <c r="R84" s="168" t="s">
        <v>763</v>
      </c>
      <c r="S84" s="169" t="s">
        <v>126</v>
      </c>
      <c r="T84" s="169">
        <v>635126</v>
      </c>
      <c r="U84" s="169" t="s">
        <v>43</v>
      </c>
      <c r="V84" s="169" t="s">
        <v>26</v>
      </c>
      <c r="W84" s="169">
        <v>8</v>
      </c>
      <c r="X84" s="169">
        <v>0</v>
      </c>
      <c r="Y84" s="169">
        <v>1</v>
      </c>
      <c r="Z84" s="169">
        <v>3</v>
      </c>
      <c r="AA84" s="168" t="s">
        <v>785</v>
      </c>
      <c r="AB84" s="168" t="s">
        <v>637</v>
      </c>
    </row>
    <row r="85" spans="1:28" ht="15" customHeight="1" x14ac:dyDescent="0.15">
      <c r="A85" s="7">
        <v>84</v>
      </c>
      <c r="B85" s="4" t="s">
        <v>483</v>
      </c>
      <c r="C85" s="4" t="s">
        <v>869</v>
      </c>
      <c r="D85" s="7">
        <v>105</v>
      </c>
      <c r="E85" s="4" t="s">
        <v>96</v>
      </c>
      <c r="F85" s="23" t="s">
        <v>69</v>
      </c>
      <c r="G85" s="23" t="s">
        <v>785</v>
      </c>
      <c r="H85" s="22">
        <v>39655</v>
      </c>
      <c r="I85" s="22" t="s">
        <v>785</v>
      </c>
      <c r="J85" s="22" t="s">
        <v>785</v>
      </c>
      <c r="K85" s="18">
        <v>45231</v>
      </c>
      <c r="L85" s="18">
        <f t="shared" si="2"/>
        <v>45531</v>
      </c>
      <c r="M85" s="4" t="s">
        <v>484</v>
      </c>
      <c r="N85" s="4" t="s">
        <v>485</v>
      </c>
      <c r="O85" s="8" t="s">
        <v>486</v>
      </c>
      <c r="P85" s="169" t="s">
        <v>487</v>
      </c>
      <c r="Q85" s="168" t="s">
        <v>785</v>
      </c>
      <c r="R85" s="168" t="s">
        <v>764</v>
      </c>
      <c r="S85" s="169" t="s">
        <v>42</v>
      </c>
      <c r="T85" s="169">
        <v>600096</v>
      </c>
      <c r="U85" s="169" t="s">
        <v>43</v>
      </c>
      <c r="V85" s="169" t="s">
        <v>26</v>
      </c>
      <c r="W85" s="169">
        <v>4</v>
      </c>
      <c r="X85" s="169">
        <v>0</v>
      </c>
      <c r="Y85" s="169">
        <v>3</v>
      </c>
      <c r="Z85" s="169">
        <v>1</v>
      </c>
      <c r="AA85" s="168" t="s">
        <v>785</v>
      </c>
      <c r="AB85" s="168" t="s">
        <v>675</v>
      </c>
    </row>
    <row r="86" spans="1:28" ht="15" customHeight="1" x14ac:dyDescent="0.15">
      <c r="A86" s="7">
        <v>85</v>
      </c>
      <c r="B86" s="4" t="s">
        <v>488</v>
      </c>
      <c r="C86" s="4" t="s">
        <v>870</v>
      </c>
      <c r="D86" s="7">
        <v>91</v>
      </c>
      <c r="E86" s="4" t="s">
        <v>54</v>
      </c>
      <c r="F86" s="23" t="s">
        <v>69</v>
      </c>
      <c r="G86" s="23" t="s">
        <v>785</v>
      </c>
      <c r="H86" s="4"/>
      <c r="I86" s="4" t="s">
        <v>785</v>
      </c>
      <c r="J86" s="4" t="s">
        <v>785</v>
      </c>
      <c r="K86" s="18">
        <v>44564</v>
      </c>
      <c r="L86" s="18">
        <f t="shared" si="2"/>
        <v>44864</v>
      </c>
      <c r="M86" s="4" t="s">
        <v>489</v>
      </c>
      <c r="N86" s="4" t="s">
        <v>490</v>
      </c>
      <c r="O86" s="8" t="s">
        <v>491</v>
      </c>
      <c r="P86" s="169" t="s">
        <v>492</v>
      </c>
      <c r="Q86" s="168" t="s">
        <v>785</v>
      </c>
      <c r="R86" s="168" t="s">
        <v>765</v>
      </c>
      <c r="S86" s="169" t="s">
        <v>493</v>
      </c>
      <c r="T86" s="169">
        <v>631402</v>
      </c>
      <c r="U86" s="169" t="s">
        <v>43</v>
      </c>
      <c r="V86" s="169" t="s">
        <v>26</v>
      </c>
      <c r="W86" s="169">
        <v>4</v>
      </c>
      <c r="X86" s="169">
        <v>0</v>
      </c>
      <c r="Y86" s="169">
        <v>4</v>
      </c>
      <c r="Z86" s="169">
        <v>3</v>
      </c>
      <c r="AA86" s="168" t="s">
        <v>785</v>
      </c>
      <c r="AB86" s="168" t="s">
        <v>675</v>
      </c>
    </row>
    <row r="87" spans="1:28" ht="15" customHeight="1" x14ac:dyDescent="0.15">
      <c r="A87" s="7">
        <v>86</v>
      </c>
      <c r="B87" s="4" t="s">
        <v>495</v>
      </c>
      <c r="C87" s="4" t="s">
        <v>871</v>
      </c>
      <c r="D87" s="7">
        <v>106</v>
      </c>
      <c r="E87" s="4" t="s">
        <v>452</v>
      </c>
      <c r="F87" s="23" t="s">
        <v>30</v>
      </c>
      <c r="G87" s="23" t="s">
        <v>785</v>
      </c>
      <c r="H87" s="22">
        <v>39673</v>
      </c>
      <c r="I87" s="22" t="s">
        <v>785</v>
      </c>
      <c r="J87" s="22" t="s">
        <v>785</v>
      </c>
      <c r="K87" s="18">
        <v>45301</v>
      </c>
      <c r="L87" s="18">
        <f t="shared" si="2"/>
        <v>45601</v>
      </c>
      <c r="M87" s="4" t="s">
        <v>496</v>
      </c>
      <c r="N87" s="4" t="s">
        <v>497</v>
      </c>
      <c r="O87" s="8" t="s">
        <v>498</v>
      </c>
      <c r="P87" s="169" t="s">
        <v>394</v>
      </c>
      <c r="Q87" s="169" t="s">
        <v>785</v>
      </c>
      <c r="R87" s="169" t="s">
        <v>745</v>
      </c>
      <c r="S87" s="169" t="s">
        <v>107</v>
      </c>
      <c r="T87" s="169">
        <v>641050</v>
      </c>
      <c r="U87" s="169" t="s">
        <v>43</v>
      </c>
      <c r="V87" s="169" t="s">
        <v>26</v>
      </c>
      <c r="W87" s="169">
        <v>4</v>
      </c>
      <c r="X87" s="169">
        <v>1</v>
      </c>
      <c r="Y87" s="169">
        <v>3</v>
      </c>
      <c r="Z87" s="169">
        <v>1</v>
      </c>
      <c r="AA87" s="168" t="s">
        <v>785</v>
      </c>
      <c r="AB87" s="168" t="s">
        <v>675</v>
      </c>
    </row>
    <row r="88" spans="1:28" ht="15" customHeight="1" x14ac:dyDescent="0.15">
      <c r="A88" s="7">
        <v>87</v>
      </c>
      <c r="B88" s="4" t="s">
        <v>499</v>
      </c>
      <c r="C88" s="4" t="s">
        <v>872</v>
      </c>
      <c r="D88" s="7">
        <v>97</v>
      </c>
      <c r="E88" s="4" t="s">
        <v>446</v>
      </c>
      <c r="F88" s="23" t="s">
        <v>69</v>
      </c>
      <c r="G88" s="23" t="s">
        <v>785</v>
      </c>
      <c r="H88" s="4"/>
      <c r="I88" s="4" t="s">
        <v>785</v>
      </c>
      <c r="J88" s="4" t="s">
        <v>785</v>
      </c>
      <c r="K88" s="18">
        <v>44615</v>
      </c>
      <c r="L88" s="18">
        <f t="shared" si="2"/>
        <v>44915</v>
      </c>
      <c r="M88" s="4" t="s">
        <v>500</v>
      </c>
      <c r="N88" s="2" t="s">
        <v>785</v>
      </c>
      <c r="O88" s="8" t="s">
        <v>501</v>
      </c>
      <c r="P88" s="169" t="s">
        <v>502</v>
      </c>
      <c r="Q88" s="168" t="s">
        <v>785</v>
      </c>
      <c r="R88" s="168" t="s">
        <v>766</v>
      </c>
      <c r="S88" s="169" t="s">
        <v>503</v>
      </c>
      <c r="T88" s="169">
        <v>422010</v>
      </c>
      <c r="U88" s="169" t="s">
        <v>176</v>
      </c>
      <c r="V88" s="169" t="s">
        <v>26</v>
      </c>
      <c r="W88" s="169">
        <v>2</v>
      </c>
      <c r="X88" s="169">
        <v>3</v>
      </c>
      <c r="Y88" s="169">
        <v>0</v>
      </c>
      <c r="Z88" s="169">
        <v>1</v>
      </c>
      <c r="AA88" s="168" t="s">
        <v>785</v>
      </c>
      <c r="AB88" s="168" t="s">
        <v>676</v>
      </c>
    </row>
    <row r="89" spans="1:28" ht="15" customHeight="1" x14ac:dyDescent="0.15">
      <c r="A89" s="7">
        <v>88</v>
      </c>
      <c r="B89" s="4" t="s">
        <v>504</v>
      </c>
      <c r="C89" s="4" t="s">
        <v>873</v>
      </c>
      <c r="D89" s="7">
        <v>107</v>
      </c>
      <c r="E89" s="4" t="s">
        <v>446</v>
      </c>
      <c r="F89" s="23" t="s">
        <v>69</v>
      </c>
      <c r="G89" s="23" t="s">
        <v>785</v>
      </c>
      <c r="H89" s="4"/>
      <c r="I89" s="4" t="s">
        <v>785</v>
      </c>
      <c r="J89" s="4" t="s">
        <v>785</v>
      </c>
      <c r="K89" s="18">
        <v>45952</v>
      </c>
      <c r="L89" s="18">
        <f t="shared" si="2"/>
        <v>46252</v>
      </c>
      <c r="M89" s="4" t="s">
        <v>505</v>
      </c>
      <c r="N89" s="2" t="s">
        <v>785</v>
      </c>
      <c r="O89" s="8" t="s">
        <v>506</v>
      </c>
      <c r="P89" s="169" t="s">
        <v>507</v>
      </c>
      <c r="Q89" s="168" t="s">
        <v>785</v>
      </c>
      <c r="R89" s="168" t="s">
        <v>767</v>
      </c>
      <c r="S89" s="169" t="s">
        <v>508</v>
      </c>
      <c r="T89" s="169">
        <v>563101</v>
      </c>
      <c r="U89" s="169" t="s">
        <v>25</v>
      </c>
      <c r="V89" s="169" t="s">
        <v>26</v>
      </c>
      <c r="W89" s="169">
        <v>8</v>
      </c>
      <c r="X89" s="169">
        <v>0</v>
      </c>
      <c r="Y89" s="169">
        <v>8</v>
      </c>
      <c r="Z89" s="169">
        <v>2</v>
      </c>
      <c r="AA89" s="168" t="s">
        <v>785</v>
      </c>
      <c r="AB89" s="168" t="s">
        <v>637</v>
      </c>
    </row>
    <row r="90" spans="1:28" ht="15" customHeight="1" x14ac:dyDescent="0.15">
      <c r="A90" s="7">
        <v>89</v>
      </c>
      <c r="B90" s="4" t="s">
        <v>509</v>
      </c>
      <c r="C90" s="4" t="s">
        <v>874</v>
      </c>
      <c r="D90" s="7">
        <v>102</v>
      </c>
      <c r="E90" s="4" t="s">
        <v>349</v>
      </c>
      <c r="F90" s="23" t="s">
        <v>30</v>
      </c>
      <c r="G90" s="23" t="s">
        <v>785</v>
      </c>
      <c r="H90" s="4"/>
      <c r="I90" s="4" t="s">
        <v>785</v>
      </c>
      <c r="J90" s="4" t="s">
        <v>785</v>
      </c>
      <c r="K90" s="18">
        <v>44618</v>
      </c>
      <c r="L90" s="18">
        <f t="shared" si="2"/>
        <v>44918</v>
      </c>
      <c r="M90" s="4" t="s">
        <v>510</v>
      </c>
      <c r="N90" s="4" t="s">
        <v>511</v>
      </c>
      <c r="O90" s="8" t="s">
        <v>512</v>
      </c>
      <c r="P90" s="168" t="s">
        <v>785</v>
      </c>
      <c r="Q90" s="168" t="s">
        <v>785</v>
      </c>
      <c r="R90" s="168" t="s">
        <v>768</v>
      </c>
      <c r="S90" s="169" t="s">
        <v>354</v>
      </c>
      <c r="T90" s="169">
        <v>602105</v>
      </c>
      <c r="U90" s="169" t="s">
        <v>43</v>
      </c>
      <c r="V90" s="169" t="s">
        <v>26</v>
      </c>
      <c r="W90" s="169">
        <v>4</v>
      </c>
      <c r="X90" s="169">
        <v>0</v>
      </c>
      <c r="Y90" s="169">
        <v>3</v>
      </c>
      <c r="Z90" s="169">
        <v>1</v>
      </c>
      <c r="AA90" s="168" t="s">
        <v>785</v>
      </c>
      <c r="AB90" s="168" t="s">
        <v>675</v>
      </c>
    </row>
    <row r="91" spans="1:28" ht="15" customHeight="1" x14ac:dyDescent="0.15">
      <c r="A91" s="7">
        <v>90</v>
      </c>
      <c r="B91" s="4" t="s">
        <v>513</v>
      </c>
      <c r="C91" s="4" t="s">
        <v>875</v>
      </c>
      <c r="D91" s="7">
        <v>145</v>
      </c>
      <c r="E91" s="4">
        <v>2015</v>
      </c>
      <c r="F91" s="23" t="s">
        <v>30</v>
      </c>
      <c r="G91" s="23" t="s">
        <v>785</v>
      </c>
      <c r="H91" s="4"/>
      <c r="I91" s="4" t="s">
        <v>785</v>
      </c>
      <c r="J91" s="4" t="s">
        <v>785</v>
      </c>
      <c r="K91" s="18"/>
      <c r="L91" s="18">
        <f t="shared" si="2"/>
        <v>300</v>
      </c>
      <c r="M91" s="4" t="s">
        <v>514</v>
      </c>
      <c r="N91" s="4" t="s">
        <v>515</v>
      </c>
      <c r="O91" s="8" t="s">
        <v>516</v>
      </c>
      <c r="P91" s="169" t="s">
        <v>517</v>
      </c>
      <c r="Q91" s="169" t="s">
        <v>518</v>
      </c>
      <c r="R91" s="169" t="s">
        <v>769</v>
      </c>
      <c r="S91" s="169" t="s">
        <v>238</v>
      </c>
      <c r="T91" s="169">
        <v>605110</v>
      </c>
      <c r="U91" s="169" t="s">
        <v>43</v>
      </c>
      <c r="V91" s="169" t="s">
        <v>26</v>
      </c>
      <c r="W91" s="169">
        <v>4</v>
      </c>
      <c r="X91" s="169">
        <v>0</v>
      </c>
      <c r="Y91" s="169">
        <v>1</v>
      </c>
      <c r="Z91" s="169">
        <v>3</v>
      </c>
      <c r="AA91" s="168" t="s">
        <v>785</v>
      </c>
      <c r="AB91" s="168" t="s">
        <v>675</v>
      </c>
    </row>
    <row r="92" spans="1:28" ht="15" customHeight="1" x14ac:dyDescent="0.15">
      <c r="A92" s="7">
        <v>91</v>
      </c>
      <c r="B92" s="4" t="s">
        <v>519</v>
      </c>
      <c r="C92" s="4" t="s">
        <v>876</v>
      </c>
      <c r="D92" s="7" t="s">
        <v>785</v>
      </c>
      <c r="E92" s="4" t="s">
        <v>785</v>
      </c>
      <c r="F92" s="23" t="s">
        <v>30</v>
      </c>
      <c r="G92" s="23" t="s">
        <v>785</v>
      </c>
      <c r="H92" s="22">
        <v>39728</v>
      </c>
      <c r="I92" s="22" t="s">
        <v>785</v>
      </c>
      <c r="J92" s="22" t="s">
        <v>785</v>
      </c>
      <c r="K92" s="18"/>
      <c r="L92" s="18">
        <f t="shared" si="2"/>
        <v>300</v>
      </c>
      <c r="M92" s="4" t="s">
        <v>520</v>
      </c>
      <c r="N92" s="2" t="s">
        <v>785</v>
      </c>
      <c r="O92" s="8" t="s">
        <v>521</v>
      </c>
      <c r="P92" s="169" t="s">
        <v>522</v>
      </c>
      <c r="Q92" s="169" t="s">
        <v>523</v>
      </c>
      <c r="R92" s="169" t="s">
        <v>770</v>
      </c>
      <c r="S92" s="169" t="s">
        <v>219</v>
      </c>
      <c r="T92" s="169">
        <v>411037</v>
      </c>
      <c r="U92" s="169" t="s">
        <v>176</v>
      </c>
      <c r="V92" s="169" t="s">
        <v>26</v>
      </c>
      <c r="W92" s="169">
        <v>2</v>
      </c>
      <c r="X92" s="169">
        <v>4</v>
      </c>
      <c r="Y92" s="169">
        <v>4</v>
      </c>
      <c r="Z92" s="169">
        <v>1</v>
      </c>
      <c r="AA92" s="168" t="s">
        <v>785</v>
      </c>
      <c r="AB92" s="168" t="s">
        <v>678</v>
      </c>
    </row>
    <row r="93" spans="1:28" ht="15" customHeight="1" x14ac:dyDescent="0.15">
      <c r="A93" s="7">
        <v>92</v>
      </c>
      <c r="B93" s="4" t="s">
        <v>524</v>
      </c>
      <c r="C93" s="4" t="s">
        <v>877</v>
      </c>
      <c r="D93" s="7" t="s">
        <v>785</v>
      </c>
      <c r="E93" s="4" t="s">
        <v>785</v>
      </c>
      <c r="F93" s="23" t="s">
        <v>785</v>
      </c>
      <c r="G93" s="23" t="s">
        <v>785</v>
      </c>
      <c r="H93" s="4"/>
      <c r="I93" s="4" t="s">
        <v>785</v>
      </c>
      <c r="J93" s="4" t="s">
        <v>785</v>
      </c>
      <c r="K93" s="18"/>
      <c r="L93" s="18">
        <f t="shared" si="2"/>
        <v>300</v>
      </c>
      <c r="M93" s="4" t="s">
        <v>525</v>
      </c>
      <c r="N93" s="4" t="s">
        <v>526</v>
      </c>
      <c r="O93" s="8" t="s">
        <v>527</v>
      </c>
      <c r="P93" s="169" t="s">
        <v>67</v>
      </c>
      <c r="Q93" s="169" t="s">
        <v>364</v>
      </c>
      <c r="R93" s="169" t="s">
        <v>771</v>
      </c>
      <c r="S93" s="169" t="s">
        <v>42</v>
      </c>
      <c r="T93" s="169">
        <v>600058</v>
      </c>
      <c r="U93" s="169" t="s">
        <v>43</v>
      </c>
      <c r="V93" s="169" t="s">
        <v>26</v>
      </c>
      <c r="W93" s="169">
        <v>4</v>
      </c>
      <c r="X93" s="169">
        <v>0</v>
      </c>
      <c r="Y93" s="169">
        <v>4</v>
      </c>
      <c r="Z93" s="169">
        <v>1</v>
      </c>
      <c r="AA93" s="168" t="s">
        <v>785</v>
      </c>
      <c r="AB93" s="168" t="s">
        <v>675</v>
      </c>
    </row>
    <row r="94" spans="1:28" ht="15" customHeight="1" x14ac:dyDescent="0.15">
      <c r="A94" s="7">
        <v>93</v>
      </c>
      <c r="B94" s="4" t="s">
        <v>528</v>
      </c>
      <c r="C94" s="4" t="s">
        <v>878</v>
      </c>
      <c r="D94" s="7">
        <v>109</v>
      </c>
      <c r="E94" s="4" t="s">
        <v>349</v>
      </c>
      <c r="F94" s="23" t="s">
        <v>89</v>
      </c>
      <c r="G94" s="23" t="s">
        <v>785</v>
      </c>
      <c r="H94" s="4"/>
      <c r="I94" s="4" t="s">
        <v>785</v>
      </c>
      <c r="J94" s="4" t="s">
        <v>785</v>
      </c>
      <c r="K94" s="18">
        <v>44384</v>
      </c>
      <c r="L94" s="18">
        <f t="shared" si="2"/>
        <v>44684</v>
      </c>
      <c r="M94" s="4" t="s">
        <v>529</v>
      </c>
      <c r="N94" s="2" t="s">
        <v>785</v>
      </c>
      <c r="O94" s="8" t="s">
        <v>530</v>
      </c>
      <c r="P94" s="169" t="s">
        <v>531</v>
      </c>
      <c r="Q94" s="169" t="s">
        <v>532</v>
      </c>
      <c r="R94" s="169" t="s">
        <v>772</v>
      </c>
      <c r="S94" s="169" t="s">
        <v>24</v>
      </c>
      <c r="T94" s="169">
        <v>560066</v>
      </c>
      <c r="U94" s="169" t="s">
        <v>25</v>
      </c>
      <c r="V94" s="169" t="s">
        <v>26</v>
      </c>
      <c r="W94" s="169">
        <v>8</v>
      </c>
      <c r="X94" s="169">
        <v>0</v>
      </c>
      <c r="Y94" s="169">
        <v>8</v>
      </c>
      <c r="Z94" s="169">
        <v>1</v>
      </c>
      <c r="AA94" s="168" t="s">
        <v>785</v>
      </c>
      <c r="AB94" s="168" t="s">
        <v>637</v>
      </c>
    </row>
    <row r="95" spans="1:28" ht="15" customHeight="1" x14ac:dyDescent="0.15">
      <c r="A95" s="7">
        <v>94</v>
      </c>
      <c r="B95" s="4" t="s">
        <v>533</v>
      </c>
      <c r="C95" s="4" t="s">
        <v>879</v>
      </c>
      <c r="D95" s="7">
        <v>113</v>
      </c>
      <c r="E95" s="4" t="s">
        <v>534</v>
      </c>
      <c r="F95" s="23" t="s">
        <v>30</v>
      </c>
      <c r="G95" s="23" t="s">
        <v>785</v>
      </c>
      <c r="H95" s="4"/>
      <c r="I95" s="4" t="s">
        <v>785</v>
      </c>
      <c r="J95" s="4" t="s">
        <v>785</v>
      </c>
      <c r="K95" s="18">
        <v>43894</v>
      </c>
      <c r="L95" s="18">
        <f t="shared" si="2"/>
        <v>44194</v>
      </c>
      <c r="M95" s="4" t="s">
        <v>535</v>
      </c>
      <c r="N95" s="2" t="s">
        <v>785</v>
      </c>
      <c r="O95" s="8" t="s">
        <v>536</v>
      </c>
      <c r="P95" s="169" t="s">
        <v>537</v>
      </c>
      <c r="Q95" s="169" t="s">
        <v>538</v>
      </c>
      <c r="R95" s="169" t="s">
        <v>773</v>
      </c>
      <c r="S95" s="169" t="s">
        <v>42</v>
      </c>
      <c r="T95" s="169">
        <v>600011</v>
      </c>
      <c r="U95" s="169" t="s">
        <v>43</v>
      </c>
      <c r="V95" s="169" t="s">
        <v>26</v>
      </c>
      <c r="W95" s="169">
        <v>4</v>
      </c>
      <c r="X95" s="169">
        <v>0</v>
      </c>
      <c r="Y95" s="169">
        <v>4</v>
      </c>
      <c r="Z95" s="169">
        <v>1</v>
      </c>
      <c r="AA95" s="168" t="s">
        <v>785</v>
      </c>
      <c r="AB95" s="168" t="s">
        <v>675</v>
      </c>
    </row>
    <row r="96" spans="1:28" ht="15" customHeight="1" x14ac:dyDescent="0.15">
      <c r="A96" s="7">
        <v>95</v>
      </c>
      <c r="B96" s="4" t="s">
        <v>18</v>
      </c>
      <c r="C96" s="4" t="s">
        <v>787</v>
      </c>
      <c r="D96" s="7">
        <v>202</v>
      </c>
      <c r="E96" s="4" t="s">
        <v>96</v>
      </c>
      <c r="F96" s="23" t="s">
        <v>19</v>
      </c>
      <c r="G96" s="23" t="s">
        <v>785</v>
      </c>
      <c r="H96" s="4"/>
      <c r="I96" s="4" t="s">
        <v>785</v>
      </c>
      <c r="J96" s="4" t="s">
        <v>785</v>
      </c>
      <c r="K96" s="18">
        <v>44348</v>
      </c>
      <c r="L96" s="18">
        <f t="shared" si="2"/>
        <v>44648</v>
      </c>
      <c r="M96" s="4" t="s">
        <v>539</v>
      </c>
      <c r="N96" s="4" t="s">
        <v>20</v>
      </c>
      <c r="O96" s="8" t="s">
        <v>540</v>
      </c>
      <c r="P96" s="169" t="s">
        <v>541</v>
      </c>
      <c r="Q96" s="169" t="s">
        <v>23</v>
      </c>
      <c r="R96" s="169" t="s">
        <v>774</v>
      </c>
      <c r="S96" s="169" t="s">
        <v>24</v>
      </c>
      <c r="T96" s="169">
        <v>560076</v>
      </c>
      <c r="U96" s="169" t="s">
        <v>25</v>
      </c>
      <c r="V96" s="169" t="s">
        <v>26</v>
      </c>
      <c r="W96" s="169">
        <v>8</v>
      </c>
      <c r="X96" s="169">
        <v>0</v>
      </c>
      <c r="Y96" s="169">
        <v>3</v>
      </c>
      <c r="Z96" s="169">
        <v>1</v>
      </c>
      <c r="AA96" s="168" t="s">
        <v>785</v>
      </c>
      <c r="AB96" s="168" t="s">
        <v>637</v>
      </c>
    </row>
    <row r="97" spans="1:28" ht="15" customHeight="1" x14ac:dyDescent="0.15">
      <c r="A97" s="7">
        <v>96</v>
      </c>
      <c r="B97" s="4" t="s">
        <v>18</v>
      </c>
      <c r="C97" s="4" t="s">
        <v>787</v>
      </c>
      <c r="D97" s="7" t="s">
        <v>542</v>
      </c>
      <c r="E97" s="4" t="s">
        <v>543</v>
      </c>
      <c r="F97" s="23" t="s">
        <v>30</v>
      </c>
      <c r="G97" s="23" t="s">
        <v>785</v>
      </c>
      <c r="H97" s="4"/>
      <c r="I97" s="4" t="s">
        <v>785</v>
      </c>
      <c r="J97" s="4" t="s">
        <v>785</v>
      </c>
      <c r="K97" s="18"/>
      <c r="L97" s="18">
        <f t="shared" si="2"/>
        <v>300</v>
      </c>
      <c r="M97" s="4" t="s">
        <v>539</v>
      </c>
      <c r="N97" s="4" t="s">
        <v>20</v>
      </c>
      <c r="O97" s="8" t="s">
        <v>540</v>
      </c>
      <c r="P97" s="169" t="s">
        <v>541</v>
      </c>
      <c r="Q97" s="169" t="s">
        <v>23</v>
      </c>
      <c r="R97" s="169" t="s">
        <v>774</v>
      </c>
      <c r="S97" s="169" t="s">
        <v>24</v>
      </c>
      <c r="T97" s="169">
        <v>560076</v>
      </c>
      <c r="U97" s="169" t="s">
        <v>25</v>
      </c>
      <c r="V97" s="169" t="s">
        <v>26</v>
      </c>
      <c r="W97" s="169">
        <v>8</v>
      </c>
      <c r="X97" s="169">
        <v>0</v>
      </c>
      <c r="Y97" s="169">
        <v>3</v>
      </c>
      <c r="Z97" s="169">
        <v>1</v>
      </c>
      <c r="AA97" s="168" t="s">
        <v>785</v>
      </c>
      <c r="AB97" s="168" t="s">
        <v>637</v>
      </c>
    </row>
    <row r="98" spans="1:28" ht="15" customHeight="1" x14ac:dyDescent="0.15">
      <c r="A98" s="7">
        <v>97</v>
      </c>
      <c r="B98" s="4" t="s">
        <v>544</v>
      </c>
      <c r="C98" s="4" t="s">
        <v>880</v>
      </c>
      <c r="D98" s="7">
        <v>103</v>
      </c>
      <c r="E98" s="4" t="s">
        <v>349</v>
      </c>
      <c r="F98" s="23" t="s">
        <v>30</v>
      </c>
      <c r="G98" s="23" t="s">
        <v>785</v>
      </c>
      <c r="H98" s="22">
        <v>39784</v>
      </c>
      <c r="I98" s="22" t="s">
        <v>785</v>
      </c>
      <c r="J98" s="22" t="s">
        <v>785</v>
      </c>
      <c r="K98" s="18"/>
      <c r="L98" s="18">
        <f t="shared" ref="L98:L101" si="3">K98+300</f>
        <v>300</v>
      </c>
      <c r="M98" s="4" t="s">
        <v>545</v>
      </c>
      <c r="N98" s="2" t="s">
        <v>785</v>
      </c>
      <c r="O98" s="8" t="s">
        <v>546</v>
      </c>
      <c r="P98" s="169" t="s">
        <v>547</v>
      </c>
      <c r="Q98" s="168" t="s">
        <v>785</v>
      </c>
      <c r="R98" s="168" t="s">
        <v>775</v>
      </c>
      <c r="S98" s="169" t="s">
        <v>548</v>
      </c>
      <c r="T98" s="169">
        <v>416115</v>
      </c>
      <c r="U98" s="169" t="s">
        <v>176</v>
      </c>
      <c r="V98" s="169" t="s">
        <v>26</v>
      </c>
      <c r="W98" s="169">
        <v>8</v>
      </c>
      <c r="X98" s="169">
        <v>0</v>
      </c>
      <c r="Y98" s="169">
        <v>0</v>
      </c>
      <c r="Z98" s="169">
        <v>4</v>
      </c>
      <c r="AA98" s="168" t="s">
        <v>785</v>
      </c>
      <c r="AB98" s="168" t="s">
        <v>637</v>
      </c>
    </row>
    <row r="99" spans="1:28" ht="15" customHeight="1" x14ac:dyDescent="0.15">
      <c r="A99" s="7">
        <v>98</v>
      </c>
      <c r="B99" s="4" t="s">
        <v>549</v>
      </c>
      <c r="C99" s="4" t="s">
        <v>881</v>
      </c>
      <c r="D99" s="7">
        <v>120</v>
      </c>
      <c r="E99" s="4" t="s">
        <v>452</v>
      </c>
      <c r="F99" s="23" t="s">
        <v>69</v>
      </c>
      <c r="G99" s="23" t="s">
        <v>785</v>
      </c>
      <c r="H99" s="22">
        <v>39813</v>
      </c>
      <c r="I99" s="22" t="s">
        <v>785</v>
      </c>
      <c r="J99" s="22" t="s">
        <v>785</v>
      </c>
      <c r="K99" s="18">
        <v>44558</v>
      </c>
      <c r="L99" s="18">
        <f t="shared" si="3"/>
        <v>44858</v>
      </c>
      <c r="M99" s="4" t="s">
        <v>550</v>
      </c>
      <c r="N99" s="2" t="s">
        <v>785</v>
      </c>
      <c r="O99" s="8" t="s">
        <v>551</v>
      </c>
      <c r="P99" s="169" t="s">
        <v>552</v>
      </c>
      <c r="Q99" s="169" t="s">
        <v>553</v>
      </c>
      <c r="R99" s="169" t="s">
        <v>776</v>
      </c>
      <c r="S99" s="169" t="s">
        <v>24</v>
      </c>
      <c r="T99" s="169">
        <v>560048</v>
      </c>
      <c r="U99" s="169" t="s">
        <v>25</v>
      </c>
      <c r="V99" s="169" t="s">
        <v>26</v>
      </c>
      <c r="W99" s="169">
        <v>8</v>
      </c>
      <c r="X99" s="169">
        <v>0</v>
      </c>
      <c r="Y99" s="169">
        <v>7</v>
      </c>
      <c r="Z99" s="169">
        <v>1</v>
      </c>
      <c r="AA99" s="168" t="s">
        <v>785</v>
      </c>
      <c r="AB99" s="168" t="s">
        <v>637</v>
      </c>
    </row>
    <row r="100" spans="1:28" ht="15" customHeight="1" x14ac:dyDescent="0.15">
      <c r="A100" s="7">
        <v>99</v>
      </c>
      <c r="B100" s="4" t="s">
        <v>554</v>
      </c>
      <c r="C100" s="4" t="s">
        <v>882</v>
      </c>
      <c r="D100" s="7">
        <v>117</v>
      </c>
      <c r="E100" s="4" t="s">
        <v>96</v>
      </c>
      <c r="F100" s="23" t="s">
        <v>785</v>
      </c>
      <c r="G100" s="23" t="s">
        <v>785</v>
      </c>
      <c r="H100" s="4"/>
      <c r="I100" s="4" t="s">
        <v>785</v>
      </c>
      <c r="J100" s="4" t="s">
        <v>785</v>
      </c>
      <c r="K100" s="18"/>
      <c r="L100" s="18">
        <f t="shared" si="3"/>
        <v>300</v>
      </c>
      <c r="M100" s="4" t="s">
        <v>555</v>
      </c>
      <c r="N100" s="2" t="s">
        <v>785</v>
      </c>
      <c r="O100" s="8" t="s">
        <v>556</v>
      </c>
      <c r="P100" s="169" t="s">
        <v>364</v>
      </c>
      <c r="Q100" s="169" t="s">
        <v>557</v>
      </c>
      <c r="R100" s="169" t="s">
        <v>777</v>
      </c>
      <c r="S100" s="169" t="s">
        <v>238</v>
      </c>
      <c r="T100" s="169">
        <v>605009</v>
      </c>
      <c r="U100" s="169" t="s">
        <v>43</v>
      </c>
      <c r="V100" s="169" t="s">
        <v>26</v>
      </c>
      <c r="W100" s="169">
        <v>4</v>
      </c>
      <c r="X100" s="169">
        <v>0</v>
      </c>
      <c r="Y100" s="169">
        <v>1</v>
      </c>
      <c r="Z100" s="169">
        <v>3</v>
      </c>
      <c r="AA100" s="168" t="s">
        <v>785</v>
      </c>
      <c r="AB100" s="168" t="s">
        <v>675</v>
      </c>
    </row>
    <row r="101" spans="1:28" ht="15" customHeight="1" x14ac:dyDescent="0.15">
      <c r="A101" s="7">
        <v>100</v>
      </c>
      <c r="B101" s="4" t="s">
        <v>558</v>
      </c>
      <c r="C101" s="4" t="s">
        <v>883</v>
      </c>
      <c r="D101" s="7" t="s">
        <v>785</v>
      </c>
      <c r="E101" s="4" t="s">
        <v>785</v>
      </c>
      <c r="F101" s="23" t="s">
        <v>785</v>
      </c>
      <c r="G101" s="23" t="s">
        <v>785</v>
      </c>
      <c r="H101" s="4"/>
      <c r="I101" s="4" t="s">
        <v>785</v>
      </c>
      <c r="J101" s="4" t="s">
        <v>785</v>
      </c>
      <c r="K101" s="18"/>
      <c r="L101" s="18">
        <f t="shared" si="3"/>
        <v>300</v>
      </c>
      <c r="M101" s="4" t="s">
        <v>559</v>
      </c>
      <c r="N101" s="2" t="s">
        <v>785</v>
      </c>
      <c r="O101" s="8" t="s">
        <v>560</v>
      </c>
      <c r="P101" s="169" t="s">
        <v>561</v>
      </c>
      <c r="Q101" s="168" t="s">
        <v>785</v>
      </c>
      <c r="R101" s="168" t="s">
        <v>778</v>
      </c>
      <c r="S101" s="169" t="s">
        <v>24</v>
      </c>
      <c r="T101" s="169">
        <v>562109</v>
      </c>
      <c r="U101" s="169" t="s">
        <v>25</v>
      </c>
      <c r="V101" s="169" t="s">
        <v>26</v>
      </c>
      <c r="W101" s="169">
        <v>8</v>
      </c>
      <c r="X101" s="169">
        <v>0</v>
      </c>
      <c r="Y101" s="169">
        <v>3</v>
      </c>
      <c r="Z101" s="169">
        <v>2</v>
      </c>
      <c r="AA101" s="168" t="s">
        <v>785</v>
      </c>
      <c r="AB101" s="168" t="s">
        <v>637</v>
      </c>
    </row>
    <row r="102" spans="1:28" ht="15" customHeight="1" x14ac:dyDescent="0.15">
      <c r="A102" s="24"/>
    </row>
  </sheetData>
  <mergeCells count="1">
    <mergeCell ref="P27:Q27"/>
  </mergeCells>
  <conditionalFormatting sqref="G1:G1048576">
    <cfRule type="cellIs" dxfId="16" priority="36" operator="equal">
      <formula>"Calibration"</formula>
    </cfRule>
  </conditionalFormatting>
  <conditionalFormatting sqref="G1:J1048576">
    <cfRule type="cellIs" dxfId="15" priority="127" operator="equal">
      <formula>"Warranty"</formula>
    </cfRule>
    <cfRule type="cellIs" dxfId="14" priority="128" operator="equal">
      <formula>"ACSC or Warranty"</formula>
    </cfRule>
    <cfRule type="cellIs" dxfId="13" priority="129" operator="equal">
      <formula>"Expired"</formula>
    </cfRule>
  </conditionalFormatting>
  <conditionalFormatting sqref="K10">
    <cfRule type="cellIs" dxfId="12" priority="1423" operator="equal">
      <formula>"Warranty"</formula>
    </cfRule>
    <cfRule type="cellIs" dxfId="11" priority="1424" operator="equal">
      <formula>"ACSC or Warranty"</formula>
    </cfRule>
    <cfRule type="cellIs" dxfId="10" priority="1425" operator="equal">
      <formula>"Expired"</formula>
    </cfRule>
  </conditionalFormatting>
  <conditionalFormatting sqref="B1:C101">
    <cfRule type="duplicateValues" dxfId="9" priority="2"/>
  </conditionalFormatting>
  <conditionalFormatting sqref="D1:D101">
    <cfRule type="duplicateValues" dxfId="0" priority="1"/>
  </conditionalFormatting>
  <pageMargins left="0.31496062992125984" right="0.31496062992125984" top="0.74803149606299213" bottom="0.74803149606299213" header="0.31496062992125984" footer="0.31496062992125984"/>
  <pageSetup paperSize="9" scale="59" orientation="landscape" r:id="rId1"/>
  <rowBreaks count="2" manualBreakCount="2">
    <brk id="51" max="16383" man="1"/>
    <brk id="100" max="16383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861F83-5B9D-4DA4-A258-F5E04B99E0E1}">
          <x14:formula1>
            <xm:f>'Security Req'!$A$15:$A$19</xm:f>
          </x14:formula1>
          <xm:sqref>AA2:AA101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42F88-F753-4E30-BA51-29CEAE88F32C}">
  <dimension ref="A1:BA37"/>
  <sheetViews>
    <sheetView topLeftCell="E1" workbookViewId="0">
      <selection activeCell="R3" sqref="R3"/>
    </sheetView>
  </sheetViews>
  <sheetFormatPr defaultRowHeight="15" x14ac:dyDescent="0.25"/>
  <cols>
    <col min="1" max="1" width="2" bestFit="1" customWidth="1"/>
    <col min="2" max="4" width="2.140625" bestFit="1" customWidth="1"/>
    <col min="5" max="5" width="14.28515625" bestFit="1" customWidth="1"/>
    <col min="7" max="7" width="2" bestFit="1" customWidth="1"/>
    <col min="8" max="8" width="15.28515625" bestFit="1" customWidth="1"/>
    <col min="9" max="10" width="2.140625" bestFit="1" customWidth="1"/>
    <col min="11" max="11" width="13.28515625" bestFit="1" customWidth="1"/>
    <col min="13" max="13" width="2" bestFit="1" customWidth="1"/>
    <col min="14" max="16" width="2.140625" bestFit="1" customWidth="1"/>
    <col min="17" max="17" width="10.28515625" bestFit="1" customWidth="1"/>
    <col min="18" max="18" width="5.28515625" bestFit="1" customWidth="1"/>
    <col min="20" max="20" width="2" bestFit="1" customWidth="1"/>
    <col min="21" max="23" width="2.140625" bestFit="1" customWidth="1"/>
    <col min="24" max="24" width="21.42578125" bestFit="1" customWidth="1"/>
    <col min="26" max="26" width="2" bestFit="1" customWidth="1"/>
    <col min="27" max="27" width="2.140625" bestFit="1" customWidth="1"/>
    <col min="28" max="28" width="12.5703125" bestFit="1" customWidth="1"/>
    <col min="29" max="29" width="2.140625" bestFit="1" customWidth="1"/>
    <col min="30" max="30" width="17.5703125" bestFit="1" customWidth="1"/>
    <col min="32" max="32" width="2" bestFit="1" customWidth="1"/>
    <col min="33" max="35" width="2.140625" bestFit="1" customWidth="1"/>
    <col min="36" max="36" width="12.5703125" bestFit="1" customWidth="1"/>
    <col min="38" max="38" width="2" bestFit="1" customWidth="1"/>
    <col min="39" max="41" width="2.140625" bestFit="1" customWidth="1"/>
    <col min="42" max="42" width="13.7109375" bestFit="1" customWidth="1"/>
    <col min="44" max="44" width="2" bestFit="1" customWidth="1"/>
    <col min="45" max="47" width="2.140625" bestFit="1" customWidth="1"/>
    <col min="48" max="48" width="10.5703125" bestFit="1" customWidth="1"/>
    <col min="50" max="50" width="21.28515625" bestFit="1" customWidth="1"/>
    <col min="51" max="51" width="6.42578125" bestFit="1" customWidth="1"/>
    <col min="52" max="52" width="2.140625" bestFit="1" customWidth="1"/>
  </cols>
  <sheetData>
    <row r="1" spans="1:53" ht="15.75" x14ac:dyDescent="0.25">
      <c r="A1" s="25"/>
      <c r="B1" s="26"/>
      <c r="C1" s="181" t="s">
        <v>625</v>
      </c>
      <c r="D1" s="181"/>
      <c r="E1" s="182"/>
      <c r="F1" s="27"/>
      <c r="G1" s="28"/>
      <c r="H1" s="181" t="s">
        <v>626</v>
      </c>
      <c r="I1" s="181"/>
      <c r="J1" s="181"/>
      <c r="K1" s="182"/>
      <c r="L1" s="27"/>
      <c r="M1" s="28"/>
      <c r="N1" s="170"/>
      <c r="O1" s="183" t="s">
        <v>627</v>
      </c>
      <c r="P1" s="183"/>
      <c r="Q1" s="183"/>
      <c r="R1" s="29"/>
      <c r="S1" s="27"/>
      <c r="T1" s="28"/>
      <c r="U1" s="170"/>
      <c r="V1" s="183" t="s">
        <v>628</v>
      </c>
      <c r="W1" s="183"/>
      <c r="X1" s="184"/>
      <c r="Y1" s="27"/>
      <c r="Z1" s="30"/>
      <c r="AA1" s="173"/>
      <c r="AB1" s="31" t="s">
        <v>629</v>
      </c>
      <c r="AC1" s="31"/>
      <c r="AD1" s="32"/>
      <c r="AE1" s="27"/>
      <c r="AF1" s="33"/>
      <c r="AG1" s="171"/>
      <c r="AH1" s="185" t="s">
        <v>630</v>
      </c>
      <c r="AI1" s="185"/>
      <c r="AJ1" s="186"/>
      <c r="AK1" s="27"/>
      <c r="AL1" s="28"/>
      <c r="AM1" s="170"/>
      <c r="AN1" s="183" t="s">
        <v>631</v>
      </c>
      <c r="AO1" s="183"/>
      <c r="AP1" s="184"/>
      <c r="AQ1" s="27"/>
      <c r="AR1" s="30"/>
      <c r="AS1" s="173"/>
      <c r="AT1" s="188" t="s">
        <v>632</v>
      </c>
      <c r="AU1" s="188"/>
      <c r="AV1" s="189"/>
      <c r="AW1" s="34"/>
      <c r="AX1" s="34"/>
      <c r="AY1" s="34"/>
      <c r="AZ1" s="34"/>
      <c r="BA1" s="35"/>
    </row>
    <row r="2" spans="1:53" ht="15.75" x14ac:dyDescent="0.25">
      <c r="A2" s="36" t="s">
        <v>12</v>
      </c>
      <c r="B2" s="37" t="s">
        <v>13</v>
      </c>
      <c r="C2" s="38" t="s">
        <v>14</v>
      </c>
      <c r="D2" s="38" t="s">
        <v>15</v>
      </c>
      <c r="E2" s="39" t="s">
        <v>633</v>
      </c>
      <c r="F2" s="40"/>
      <c r="G2" s="36" t="s">
        <v>12</v>
      </c>
      <c r="H2" s="41" t="s">
        <v>13</v>
      </c>
      <c r="I2" s="41" t="s">
        <v>14</v>
      </c>
      <c r="J2" s="41" t="s">
        <v>15</v>
      </c>
      <c r="K2" s="42" t="s">
        <v>633</v>
      </c>
      <c r="L2" s="40"/>
      <c r="M2" s="36" t="s">
        <v>12</v>
      </c>
      <c r="N2" s="43" t="s">
        <v>13</v>
      </c>
      <c r="O2" s="41" t="s">
        <v>14</v>
      </c>
      <c r="P2" s="41" t="s">
        <v>15</v>
      </c>
      <c r="Q2" s="44" t="s">
        <v>633</v>
      </c>
      <c r="R2" s="45" t="s">
        <v>634</v>
      </c>
      <c r="S2" s="40"/>
      <c r="T2" s="46" t="s">
        <v>12</v>
      </c>
      <c r="U2" s="47" t="s">
        <v>13</v>
      </c>
      <c r="V2" s="48" t="s">
        <v>14</v>
      </c>
      <c r="W2" s="48" t="s">
        <v>15</v>
      </c>
      <c r="X2" s="49" t="s">
        <v>633</v>
      </c>
      <c r="Y2" s="50"/>
      <c r="Z2" s="51" t="s">
        <v>12</v>
      </c>
      <c r="AA2" s="52" t="s">
        <v>13</v>
      </c>
      <c r="AB2" s="53" t="s">
        <v>14</v>
      </c>
      <c r="AC2" s="53" t="s">
        <v>15</v>
      </c>
      <c r="AD2" s="54" t="s">
        <v>633</v>
      </c>
      <c r="AE2" s="40"/>
      <c r="AF2" s="36" t="s">
        <v>12</v>
      </c>
      <c r="AG2" s="43" t="s">
        <v>13</v>
      </c>
      <c r="AH2" s="41" t="s">
        <v>14</v>
      </c>
      <c r="AI2" s="41" t="s">
        <v>15</v>
      </c>
      <c r="AJ2" s="42" t="s">
        <v>633</v>
      </c>
      <c r="AK2" s="40"/>
      <c r="AL2" s="36" t="s">
        <v>12</v>
      </c>
      <c r="AM2" s="43" t="s">
        <v>13</v>
      </c>
      <c r="AN2" s="41" t="s">
        <v>14</v>
      </c>
      <c r="AO2" s="41" t="s">
        <v>15</v>
      </c>
      <c r="AP2" s="42" t="s">
        <v>633</v>
      </c>
      <c r="AQ2" s="55"/>
      <c r="AR2" s="56" t="s">
        <v>12</v>
      </c>
      <c r="AS2" s="57" t="s">
        <v>13</v>
      </c>
      <c r="AT2" s="58" t="s">
        <v>14</v>
      </c>
      <c r="AU2" s="58" t="s">
        <v>15</v>
      </c>
      <c r="AV2" s="59" t="s">
        <v>633</v>
      </c>
      <c r="AW2" s="34"/>
      <c r="AX2" s="60" t="s">
        <v>635</v>
      </c>
      <c r="AY2" s="61" t="s">
        <v>636</v>
      </c>
      <c r="AZ2" s="55"/>
      <c r="BA2" s="35"/>
    </row>
    <row r="3" spans="1:53" ht="15.75" x14ac:dyDescent="0.25">
      <c r="A3" s="62">
        <v>8</v>
      </c>
      <c r="B3" s="63">
        <v>0</v>
      </c>
      <c r="C3" s="64">
        <v>1</v>
      </c>
      <c r="D3" s="64">
        <v>1</v>
      </c>
      <c r="E3" s="65" t="s">
        <v>121</v>
      </c>
      <c r="F3" s="66"/>
      <c r="G3" s="67">
        <v>2</v>
      </c>
      <c r="H3" s="64">
        <v>1</v>
      </c>
      <c r="I3" s="64">
        <v>1</v>
      </c>
      <c r="J3" s="64">
        <v>5</v>
      </c>
      <c r="K3" s="68" t="s">
        <v>568</v>
      </c>
      <c r="L3" s="66"/>
      <c r="M3" s="69">
        <v>5</v>
      </c>
      <c r="N3" s="64">
        <v>0</v>
      </c>
      <c r="O3" s="64">
        <v>1</v>
      </c>
      <c r="P3" s="64">
        <v>1</v>
      </c>
      <c r="Q3" s="70" t="s">
        <v>149</v>
      </c>
      <c r="R3" s="71" t="s">
        <v>637</v>
      </c>
      <c r="S3" s="66"/>
      <c r="T3" s="67">
        <v>1</v>
      </c>
      <c r="U3" s="71">
        <v>0</v>
      </c>
      <c r="V3" s="72">
        <v>0</v>
      </c>
      <c r="W3" s="72">
        <v>1</v>
      </c>
      <c r="X3" s="73" t="s">
        <v>638</v>
      </c>
      <c r="Y3" s="66"/>
      <c r="Z3" s="74">
        <v>4</v>
      </c>
      <c r="AA3" s="75">
        <v>0</v>
      </c>
      <c r="AB3" s="76">
        <v>1</v>
      </c>
      <c r="AC3" s="76">
        <v>1</v>
      </c>
      <c r="AD3" s="77" t="s">
        <v>234</v>
      </c>
      <c r="AE3" s="66"/>
      <c r="AF3" s="67">
        <v>4</v>
      </c>
      <c r="AG3" s="71">
        <v>1</v>
      </c>
      <c r="AH3" s="64">
        <v>0</v>
      </c>
      <c r="AI3" s="64">
        <v>1</v>
      </c>
      <c r="AJ3" s="78" t="s">
        <v>580</v>
      </c>
      <c r="AK3" s="66"/>
      <c r="AL3" s="67">
        <v>6</v>
      </c>
      <c r="AM3" s="71">
        <v>0</v>
      </c>
      <c r="AN3" s="64">
        <v>1</v>
      </c>
      <c r="AO3" s="64">
        <v>1</v>
      </c>
      <c r="AP3" s="79" t="s">
        <v>620</v>
      </c>
      <c r="AQ3" s="80"/>
      <c r="AR3" s="81">
        <v>3</v>
      </c>
      <c r="AS3" s="82">
        <v>0</v>
      </c>
      <c r="AT3" s="64">
        <v>0</v>
      </c>
      <c r="AU3" s="64">
        <v>1</v>
      </c>
      <c r="AV3" s="83" t="s">
        <v>328</v>
      </c>
      <c r="AW3" s="34"/>
      <c r="AX3" s="84" t="s">
        <v>639</v>
      </c>
      <c r="AY3" s="85">
        <v>0</v>
      </c>
      <c r="AZ3" s="86"/>
      <c r="BA3" s="35"/>
    </row>
    <row r="4" spans="1:53" ht="15.75" x14ac:dyDescent="0.25">
      <c r="A4" s="62">
        <v>8</v>
      </c>
      <c r="B4" s="63">
        <v>0</v>
      </c>
      <c r="C4" s="64">
        <v>1</v>
      </c>
      <c r="D4" s="64">
        <v>2</v>
      </c>
      <c r="E4" s="65" t="s">
        <v>74</v>
      </c>
      <c r="F4" s="66"/>
      <c r="G4" s="67">
        <v>2</v>
      </c>
      <c r="H4" s="64">
        <v>1</v>
      </c>
      <c r="I4" s="87">
        <v>1</v>
      </c>
      <c r="J4" s="64">
        <v>4</v>
      </c>
      <c r="K4" s="68" t="s">
        <v>566</v>
      </c>
      <c r="L4" s="66"/>
      <c r="M4" s="69">
        <v>5</v>
      </c>
      <c r="N4" s="64">
        <v>0</v>
      </c>
      <c r="O4" s="64">
        <v>2</v>
      </c>
      <c r="P4" s="64">
        <v>1</v>
      </c>
      <c r="Q4" s="70" t="s">
        <v>615</v>
      </c>
      <c r="R4" s="71" t="s">
        <v>637</v>
      </c>
      <c r="S4" s="66"/>
      <c r="T4" s="67">
        <v>1</v>
      </c>
      <c r="U4" s="75">
        <v>0</v>
      </c>
      <c r="V4" s="88">
        <v>0</v>
      </c>
      <c r="W4" s="88">
        <v>2</v>
      </c>
      <c r="X4" s="89" t="s">
        <v>79</v>
      </c>
      <c r="Y4" s="66"/>
      <c r="Z4" s="67">
        <v>4</v>
      </c>
      <c r="AA4" s="71">
        <v>0</v>
      </c>
      <c r="AB4" s="64">
        <v>1</v>
      </c>
      <c r="AC4" s="64">
        <v>2</v>
      </c>
      <c r="AD4" s="77" t="s">
        <v>595</v>
      </c>
      <c r="AE4" s="66"/>
      <c r="AF4" s="81">
        <v>4</v>
      </c>
      <c r="AG4" s="82">
        <v>1</v>
      </c>
      <c r="AH4" s="64">
        <v>0</v>
      </c>
      <c r="AI4" s="64">
        <v>2</v>
      </c>
      <c r="AJ4" s="90" t="s">
        <v>572</v>
      </c>
      <c r="AK4" s="66"/>
      <c r="AL4" s="67">
        <v>6</v>
      </c>
      <c r="AM4" s="71">
        <v>0</v>
      </c>
      <c r="AN4" s="64">
        <v>2</v>
      </c>
      <c r="AO4" s="64">
        <v>1</v>
      </c>
      <c r="AP4" s="79" t="s">
        <v>61</v>
      </c>
      <c r="AQ4" s="80"/>
      <c r="AR4" s="81">
        <v>3</v>
      </c>
      <c r="AS4" s="82">
        <v>0</v>
      </c>
      <c r="AT4" s="64">
        <v>0</v>
      </c>
      <c r="AU4" s="64">
        <v>2</v>
      </c>
      <c r="AV4" s="83" t="s">
        <v>611</v>
      </c>
      <c r="AW4" s="34"/>
      <c r="AX4" s="84" t="s">
        <v>640</v>
      </c>
      <c r="AY4" s="85">
        <v>1</v>
      </c>
      <c r="AZ4" s="86" t="s">
        <v>641</v>
      </c>
      <c r="BA4" s="35"/>
    </row>
    <row r="5" spans="1:53" ht="15.75" x14ac:dyDescent="0.25">
      <c r="A5" s="62">
        <v>8</v>
      </c>
      <c r="B5" s="63">
        <v>0</v>
      </c>
      <c r="C5" s="64">
        <v>1</v>
      </c>
      <c r="D5" s="64">
        <v>3</v>
      </c>
      <c r="E5" s="65" t="s">
        <v>126</v>
      </c>
      <c r="F5" s="66"/>
      <c r="G5" s="67">
        <v>2</v>
      </c>
      <c r="H5" s="64">
        <v>1</v>
      </c>
      <c r="I5" s="64">
        <v>1</v>
      </c>
      <c r="J5" s="64">
        <v>3</v>
      </c>
      <c r="K5" s="68" t="s">
        <v>593</v>
      </c>
      <c r="L5" s="66"/>
      <c r="M5" s="69">
        <v>5</v>
      </c>
      <c r="N5" s="64">
        <v>0</v>
      </c>
      <c r="O5" s="64">
        <v>3</v>
      </c>
      <c r="P5" s="64">
        <v>1</v>
      </c>
      <c r="Q5" s="70" t="s">
        <v>610</v>
      </c>
      <c r="R5" s="71" t="s">
        <v>637</v>
      </c>
      <c r="S5" s="66"/>
      <c r="T5" s="67">
        <v>1</v>
      </c>
      <c r="U5" s="75">
        <v>0</v>
      </c>
      <c r="V5" s="88">
        <v>1</v>
      </c>
      <c r="W5" s="88">
        <v>5</v>
      </c>
      <c r="X5" s="89" t="s">
        <v>574</v>
      </c>
      <c r="Y5" s="66"/>
      <c r="Z5" s="67">
        <v>4</v>
      </c>
      <c r="AA5" s="71">
        <v>0</v>
      </c>
      <c r="AB5" s="64">
        <v>1</v>
      </c>
      <c r="AC5" s="64">
        <v>3</v>
      </c>
      <c r="AD5" s="77" t="s">
        <v>238</v>
      </c>
      <c r="AE5" s="66"/>
      <c r="AF5" s="67">
        <v>4</v>
      </c>
      <c r="AG5" s="71">
        <v>1</v>
      </c>
      <c r="AH5" s="64">
        <v>0</v>
      </c>
      <c r="AI5" s="64">
        <v>3</v>
      </c>
      <c r="AJ5" s="90" t="s">
        <v>621</v>
      </c>
      <c r="AK5" s="66"/>
      <c r="AL5" s="91">
        <v>6</v>
      </c>
      <c r="AM5" s="92">
        <v>0</v>
      </c>
      <c r="AN5" s="93">
        <v>3</v>
      </c>
      <c r="AO5" s="93">
        <v>1</v>
      </c>
      <c r="AP5" s="94" t="s">
        <v>642</v>
      </c>
      <c r="AQ5" s="80"/>
      <c r="AR5" s="81">
        <v>3</v>
      </c>
      <c r="AS5" s="82">
        <v>0</v>
      </c>
      <c r="AT5" s="64">
        <v>0</v>
      </c>
      <c r="AU5" s="64">
        <v>3</v>
      </c>
      <c r="AV5" s="83" t="s">
        <v>643</v>
      </c>
      <c r="AW5" s="34"/>
      <c r="AX5" s="84" t="s">
        <v>644</v>
      </c>
      <c r="AY5" s="85">
        <v>2</v>
      </c>
      <c r="AZ5" s="86" t="s">
        <v>13</v>
      </c>
      <c r="BA5" s="35"/>
    </row>
    <row r="6" spans="1:53" ht="15.75" x14ac:dyDescent="0.25">
      <c r="A6" s="62">
        <v>8</v>
      </c>
      <c r="B6" s="63">
        <v>0</v>
      </c>
      <c r="C6" s="64">
        <v>2</v>
      </c>
      <c r="D6" s="64">
        <v>1</v>
      </c>
      <c r="E6" s="65" t="s">
        <v>165</v>
      </c>
      <c r="F6" s="66"/>
      <c r="G6" s="67">
        <v>2</v>
      </c>
      <c r="H6" s="64">
        <v>1</v>
      </c>
      <c r="I6" s="64">
        <v>1</v>
      </c>
      <c r="J6" s="64">
        <v>2</v>
      </c>
      <c r="K6" s="68" t="s">
        <v>182</v>
      </c>
      <c r="L6" s="66"/>
      <c r="M6" s="69">
        <v>5</v>
      </c>
      <c r="N6" s="64">
        <v>1</v>
      </c>
      <c r="O6" s="64">
        <v>1</v>
      </c>
      <c r="P6" s="64">
        <v>1</v>
      </c>
      <c r="Q6" s="70" t="s">
        <v>591</v>
      </c>
      <c r="R6" s="71" t="s">
        <v>637</v>
      </c>
      <c r="S6" s="66"/>
      <c r="T6" s="67">
        <v>1</v>
      </c>
      <c r="U6" s="75">
        <v>0</v>
      </c>
      <c r="V6" s="88">
        <v>4</v>
      </c>
      <c r="W6" s="88">
        <v>2</v>
      </c>
      <c r="X6" s="89" t="s">
        <v>577</v>
      </c>
      <c r="Y6" s="66"/>
      <c r="Z6" s="67">
        <v>4</v>
      </c>
      <c r="AA6" s="71">
        <v>0</v>
      </c>
      <c r="AB6" s="64">
        <v>2</v>
      </c>
      <c r="AC6" s="64">
        <v>1</v>
      </c>
      <c r="AD6" s="77" t="s">
        <v>302</v>
      </c>
      <c r="AE6" s="66"/>
      <c r="AF6" s="67">
        <v>4</v>
      </c>
      <c r="AG6" s="71">
        <v>1</v>
      </c>
      <c r="AH6" s="64">
        <v>1</v>
      </c>
      <c r="AI6" s="64">
        <v>1</v>
      </c>
      <c r="AJ6" s="79" t="s">
        <v>109</v>
      </c>
      <c r="AK6" s="66"/>
      <c r="AL6" s="66"/>
      <c r="AM6" s="66"/>
      <c r="AN6" s="95"/>
      <c r="AO6" s="95"/>
      <c r="AP6" s="66"/>
      <c r="AQ6" s="66"/>
      <c r="AR6" s="96">
        <v>3</v>
      </c>
      <c r="AS6" s="97">
        <v>0</v>
      </c>
      <c r="AT6" s="98">
        <v>0</v>
      </c>
      <c r="AU6" s="98">
        <v>4</v>
      </c>
      <c r="AV6" s="99" t="s">
        <v>612</v>
      </c>
      <c r="AW6" s="34"/>
      <c r="AX6" s="84" t="s">
        <v>645</v>
      </c>
      <c r="AY6" s="85">
        <v>3</v>
      </c>
      <c r="AZ6" s="86" t="s">
        <v>646</v>
      </c>
      <c r="BA6" s="35"/>
    </row>
    <row r="7" spans="1:53" ht="15.75" x14ac:dyDescent="0.25">
      <c r="A7" s="62">
        <v>8</v>
      </c>
      <c r="B7" s="63">
        <v>0</v>
      </c>
      <c r="C7" s="64">
        <v>2</v>
      </c>
      <c r="D7" s="64">
        <v>2</v>
      </c>
      <c r="E7" s="65" t="s">
        <v>389</v>
      </c>
      <c r="F7" s="66"/>
      <c r="G7" s="67">
        <v>2</v>
      </c>
      <c r="H7" s="64">
        <v>1</v>
      </c>
      <c r="I7" s="64">
        <v>1</v>
      </c>
      <c r="J7" s="64">
        <v>1</v>
      </c>
      <c r="K7" s="68" t="s">
        <v>575</v>
      </c>
      <c r="L7" s="66"/>
      <c r="M7" s="69">
        <v>5</v>
      </c>
      <c r="N7" s="64">
        <v>1</v>
      </c>
      <c r="O7" s="64">
        <v>1</v>
      </c>
      <c r="P7" s="64">
        <v>2</v>
      </c>
      <c r="Q7" s="70" t="s">
        <v>594</v>
      </c>
      <c r="R7" s="71" t="s">
        <v>637</v>
      </c>
      <c r="S7" s="66"/>
      <c r="T7" s="67">
        <v>1</v>
      </c>
      <c r="U7" s="75">
        <v>0</v>
      </c>
      <c r="V7" s="88">
        <v>5</v>
      </c>
      <c r="W7" s="88">
        <v>4</v>
      </c>
      <c r="X7" s="89" t="s">
        <v>592</v>
      </c>
      <c r="Y7" s="66"/>
      <c r="Z7" s="67">
        <v>4</v>
      </c>
      <c r="AA7" s="71">
        <v>0</v>
      </c>
      <c r="AB7" s="64">
        <v>2</v>
      </c>
      <c r="AC7" s="64">
        <v>2</v>
      </c>
      <c r="AD7" s="77" t="s">
        <v>583</v>
      </c>
      <c r="AE7" s="66"/>
      <c r="AF7" s="67">
        <v>4</v>
      </c>
      <c r="AG7" s="71">
        <v>1</v>
      </c>
      <c r="AH7" s="64">
        <v>1</v>
      </c>
      <c r="AI7" s="64">
        <v>1</v>
      </c>
      <c r="AJ7" s="79" t="s">
        <v>565</v>
      </c>
      <c r="AK7" s="66"/>
      <c r="AL7" s="100"/>
      <c r="AM7" s="100"/>
      <c r="AN7" s="174"/>
      <c r="AO7" s="174"/>
      <c r="AP7" s="100"/>
      <c r="AQ7" s="100"/>
      <c r="AR7" s="66"/>
      <c r="AS7" s="66"/>
      <c r="AT7" s="66"/>
      <c r="AU7" s="66"/>
      <c r="AV7" s="66"/>
      <c r="AW7" s="34"/>
      <c r="AX7" s="101" t="s">
        <v>647</v>
      </c>
      <c r="AY7" s="85">
        <v>4</v>
      </c>
      <c r="AZ7" s="86" t="s">
        <v>648</v>
      </c>
      <c r="BA7" s="35"/>
    </row>
    <row r="8" spans="1:53" ht="15.75" x14ac:dyDescent="0.25">
      <c r="A8" s="62">
        <v>8</v>
      </c>
      <c r="B8" s="63">
        <v>0</v>
      </c>
      <c r="C8" s="64">
        <v>2</v>
      </c>
      <c r="D8" s="64">
        <v>3</v>
      </c>
      <c r="E8" s="65" t="s">
        <v>202</v>
      </c>
      <c r="F8" s="66"/>
      <c r="G8" s="67">
        <v>2</v>
      </c>
      <c r="H8" s="64">
        <v>2</v>
      </c>
      <c r="I8" s="64">
        <v>2</v>
      </c>
      <c r="J8" s="64">
        <v>1</v>
      </c>
      <c r="K8" s="68" t="s">
        <v>649</v>
      </c>
      <c r="L8" s="66"/>
      <c r="M8" s="69">
        <v>5</v>
      </c>
      <c r="N8" s="64">
        <v>1</v>
      </c>
      <c r="O8" s="64">
        <v>2</v>
      </c>
      <c r="P8" s="64">
        <v>1</v>
      </c>
      <c r="Q8" s="70" t="s">
        <v>650</v>
      </c>
      <c r="R8" s="71" t="s">
        <v>637</v>
      </c>
      <c r="S8" s="66"/>
      <c r="T8" s="67">
        <v>1</v>
      </c>
      <c r="U8" s="75">
        <v>1</v>
      </c>
      <c r="V8" s="88">
        <v>1</v>
      </c>
      <c r="W8" s="88">
        <v>1</v>
      </c>
      <c r="X8" s="102" t="s">
        <v>430</v>
      </c>
      <c r="Y8" s="66"/>
      <c r="Z8" s="67">
        <v>4</v>
      </c>
      <c r="AA8" s="71">
        <v>0</v>
      </c>
      <c r="AB8" s="64">
        <v>2</v>
      </c>
      <c r="AC8" s="64">
        <v>3</v>
      </c>
      <c r="AD8" s="77" t="s">
        <v>608</v>
      </c>
      <c r="AE8" s="66"/>
      <c r="AF8" s="67">
        <v>4</v>
      </c>
      <c r="AG8" s="71">
        <v>1</v>
      </c>
      <c r="AH8" s="64">
        <v>1</v>
      </c>
      <c r="AI8" s="64">
        <v>2</v>
      </c>
      <c r="AJ8" s="79" t="s">
        <v>571</v>
      </c>
      <c r="AK8" s="66"/>
      <c r="AL8" s="100"/>
      <c r="AM8" s="100"/>
      <c r="AN8" s="174"/>
      <c r="AO8" s="174"/>
      <c r="AP8" s="103"/>
      <c r="AQ8" s="103"/>
      <c r="AR8" s="103"/>
      <c r="AS8" s="103"/>
      <c r="AT8" s="103"/>
      <c r="AU8" s="103"/>
      <c r="AV8" s="103"/>
      <c r="AW8" s="34"/>
      <c r="AX8" s="84" t="s">
        <v>651</v>
      </c>
      <c r="AY8" s="85">
        <v>5</v>
      </c>
      <c r="AZ8" s="86"/>
      <c r="BA8" s="35"/>
    </row>
    <row r="9" spans="1:53" ht="15.75" x14ac:dyDescent="0.25">
      <c r="A9" s="62">
        <v>8</v>
      </c>
      <c r="B9" s="63">
        <v>0</v>
      </c>
      <c r="C9" s="64">
        <v>3</v>
      </c>
      <c r="D9" s="64">
        <v>1</v>
      </c>
      <c r="E9" s="65" t="s">
        <v>28</v>
      </c>
      <c r="F9" s="66"/>
      <c r="G9" s="67">
        <v>2</v>
      </c>
      <c r="H9" s="64">
        <v>2</v>
      </c>
      <c r="I9" s="64">
        <v>2</v>
      </c>
      <c r="J9" s="64">
        <v>2</v>
      </c>
      <c r="K9" s="68" t="s">
        <v>181</v>
      </c>
      <c r="L9" s="66"/>
      <c r="M9" s="69">
        <v>5</v>
      </c>
      <c r="N9" s="64">
        <v>1</v>
      </c>
      <c r="O9" s="64">
        <v>2</v>
      </c>
      <c r="P9" s="64">
        <v>2</v>
      </c>
      <c r="Q9" s="70" t="s">
        <v>652</v>
      </c>
      <c r="R9" s="71" t="s">
        <v>637</v>
      </c>
      <c r="S9" s="66"/>
      <c r="T9" s="67">
        <v>1</v>
      </c>
      <c r="U9" s="75">
        <v>1</v>
      </c>
      <c r="V9" s="88">
        <v>1</v>
      </c>
      <c r="W9" s="88">
        <v>2</v>
      </c>
      <c r="X9" s="102" t="s">
        <v>589</v>
      </c>
      <c r="Y9" s="66"/>
      <c r="Z9" s="67">
        <v>4</v>
      </c>
      <c r="AA9" s="71">
        <v>0</v>
      </c>
      <c r="AB9" s="64">
        <v>2</v>
      </c>
      <c r="AC9" s="64">
        <v>4</v>
      </c>
      <c r="AD9" s="77" t="s">
        <v>367</v>
      </c>
      <c r="AE9" s="66"/>
      <c r="AF9" s="67">
        <v>4</v>
      </c>
      <c r="AG9" s="71">
        <v>1</v>
      </c>
      <c r="AH9" s="64">
        <v>2</v>
      </c>
      <c r="AI9" s="64">
        <v>1</v>
      </c>
      <c r="AJ9" s="83" t="s">
        <v>653</v>
      </c>
      <c r="AK9" s="50"/>
      <c r="AL9" s="104"/>
      <c r="AM9" s="104"/>
      <c r="AN9" s="174"/>
      <c r="AO9" s="174"/>
      <c r="AP9" s="100"/>
      <c r="AQ9" s="100"/>
      <c r="AR9" s="100"/>
      <c r="AS9" s="100"/>
      <c r="AT9" s="100"/>
      <c r="AU9" s="100"/>
      <c r="AV9" s="100"/>
      <c r="AW9" s="34"/>
      <c r="AX9" s="105" t="s">
        <v>654</v>
      </c>
      <c r="AY9" s="106">
        <v>6</v>
      </c>
      <c r="AZ9" s="86"/>
      <c r="BA9" s="35"/>
    </row>
    <row r="10" spans="1:53" ht="15" customHeight="1" x14ac:dyDescent="0.25">
      <c r="A10" s="62">
        <v>8</v>
      </c>
      <c r="B10" s="63">
        <v>0</v>
      </c>
      <c r="C10" s="64">
        <v>3</v>
      </c>
      <c r="D10" s="64">
        <v>2</v>
      </c>
      <c r="E10" s="65" t="s">
        <v>561</v>
      </c>
      <c r="F10" s="66"/>
      <c r="G10" s="67">
        <v>2</v>
      </c>
      <c r="H10" s="64">
        <v>2</v>
      </c>
      <c r="I10" s="64">
        <v>2</v>
      </c>
      <c r="J10" s="64">
        <v>3</v>
      </c>
      <c r="K10" s="68" t="s">
        <v>578</v>
      </c>
      <c r="L10" s="66"/>
      <c r="M10" s="69">
        <v>5</v>
      </c>
      <c r="N10" s="64">
        <v>1</v>
      </c>
      <c r="O10" s="64">
        <v>3</v>
      </c>
      <c r="P10" s="64">
        <v>1</v>
      </c>
      <c r="Q10" s="70" t="s">
        <v>604</v>
      </c>
      <c r="R10" s="71" t="s">
        <v>637</v>
      </c>
      <c r="S10" s="66"/>
      <c r="T10" s="67">
        <v>1</v>
      </c>
      <c r="U10" s="75">
        <v>1</v>
      </c>
      <c r="V10" s="88">
        <v>1</v>
      </c>
      <c r="W10" s="88">
        <v>3</v>
      </c>
      <c r="X10" s="102" t="s">
        <v>655</v>
      </c>
      <c r="Y10" s="66"/>
      <c r="Z10" s="67">
        <v>4</v>
      </c>
      <c r="AA10" s="71">
        <v>0</v>
      </c>
      <c r="AB10" s="64">
        <v>2</v>
      </c>
      <c r="AC10" s="64">
        <v>5</v>
      </c>
      <c r="AD10" s="77" t="s">
        <v>585</v>
      </c>
      <c r="AE10" s="66"/>
      <c r="AF10" s="67">
        <v>4</v>
      </c>
      <c r="AG10" s="71">
        <v>1</v>
      </c>
      <c r="AH10" s="64">
        <v>3</v>
      </c>
      <c r="AI10" s="64">
        <v>1</v>
      </c>
      <c r="AJ10" s="107" t="s">
        <v>395</v>
      </c>
      <c r="AK10" s="66"/>
      <c r="AL10" s="100"/>
      <c r="AM10" s="100"/>
      <c r="AN10" s="174"/>
      <c r="AO10" s="174"/>
      <c r="AP10" s="100"/>
      <c r="AQ10" s="100"/>
      <c r="AR10" s="100"/>
      <c r="AS10" s="100"/>
      <c r="AT10" s="100"/>
      <c r="AU10" s="100"/>
      <c r="AV10" s="100"/>
      <c r="AW10" s="34"/>
      <c r="AX10" s="34"/>
      <c r="AY10" s="34"/>
      <c r="AZ10" s="34"/>
      <c r="BA10" s="35"/>
    </row>
    <row r="11" spans="1:53" ht="15.75" x14ac:dyDescent="0.25">
      <c r="A11" s="62">
        <v>8</v>
      </c>
      <c r="B11" s="63">
        <v>0</v>
      </c>
      <c r="C11" s="64">
        <v>3</v>
      </c>
      <c r="D11" s="64">
        <v>3</v>
      </c>
      <c r="E11" s="65" t="s">
        <v>277</v>
      </c>
      <c r="F11" s="66"/>
      <c r="G11" s="67">
        <v>2</v>
      </c>
      <c r="H11" s="64">
        <v>3</v>
      </c>
      <c r="I11" s="64">
        <v>0</v>
      </c>
      <c r="J11" s="64">
        <v>1</v>
      </c>
      <c r="K11" s="68" t="s">
        <v>503</v>
      </c>
      <c r="L11" s="66"/>
      <c r="M11" s="69">
        <v>5</v>
      </c>
      <c r="N11" s="64">
        <v>2</v>
      </c>
      <c r="O11" s="64">
        <v>3</v>
      </c>
      <c r="P11" s="64">
        <v>1</v>
      </c>
      <c r="Q11" s="108" t="s">
        <v>377</v>
      </c>
      <c r="R11" s="71" t="s">
        <v>637</v>
      </c>
      <c r="S11" s="66"/>
      <c r="T11" s="67">
        <v>1</v>
      </c>
      <c r="U11" s="109">
        <v>1</v>
      </c>
      <c r="V11" s="110">
        <v>1</v>
      </c>
      <c r="W11" s="110">
        <v>4</v>
      </c>
      <c r="X11" s="111" t="s">
        <v>656</v>
      </c>
      <c r="Y11" s="66"/>
      <c r="Z11" s="67">
        <v>4</v>
      </c>
      <c r="AA11" s="71">
        <v>0</v>
      </c>
      <c r="AB11" s="64">
        <v>3</v>
      </c>
      <c r="AC11" s="64">
        <v>1</v>
      </c>
      <c r="AD11" s="77" t="s">
        <v>45</v>
      </c>
      <c r="AE11" s="66"/>
      <c r="AF11" s="67">
        <v>4</v>
      </c>
      <c r="AG11" s="71">
        <v>1</v>
      </c>
      <c r="AH11" s="64">
        <v>4</v>
      </c>
      <c r="AI11" s="64">
        <v>1</v>
      </c>
      <c r="AJ11" s="79" t="s">
        <v>657</v>
      </c>
      <c r="AK11" s="66"/>
      <c r="AL11" s="100"/>
      <c r="AM11" s="100"/>
      <c r="AN11" s="174"/>
      <c r="AO11" s="174"/>
      <c r="AP11" s="100"/>
      <c r="AQ11" s="100"/>
      <c r="AR11" s="100"/>
      <c r="AS11" s="100"/>
      <c r="AT11" s="100"/>
      <c r="AU11" s="100"/>
      <c r="AV11" s="100"/>
      <c r="AW11" s="35"/>
      <c r="AX11" s="35"/>
      <c r="AY11" s="35"/>
      <c r="AZ11" s="35"/>
      <c r="BA11" s="35"/>
    </row>
    <row r="12" spans="1:53" ht="15.75" x14ac:dyDescent="0.25">
      <c r="A12" s="62">
        <v>8</v>
      </c>
      <c r="B12" s="63">
        <v>0</v>
      </c>
      <c r="C12" s="64">
        <v>4</v>
      </c>
      <c r="D12" s="64">
        <v>1</v>
      </c>
      <c r="E12" s="65" t="s">
        <v>344</v>
      </c>
      <c r="F12" s="66"/>
      <c r="G12" s="67">
        <v>2</v>
      </c>
      <c r="H12" s="64">
        <v>2</v>
      </c>
      <c r="I12" s="64">
        <v>2</v>
      </c>
      <c r="J12" s="64">
        <v>4</v>
      </c>
      <c r="K12" s="68" t="s">
        <v>262</v>
      </c>
      <c r="L12" s="66"/>
      <c r="M12" s="69">
        <v>5</v>
      </c>
      <c r="N12" s="64">
        <v>3</v>
      </c>
      <c r="O12" s="64">
        <v>0</v>
      </c>
      <c r="P12" s="64">
        <v>1</v>
      </c>
      <c r="Q12" s="108" t="s">
        <v>588</v>
      </c>
      <c r="R12" s="71" t="s">
        <v>658</v>
      </c>
      <c r="S12" s="66"/>
      <c r="T12" s="67">
        <v>1</v>
      </c>
      <c r="U12" s="71">
        <v>1</v>
      </c>
      <c r="V12" s="72">
        <v>2</v>
      </c>
      <c r="W12" s="72">
        <v>1</v>
      </c>
      <c r="X12" s="65" t="s">
        <v>567</v>
      </c>
      <c r="Y12" s="66"/>
      <c r="Z12" s="67">
        <v>4</v>
      </c>
      <c r="AA12" s="71">
        <v>0</v>
      </c>
      <c r="AB12" s="64">
        <v>3</v>
      </c>
      <c r="AC12" s="64">
        <v>2</v>
      </c>
      <c r="AD12" s="77" t="s">
        <v>283</v>
      </c>
      <c r="AE12" s="66"/>
      <c r="AF12" s="67">
        <v>4</v>
      </c>
      <c r="AG12" s="71">
        <v>1</v>
      </c>
      <c r="AH12" s="64">
        <v>5</v>
      </c>
      <c r="AI12" s="64">
        <v>1</v>
      </c>
      <c r="AJ12" s="79" t="s">
        <v>659</v>
      </c>
      <c r="AK12" s="66"/>
      <c r="AL12" s="100"/>
      <c r="AM12" s="100"/>
      <c r="AN12" s="174"/>
      <c r="AO12" s="174"/>
      <c r="AP12" s="100"/>
      <c r="AQ12" s="100"/>
      <c r="AR12" s="100"/>
      <c r="AS12" s="100"/>
      <c r="AT12" s="100"/>
      <c r="AU12" s="100"/>
      <c r="AV12" s="100"/>
      <c r="AW12" s="35"/>
      <c r="AX12" s="35"/>
      <c r="AY12" s="35"/>
      <c r="AZ12" s="35"/>
      <c r="BA12" s="35"/>
    </row>
    <row r="13" spans="1:53" ht="15.75" x14ac:dyDescent="0.25">
      <c r="A13" s="62">
        <v>8</v>
      </c>
      <c r="B13" s="63">
        <v>0</v>
      </c>
      <c r="C13" s="64">
        <v>5</v>
      </c>
      <c r="D13" s="64">
        <v>1</v>
      </c>
      <c r="E13" s="65" t="s">
        <v>35</v>
      </c>
      <c r="F13" s="66"/>
      <c r="G13" s="67">
        <v>2</v>
      </c>
      <c r="H13" s="64">
        <v>4</v>
      </c>
      <c r="I13" s="64">
        <v>1</v>
      </c>
      <c r="J13" s="64">
        <v>1</v>
      </c>
      <c r="K13" s="79" t="s">
        <v>218</v>
      </c>
      <c r="L13" s="66"/>
      <c r="M13" s="69">
        <v>5</v>
      </c>
      <c r="N13" s="64">
        <v>3</v>
      </c>
      <c r="O13" s="64">
        <v>0</v>
      </c>
      <c r="P13" s="64">
        <v>2</v>
      </c>
      <c r="Q13" s="108" t="s">
        <v>603</v>
      </c>
      <c r="R13" s="71" t="s">
        <v>637</v>
      </c>
      <c r="S13" s="66"/>
      <c r="T13" s="67">
        <v>1</v>
      </c>
      <c r="U13" s="75">
        <v>1</v>
      </c>
      <c r="V13" s="88">
        <v>2</v>
      </c>
      <c r="W13" s="88">
        <v>2</v>
      </c>
      <c r="X13" s="102" t="s">
        <v>597</v>
      </c>
      <c r="Y13" s="66"/>
      <c r="Z13" s="67">
        <v>4</v>
      </c>
      <c r="AA13" s="71">
        <v>0</v>
      </c>
      <c r="AB13" s="64">
        <v>3</v>
      </c>
      <c r="AC13" s="64">
        <v>3</v>
      </c>
      <c r="AD13" s="77" t="s">
        <v>579</v>
      </c>
      <c r="AE13" s="66"/>
      <c r="AF13" s="81">
        <v>4</v>
      </c>
      <c r="AG13" s="82">
        <v>1</v>
      </c>
      <c r="AH13" s="112">
        <v>6</v>
      </c>
      <c r="AI13" s="112">
        <v>1</v>
      </c>
      <c r="AJ13" s="83" t="s">
        <v>115</v>
      </c>
      <c r="AK13" s="66"/>
      <c r="AL13" s="100"/>
      <c r="AM13" s="100"/>
      <c r="AN13" s="174"/>
      <c r="AO13" s="174"/>
      <c r="AP13" s="100"/>
      <c r="AQ13" s="100"/>
      <c r="AR13" s="100"/>
      <c r="AS13" s="100"/>
      <c r="AT13" s="100"/>
      <c r="AU13" s="100"/>
      <c r="AV13" s="100"/>
      <c r="AW13" s="35"/>
      <c r="AX13" s="35"/>
      <c r="AY13" s="35"/>
      <c r="AZ13" s="35"/>
      <c r="BA13" s="35"/>
    </row>
    <row r="14" spans="1:53" ht="15.75" x14ac:dyDescent="0.25">
      <c r="A14" s="62">
        <v>8</v>
      </c>
      <c r="B14" s="63">
        <v>0</v>
      </c>
      <c r="C14" s="64">
        <v>5</v>
      </c>
      <c r="D14" s="64">
        <v>2</v>
      </c>
      <c r="E14" s="65" t="s">
        <v>587</v>
      </c>
      <c r="F14" s="66"/>
      <c r="G14" s="67">
        <v>2</v>
      </c>
      <c r="H14" s="64">
        <v>4</v>
      </c>
      <c r="I14" s="64">
        <v>1</v>
      </c>
      <c r="J14" s="64">
        <v>2</v>
      </c>
      <c r="K14" s="79" t="s">
        <v>584</v>
      </c>
      <c r="L14" s="66"/>
      <c r="M14" s="113">
        <v>5</v>
      </c>
      <c r="N14" s="93">
        <v>4</v>
      </c>
      <c r="O14" s="93">
        <v>0</v>
      </c>
      <c r="P14" s="93">
        <v>1</v>
      </c>
      <c r="Q14" s="114" t="s">
        <v>563</v>
      </c>
      <c r="R14" s="71" t="s">
        <v>660</v>
      </c>
      <c r="S14" s="66"/>
      <c r="T14" s="67">
        <v>1</v>
      </c>
      <c r="U14" s="75">
        <v>1</v>
      </c>
      <c r="V14" s="88">
        <v>3</v>
      </c>
      <c r="W14" s="88">
        <v>1</v>
      </c>
      <c r="X14" s="102" t="s">
        <v>607</v>
      </c>
      <c r="Y14" s="66"/>
      <c r="Z14" s="67">
        <v>4</v>
      </c>
      <c r="AA14" s="71">
        <v>0</v>
      </c>
      <c r="AB14" s="64">
        <v>3</v>
      </c>
      <c r="AC14" s="64">
        <v>4</v>
      </c>
      <c r="AD14" s="77" t="s">
        <v>661</v>
      </c>
      <c r="AE14" s="66"/>
      <c r="AF14" s="96">
        <v>4</v>
      </c>
      <c r="AG14" s="97">
        <v>1</v>
      </c>
      <c r="AH14" s="98">
        <v>6</v>
      </c>
      <c r="AI14" s="98">
        <v>2</v>
      </c>
      <c r="AJ14" s="115" t="s">
        <v>417</v>
      </c>
      <c r="AK14" s="66"/>
      <c r="AL14" s="100"/>
      <c r="AM14" s="100"/>
      <c r="AN14" s="174"/>
      <c r="AO14" s="174"/>
      <c r="AP14" s="100"/>
      <c r="AQ14" s="100"/>
      <c r="AR14" s="100"/>
      <c r="AS14" s="100"/>
      <c r="AT14" s="100"/>
      <c r="AU14" s="100"/>
      <c r="AV14" s="100"/>
      <c r="AW14" s="35"/>
      <c r="AX14" s="35"/>
      <c r="AY14" s="35"/>
      <c r="AZ14" s="35"/>
      <c r="BA14" s="35"/>
    </row>
    <row r="15" spans="1:53" ht="15.75" x14ac:dyDescent="0.25">
      <c r="A15" s="62">
        <v>8</v>
      </c>
      <c r="B15" s="63">
        <v>0</v>
      </c>
      <c r="C15" s="64">
        <v>5</v>
      </c>
      <c r="D15" s="64">
        <v>3</v>
      </c>
      <c r="E15" s="65" t="s">
        <v>609</v>
      </c>
      <c r="F15" s="66"/>
      <c r="G15" s="67">
        <v>2</v>
      </c>
      <c r="H15" s="64">
        <v>4</v>
      </c>
      <c r="I15" s="64">
        <v>1</v>
      </c>
      <c r="J15" s="116">
        <v>3</v>
      </c>
      <c r="K15" s="117" t="s">
        <v>662</v>
      </c>
      <c r="L15" s="66"/>
      <c r="M15" s="66"/>
      <c r="N15" s="66"/>
      <c r="O15" s="118"/>
      <c r="P15" s="118"/>
      <c r="Q15" s="66"/>
      <c r="R15" s="66"/>
      <c r="S15" s="66"/>
      <c r="T15" s="67">
        <v>1</v>
      </c>
      <c r="U15" s="75">
        <v>1</v>
      </c>
      <c r="V15" s="88">
        <v>3</v>
      </c>
      <c r="W15" s="88">
        <v>2</v>
      </c>
      <c r="X15" s="102" t="s">
        <v>586</v>
      </c>
      <c r="Y15" s="66"/>
      <c r="Z15" s="67">
        <v>4</v>
      </c>
      <c r="AA15" s="71">
        <v>0</v>
      </c>
      <c r="AB15" s="64">
        <v>4</v>
      </c>
      <c r="AC15" s="64">
        <v>1</v>
      </c>
      <c r="AD15" s="77" t="s">
        <v>67</v>
      </c>
      <c r="AE15" s="66"/>
      <c r="AF15" s="66"/>
      <c r="AG15" s="66"/>
      <c r="AH15" s="118"/>
      <c r="AI15" s="118"/>
      <c r="AJ15" s="66"/>
      <c r="AK15" s="66"/>
      <c r="AL15" s="100"/>
      <c r="AM15" s="100"/>
      <c r="AN15" s="174"/>
      <c r="AO15" s="174"/>
      <c r="AP15" s="100"/>
      <c r="AQ15" s="100"/>
      <c r="AR15" s="100"/>
      <c r="AS15" s="100"/>
      <c r="AT15" s="100"/>
      <c r="AU15" s="100"/>
      <c r="AV15" s="100"/>
      <c r="AW15" s="35"/>
      <c r="AX15" s="35"/>
      <c r="AY15" s="35"/>
      <c r="AZ15" s="35"/>
      <c r="BA15" s="35"/>
    </row>
    <row r="16" spans="1:53" ht="15.75" x14ac:dyDescent="0.25">
      <c r="A16" s="62">
        <v>8</v>
      </c>
      <c r="B16" s="63">
        <v>0</v>
      </c>
      <c r="C16" s="64">
        <v>5</v>
      </c>
      <c r="D16" s="64">
        <v>4</v>
      </c>
      <c r="E16" s="65" t="s">
        <v>663</v>
      </c>
      <c r="F16" s="66"/>
      <c r="G16" s="67">
        <v>2</v>
      </c>
      <c r="H16" s="64">
        <v>4</v>
      </c>
      <c r="I16" s="87">
        <v>2</v>
      </c>
      <c r="J16" s="64">
        <v>1</v>
      </c>
      <c r="K16" s="79" t="s">
        <v>481</v>
      </c>
      <c r="L16" s="66"/>
      <c r="M16" s="100"/>
      <c r="N16" s="100"/>
      <c r="O16" s="103"/>
      <c r="P16" s="103"/>
      <c r="Q16" s="100"/>
      <c r="R16" s="100"/>
      <c r="S16" s="66"/>
      <c r="T16" s="67">
        <v>1</v>
      </c>
      <c r="U16" s="75">
        <v>1</v>
      </c>
      <c r="V16" s="88">
        <v>4</v>
      </c>
      <c r="W16" s="88">
        <v>1</v>
      </c>
      <c r="X16" s="102" t="s">
        <v>590</v>
      </c>
      <c r="Y16" s="66"/>
      <c r="Z16" s="67">
        <v>4</v>
      </c>
      <c r="AA16" s="71">
        <v>0</v>
      </c>
      <c r="AB16" s="64">
        <v>4</v>
      </c>
      <c r="AC16" s="64">
        <v>2</v>
      </c>
      <c r="AD16" s="77" t="s">
        <v>562</v>
      </c>
      <c r="AE16" s="66"/>
      <c r="AF16" s="100"/>
      <c r="AG16" s="100"/>
      <c r="AH16" s="103"/>
      <c r="AI16" s="103"/>
      <c r="AJ16" s="100"/>
      <c r="AK16" s="100"/>
      <c r="AL16" s="100"/>
      <c r="AM16" s="100"/>
      <c r="AN16" s="174"/>
      <c r="AO16" s="174"/>
      <c r="AP16" s="100"/>
      <c r="AQ16" s="100"/>
      <c r="AR16" s="100"/>
      <c r="AS16" s="100"/>
      <c r="AT16" s="100"/>
      <c r="AU16" s="100"/>
      <c r="AV16" s="100"/>
      <c r="AW16" s="35"/>
      <c r="AX16" s="35"/>
      <c r="AY16" s="35"/>
      <c r="AZ16" s="35"/>
      <c r="BA16" s="35"/>
    </row>
    <row r="17" spans="1:53" ht="15.75" x14ac:dyDescent="0.25">
      <c r="A17" s="62">
        <v>8</v>
      </c>
      <c r="B17" s="63">
        <v>0</v>
      </c>
      <c r="C17" s="64">
        <v>6</v>
      </c>
      <c r="D17" s="64">
        <v>1</v>
      </c>
      <c r="E17" s="65" t="s">
        <v>573</v>
      </c>
      <c r="F17" s="66"/>
      <c r="G17" s="67">
        <v>2</v>
      </c>
      <c r="H17" s="64">
        <v>4</v>
      </c>
      <c r="I17" s="87">
        <v>3</v>
      </c>
      <c r="J17" s="64">
        <v>1</v>
      </c>
      <c r="K17" s="79" t="s">
        <v>617</v>
      </c>
      <c r="L17" s="66"/>
      <c r="M17" s="100"/>
      <c r="N17" s="100"/>
      <c r="O17" s="103"/>
      <c r="P17" s="103"/>
      <c r="Q17" s="100" t="s">
        <v>147</v>
      </c>
      <c r="R17" s="100"/>
      <c r="S17" s="66"/>
      <c r="T17" s="67">
        <v>1</v>
      </c>
      <c r="U17" s="75">
        <v>1</v>
      </c>
      <c r="V17" s="88">
        <v>5</v>
      </c>
      <c r="W17" s="88">
        <v>1</v>
      </c>
      <c r="X17" s="102" t="s">
        <v>246</v>
      </c>
      <c r="Y17" s="66"/>
      <c r="Z17" s="67">
        <v>4</v>
      </c>
      <c r="AA17" s="71">
        <v>0</v>
      </c>
      <c r="AB17" s="64">
        <v>4</v>
      </c>
      <c r="AC17" s="64">
        <v>3</v>
      </c>
      <c r="AD17" s="77" t="s">
        <v>494</v>
      </c>
      <c r="AE17" s="66"/>
      <c r="AF17" s="100"/>
      <c r="AG17" s="100"/>
      <c r="AH17" s="103"/>
      <c r="AI17" s="103"/>
      <c r="AJ17" s="100"/>
      <c r="AK17" s="100"/>
      <c r="AL17" s="100"/>
      <c r="AM17" s="100"/>
      <c r="AN17" s="174"/>
      <c r="AO17" s="174"/>
      <c r="AP17" s="100"/>
      <c r="AQ17" s="100"/>
      <c r="AR17" s="100"/>
      <c r="AS17" s="100"/>
      <c r="AT17" s="100"/>
      <c r="AU17" s="100"/>
      <c r="AV17" s="100"/>
      <c r="AW17" s="35"/>
      <c r="AX17" s="35"/>
      <c r="AY17" s="35"/>
      <c r="AZ17" s="35"/>
      <c r="BA17" s="35"/>
    </row>
    <row r="18" spans="1:53" ht="15.75" x14ac:dyDescent="0.25">
      <c r="A18" s="62">
        <v>8</v>
      </c>
      <c r="B18" s="63">
        <v>0</v>
      </c>
      <c r="C18" s="64">
        <v>7</v>
      </c>
      <c r="D18" s="64">
        <v>1</v>
      </c>
      <c r="E18" s="65" t="s">
        <v>213</v>
      </c>
      <c r="F18" s="66"/>
      <c r="G18" s="67">
        <v>2</v>
      </c>
      <c r="H18" s="64">
        <v>4</v>
      </c>
      <c r="I18" s="87">
        <v>4</v>
      </c>
      <c r="J18" s="64">
        <v>1</v>
      </c>
      <c r="K18" s="79" t="s">
        <v>412</v>
      </c>
      <c r="L18" s="66"/>
      <c r="M18" s="100"/>
      <c r="N18" s="100"/>
      <c r="O18" s="103"/>
      <c r="P18" s="103"/>
      <c r="Q18" s="100" t="s">
        <v>594</v>
      </c>
      <c r="R18" s="100"/>
      <c r="S18" s="66"/>
      <c r="T18" s="67">
        <v>1</v>
      </c>
      <c r="U18" s="75">
        <v>1</v>
      </c>
      <c r="V18" s="88">
        <v>5</v>
      </c>
      <c r="W18" s="88">
        <v>2</v>
      </c>
      <c r="X18" s="102" t="s">
        <v>616</v>
      </c>
      <c r="Y18" s="66"/>
      <c r="Z18" s="67">
        <v>4</v>
      </c>
      <c r="AA18" s="71">
        <v>0</v>
      </c>
      <c r="AB18" s="64">
        <v>5</v>
      </c>
      <c r="AC18" s="64">
        <v>1</v>
      </c>
      <c r="AD18" s="77" t="s">
        <v>664</v>
      </c>
      <c r="AE18" s="66"/>
      <c r="AF18" s="100"/>
      <c r="AG18" s="100"/>
      <c r="AH18" s="103"/>
      <c r="AI18" s="103"/>
      <c r="AJ18" s="100"/>
      <c r="AK18" s="100"/>
      <c r="AL18" s="100"/>
      <c r="AM18" s="100"/>
      <c r="AN18" s="174"/>
      <c r="AO18" s="174"/>
      <c r="AP18" s="100"/>
      <c r="AQ18" s="100"/>
      <c r="AR18" s="100"/>
      <c r="AS18" s="100"/>
      <c r="AT18" s="100"/>
      <c r="AU18" s="100"/>
      <c r="AV18" s="100"/>
      <c r="AW18" s="35"/>
      <c r="AX18" s="35"/>
      <c r="AY18" s="35"/>
      <c r="AZ18" s="35"/>
      <c r="BA18" s="35"/>
    </row>
    <row r="19" spans="1:53" ht="15.75" x14ac:dyDescent="0.25">
      <c r="A19" s="62">
        <v>8</v>
      </c>
      <c r="B19" s="63">
        <v>0</v>
      </c>
      <c r="C19" s="64">
        <v>8</v>
      </c>
      <c r="D19" s="64">
        <v>1</v>
      </c>
      <c r="E19" s="65" t="s">
        <v>401</v>
      </c>
      <c r="F19" s="66"/>
      <c r="G19" s="67">
        <v>2</v>
      </c>
      <c r="H19" s="64">
        <v>4</v>
      </c>
      <c r="I19" s="87">
        <v>5</v>
      </c>
      <c r="J19" s="64">
        <v>1</v>
      </c>
      <c r="K19" s="79" t="s">
        <v>665</v>
      </c>
      <c r="L19" s="66"/>
      <c r="M19" s="100"/>
      <c r="N19" s="100"/>
      <c r="O19" s="103"/>
      <c r="P19" s="103"/>
      <c r="Q19" s="100" t="s">
        <v>588</v>
      </c>
      <c r="R19" s="100"/>
      <c r="S19" s="66"/>
      <c r="T19" s="67">
        <v>1</v>
      </c>
      <c r="U19" s="75">
        <v>1</v>
      </c>
      <c r="V19" s="88">
        <v>5</v>
      </c>
      <c r="W19" s="88">
        <v>3</v>
      </c>
      <c r="X19" s="102" t="s">
        <v>598</v>
      </c>
      <c r="Y19" s="66"/>
      <c r="Z19" s="91">
        <v>4</v>
      </c>
      <c r="AA19" s="92">
        <v>0</v>
      </c>
      <c r="AB19" s="93">
        <v>5</v>
      </c>
      <c r="AC19" s="93">
        <v>2</v>
      </c>
      <c r="AD19" s="119" t="s">
        <v>666</v>
      </c>
      <c r="AE19" s="66"/>
      <c r="AF19" s="100"/>
      <c r="AG19" s="100"/>
      <c r="AH19" s="103"/>
      <c r="AI19" s="103"/>
      <c r="AJ19" s="100"/>
      <c r="AK19" s="100"/>
      <c r="AL19" s="100"/>
      <c r="AM19" s="100"/>
      <c r="AN19" s="174"/>
      <c r="AO19" s="174"/>
      <c r="AP19" s="100"/>
      <c r="AQ19" s="100"/>
      <c r="AR19" s="100"/>
      <c r="AS19" s="100"/>
      <c r="AT19" s="100"/>
      <c r="AU19" s="100"/>
      <c r="AV19" s="100"/>
      <c r="AW19" s="35"/>
      <c r="AX19" s="35"/>
      <c r="AY19" s="35"/>
      <c r="AZ19" s="35"/>
      <c r="BA19" s="35"/>
    </row>
    <row r="20" spans="1:53" ht="15.75" x14ac:dyDescent="0.25">
      <c r="A20" s="62">
        <v>8</v>
      </c>
      <c r="B20" s="63">
        <v>0</v>
      </c>
      <c r="C20" s="64">
        <v>8</v>
      </c>
      <c r="D20" s="64">
        <v>2</v>
      </c>
      <c r="E20" s="65" t="s">
        <v>508</v>
      </c>
      <c r="F20" s="66"/>
      <c r="G20" s="67">
        <v>2</v>
      </c>
      <c r="H20" s="64">
        <v>4</v>
      </c>
      <c r="I20" s="87">
        <v>6</v>
      </c>
      <c r="J20" s="64">
        <v>1</v>
      </c>
      <c r="K20" s="79" t="s">
        <v>292</v>
      </c>
      <c r="L20" s="66"/>
      <c r="M20" s="100"/>
      <c r="N20" s="100"/>
      <c r="O20" s="103"/>
      <c r="P20" s="103"/>
      <c r="Q20" s="100" t="s">
        <v>563</v>
      </c>
      <c r="R20" s="100"/>
      <c r="S20" s="66"/>
      <c r="T20" s="67">
        <v>1</v>
      </c>
      <c r="U20" s="75">
        <v>1</v>
      </c>
      <c r="V20" s="88">
        <v>5</v>
      </c>
      <c r="W20" s="88">
        <v>4</v>
      </c>
      <c r="X20" s="102" t="s">
        <v>581</v>
      </c>
      <c r="Y20" s="66"/>
      <c r="Z20" s="66"/>
      <c r="AA20" s="66"/>
      <c r="AB20" s="118"/>
      <c r="AC20" s="118"/>
      <c r="AD20" s="66"/>
      <c r="AE20" s="66"/>
      <c r="AF20" s="100"/>
      <c r="AG20" s="100"/>
      <c r="AH20" s="103"/>
      <c r="AI20" s="103"/>
      <c r="AJ20" s="100"/>
      <c r="AK20" s="100"/>
      <c r="AL20" s="100"/>
      <c r="AM20" s="100"/>
      <c r="AN20" s="174"/>
      <c r="AO20" s="174"/>
      <c r="AP20" s="100"/>
      <c r="AQ20" s="100"/>
      <c r="AR20" s="100"/>
      <c r="AS20" s="100"/>
      <c r="AT20" s="100"/>
      <c r="AU20" s="100"/>
      <c r="AV20" s="100"/>
      <c r="AW20" s="35"/>
      <c r="AX20" s="35"/>
      <c r="AY20" s="35"/>
      <c r="AZ20" s="35"/>
      <c r="BA20" s="35"/>
    </row>
    <row r="21" spans="1:53" ht="15.75" x14ac:dyDescent="0.25">
      <c r="A21" s="62">
        <v>8</v>
      </c>
      <c r="B21" s="63">
        <v>0</v>
      </c>
      <c r="C21" s="64">
        <v>8</v>
      </c>
      <c r="D21" s="64">
        <v>3</v>
      </c>
      <c r="E21" s="120" t="s">
        <v>606</v>
      </c>
      <c r="F21" s="66"/>
      <c r="G21" s="67">
        <v>2</v>
      </c>
      <c r="H21" s="64">
        <v>0</v>
      </c>
      <c r="I21" s="87">
        <v>1</v>
      </c>
      <c r="J21" s="64">
        <v>0</v>
      </c>
      <c r="K21" s="78" t="s">
        <v>619</v>
      </c>
      <c r="L21" s="66"/>
      <c r="M21" s="100"/>
      <c r="N21" s="100"/>
      <c r="O21" s="103"/>
      <c r="P21" s="103"/>
      <c r="Q21" s="100"/>
      <c r="R21" s="100"/>
      <c r="S21" s="66"/>
      <c r="T21" s="67">
        <v>1</v>
      </c>
      <c r="U21" s="75">
        <v>1</v>
      </c>
      <c r="V21" s="88">
        <v>6</v>
      </c>
      <c r="W21" s="88">
        <v>1</v>
      </c>
      <c r="X21" s="102" t="s">
        <v>456</v>
      </c>
      <c r="Y21" s="66"/>
      <c r="Z21" s="100"/>
      <c r="AA21" s="100"/>
      <c r="AB21" s="103"/>
      <c r="AC21" s="103"/>
      <c r="AD21" s="100"/>
      <c r="AE21" s="100"/>
      <c r="AF21" s="100"/>
      <c r="AG21" s="100"/>
      <c r="AH21" s="103"/>
      <c r="AI21" s="103"/>
      <c r="AJ21" s="100"/>
      <c r="AK21" s="100"/>
      <c r="AL21" s="100"/>
      <c r="AM21" s="100"/>
      <c r="AN21" s="190"/>
      <c r="AO21" s="190"/>
      <c r="AP21" s="100"/>
      <c r="AQ21" s="100"/>
      <c r="AR21" s="100"/>
      <c r="AS21" s="100"/>
      <c r="AT21" s="100"/>
      <c r="AU21" s="100"/>
      <c r="AV21" s="100"/>
      <c r="AW21" s="35"/>
      <c r="AX21" s="35"/>
      <c r="AY21" s="35"/>
      <c r="AZ21" s="35"/>
      <c r="BA21" s="35"/>
    </row>
    <row r="22" spans="1:53" ht="15.75" x14ac:dyDescent="0.25">
      <c r="A22" s="62">
        <v>8</v>
      </c>
      <c r="B22" s="63">
        <v>0</v>
      </c>
      <c r="C22" s="64">
        <v>8</v>
      </c>
      <c r="D22" s="64">
        <v>4</v>
      </c>
      <c r="E22" s="120" t="s">
        <v>605</v>
      </c>
      <c r="F22" s="66"/>
      <c r="G22" s="67">
        <v>2</v>
      </c>
      <c r="H22" s="64">
        <v>0</v>
      </c>
      <c r="I22" s="87">
        <v>2</v>
      </c>
      <c r="J22" s="64">
        <v>0</v>
      </c>
      <c r="K22" s="78" t="s">
        <v>613</v>
      </c>
      <c r="L22" s="66"/>
      <c r="M22" s="100"/>
      <c r="N22" s="100"/>
      <c r="O22" s="103"/>
      <c r="P22" s="103"/>
      <c r="Q22" s="100"/>
      <c r="R22" s="100"/>
      <c r="S22" s="66"/>
      <c r="T22" s="67">
        <v>1</v>
      </c>
      <c r="U22" s="75">
        <v>1</v>
      </c>
      <c r="V22" s="88">
        <v>6</v>
      </c>
      <c r="W22" s="88">
        <v>2</v>
      </c>
      <c r="X22" s="102" t="s">
        <v>570</v>
      </c>
      <c r="Y22" s="66"/>
      <c r="Z22" s="100"/>
      <c r="AA22" s="100"/>
      <c r="AB22" s="103"/>
      <c r="AC22" s="103"/>
      <c r="AD22" s="100"/>
      <c r="AE22" s="100"/>
      <c r="AF22" s="100"/>
      <c r="AG22" s="100"/>
      <c r="AH22" s="103"/>
      <c r="AI22" s="103"/>
      <c r="AJ22" s="100"/>
      <c r="AK22" s="100"/>
      <c r="AL22" s="100"/>
      <c r="AM22" s="100"/>
      <c r="AN22" s="174"/>
      <c r="AO22" s="174"/>
      <c r="AP22" s="100"/>
      <c r="AQ22" s="100"/>
      <c r="AR22" s="100"/>
      <c r="AS22" s="100"/>
      <c r="AT22" s="100"/>
      <c r="AU22" s="100"/>
      <c r="AV22" s="100"/>
      <c r="AW22" s="35"/>
      <c r="AX22" s="35"/>
      <c r="AY22" s="35"/>
      <c r="AZ22" s="35"/>
      <c r="BA22" s="35"/>
    </row>
    <row r="23" spans="1:53" ht="15.75" x14ac:dyDescent="0.25">
      <c r="A23" s="62">
        <v>8</v>
      </c>
      <c r="B23" s="63">
        <v>0</v>
      </c>
      <c r="C23" s="64">
        <v>0</v>
      </c>
      <c r="D23" s="64">
        <v>1</v>
      </c>
      <c r="E23" s="73" t="s">
        <v>601</v>
      </c>
      <c r="F23" s="66"/>
      <c r="G23" s="67">
        <v>2</v>
      </c>
      <c r="H23" s="64">
        <v>0</v>
      </c>
      <c r="I23" s="87">
        <v>2</v>
      </c>
      <c r="J23" s="64">
        <v>1</v>
      </c>
      <c r="K23" s="78" t="s">
        <v>175</v>
      </c>
      <c r="L23" s="66"/>
      <c r="M23" s="100"/>
      <c r="N23" s="100"/>
      <c r="O23" s="103"/>
      <c r="P23" s="103"/>
      <c r="Q23" s="100"/>
      <c r="R23" s="100"/>
      <c r="S23" s="66"/>
      <c r="T23" s="67">
        <v>1</v>
      </c>
      <c r="U23" s="75">
        <v>3</v>
      </c>
      <c r="V23" s="88">
        <v>1</v>
      </c>
      <c r="W23" s="88">
        <v>1</v>
      </c>
      <c r="X23" s="89" t="s">
        <v>582</v>
      </c>
      <c r="Y23" s="66"/>
      <c r="Z23" s="100"/>
      <c r="AA23" s="100"/>
      <c r="AB23" s="103"/>
      <c r="AC23" s="103"/>
      <c r="AD23" s="100"/>
      <c r="AE23" s="100"/>
      <c r="AF23" s="100"/>
      <c r="AG23" s="100"/>
      <c r="AH23" s="103"/>
      <c r="AI23" s="103"/>
      <c r="AJ23" s="100"/>
      <c r="AK23" s="100"/>
      <c r="AL23" s="100"/>
      <c r="AM23" s="100"/>
      <c r="AN23" s="190"/>
      <c r="AO23" s="190"/>
      <c r="AP23" s="100"/>
      <c r="AQ23" s="100"/>
      <c r="AR23" s="100"/>
      <c r="AS23" s="100"/>
      <c r="AT23" s="100"/>
      <c r="AU23" s="100"/>
      <c r="AV23" s="100"/>
      <c r="AW23" s="35"/>
      <c r="AX23" s="35"/>
      <c r="AY23" s="35"/>
      <c r="AZ23" s="35"/>
      <c r="BA23" s="35"/>
    </row>
    <row r="24" spans="1:53" ht="15.75" x14ac:dyDescent="0.25">
      <c r="A24" s="62">
        <v>8</v>
      </c>
      <c r="B24" s="63">
        <v>0</v>
      </c>
      <c r="C24" s="64">
        <v>0</v>
      </c>
      <c r="D24" s="64">
        <v>2</v>
      </c>
      <c r="E24" s="73" t="s">
        <v>422</v>
      </c>
      <c r="F24" s="66"/>
      <c r="G24" s="91">
        <v>2</v>
      </c>
      <c r="H24" s="93">
        <v>0</v>
      </c>
      <c r="I24" s="121">
        <v>3</v>
      </c>
      <c r="J24" s="93">
        <v>0</v>
      </c>
      <c r="K24" s="122" t="s">
        <v>667</v>
      </c>
      <c r="L24" s="66"/>
      <c r="M24" s="100"/>
      <c r="N24" s="100"/>
      <c r="O24" s="103"/>
      <c r="P24" s="103"/>
      <c r="Q24" s="100"/>
      <c r="R24" s="100"/>
      <c r="S24" s="66"/>
      <c r="T24" s="67">
        <v>1</v>
      </c>
      <c r="U24" s="75">
        <v>3</v>
      </c>
      <c r="V24" s="88">
        <v>1</v>
      </c>
      <c r="W24" s="88">
        <v>2</v>
      </c>
      <c r="X24" s="89" t="s">
        <v>336</v>
      </c>
      <c r="Y24" s="66"/>
      <c r="Z24" s="100"/>
      <c r="AA24" s="100"/>
      <c r="AB24" s="103"/>
      <c r="AC24" s="103"/>
      <c r="AD24" s="100"/>
      <c r="AE24" s="100"/>
      <c r="AF24" s="100"/>
      <c r="AG24" s="100"/>
      <c r="AH24" s="103"/>
      <c r="AI24" s="103"/>
      <c r="AJ24" s="100"/>
      <c r="AK24" s="100"/>
      <c r="AL24" s="100"/>
      <c r="AM24" s="100"/>
      <c r="AN24" s="190"/>
      <c r="AO24" s="190"/>
      <c r="AP24" s="100"/>
      <c r="AQ24" s="100"/>
      <c r="AR24" s="100"/>
      <c r="AS24" s="100"/>
      <c r="AT24" s="100"/>
      <c r="AU24" s="100"/>
      <c r="AV24" s="100"/>
      <c r="AW24" s="35"/>
      <c r="AX24" s="35"/>
      <c r="AY24" s="35"/>
      <c r="AZ24" s="35"/>
      <c r="BA24" s="35"/>
    </row>
    <row r="25" spans="1:53" ht="15.75" x14ac:dyDescent="0.25">
      <c r="A25" s="62">
        <v>8</v>
      </c>
      <c r="B25" s="63">
        <v>0</v>
      </c>
      <c r="C25" s="64">
        <v>0</v>
      </c>
      <c r="D25" s="64">
        <v>3</v>
      </c>
      <c r="E25" s="73" t="s">
        <v>596</v>
      </c>
      <c r="F25" s="66"/>
      <c r="G25" s="66"/>
      <c r="H25" s="118"/>
      <c r="I25" s="118"/>
      <c r="J25" s="118"/>
      <c r="K25" s="95"/>
      <c r="L25" s="95"/>
      <c r="M25" s="174"/>
      <c r="N25" s="174"/>
      <c r="O25" s="103"/>
      <c r="P25" s="103"/>
      <c r="Q25" s="100"/>
      <c r="R25" s="100"/>
      <c r="S25" s="66"/>
      <c r="T25" s="67">
        <v>1</v>
      </c>
      <c r="U25" s="75">
        <v>3</v>
      </c>
      <c r="V25" s="88">
        <v>1</v>
      </c>
      <c r="W25" s="88">
        <v>3</v>
      </c>
      <c r="X25" s="89" t="s">
        <v>569</v>
      </c>
      <c r="Y25" s="66"/>
      <c r="Z25" s="100"/>
      <c r="AA25" s="100"/>
      <c r="AB25" s="103"/>
      <c r="AC25" s="103"/>
      <c r="AD25" s="100"/>
      <c r="AE25" s="100"/>
      <c r="AF25" s="100"/>
      <c r="AG25" s="100"/>
      <c r="AH25" s="103"/>
      <c r="AI25" s="103"/>
      <c r="AJ25" s="100"/>
      <c r="AK25" s="100"/>
      <c r="AL25" s="100"/>
      <c r="AM25" s="100"/>
      <c r="AN25" s="190"/>
      <c r="AO25" s="190"/>
      <c r="AP25" s="100"/>
      <c r="AQ25" s="100"/>
      <c r="AR25" s="100"/>
      <c r="AS25" s="100"/>
      <c r="AT25" s="100"/>
      <c r="AU25" s="100"/>
      <c r="AV25" s="100"/>
      <c r="AW25" s="35"/>
      <c r="AX25" s="35"/>
      <c r="AY25" s="35"/>
      <c r="AZ25" s="35"/>
      <c r="BA25" s="35"/>
    </row>
    <row r="26" spans="1:53" ht="15.75" x14ac:dyDescent="0.25">
      <c r="A26" s="62">
        <v>8</v>
      </c>
      <c r="B26" s="63">
        <v>0</v>
      </c>
      <c r="C26" s="64">
        <v>0</v>
      </c>
      <c r="D26" s="64">
        <v>4</v>
      </c>
      <c r="E26" s="73" t="s">
        <v>548</v>
      </c>
      <c r="F26" s="66"/>
      <c r="G26" s="100"/>
      <c r="H26" s="103"/>
      <c r="I26" s="103"/>
      <c r="J26" s="103"/>
      <c r="K26" s="174"/>
      <c r="L26" s="174"/>
      <c r="M26" s="174"/>
      <c r="N26" s="174"/>
      <c r="O26" s="103"/>
      <c r="P26" s="103"/>
      <c r="Q26" s="100"/>
      <c r="R26" s="100"/>
      <c r="S26" s="66"/>
      <c r="T26" s="67">
        <v>1</v>
      </c>
      <c r="U26" s="75">
        <v>3</v>
      </c>
      <c r="V26" s="88">
        <v>3</v>
      </c>
      <c r="W26" s="88">
        <v>3</v>
      </c>
      <c r="X26" s="89" t="s">
        <v>600</v>
      </c>
      <c r="Y26" s="66"/>
      <c r="Z26" s="100"/>
      <c r="AA26" s="100"/>
      <c r="AB26" s="103"/>
      <c r="AC26" s="103"/>
      <c r="AD26" s="100"/>
      <c r="AE26" s="100"/>
      <c r="AF26" s="100"/>
      <c r="AG26" s="100"/>
      <c r="AH26" s="103"/>
      <c r="AI26" s="103"/>
      <c r="AJ26" s="100"/>
      <c r="AK26" s="100"/>
      <c r="AL26" s="100"/>
      <c r="AM26" s="100"/>
      <c r="AN26" s="191"/>
      <c r="AO26" s="191"/>
      <c r="AP26" s="123"/>
      <c r="AQ26" s="123"/>
      <c r="AR26" s="123"/>
      <c r="AS26" s="123"/>
      <c r="AT26" s="123"/>
      <c r="AU26" s="123"/>
      <c r="AV26" s="123"/>
      <c r="AW26" s="35"/>
      <c r="AX26" s="35"/>
      <c r="AY26" s="35"/>
      <c r="AZ26" s="35"/>
      <c r="BA26" s="35"/>
    </row>
    <row r="27" spans="1:53" ht="15.75" x14ac:dyDescent="0.25">
      <c r="A27" s="62">
        <v>8</v>
      </c>
      <c r="B27" s="63">
        <v>0</v>
      </c>
      <c r="C27" s="64">
        <v>0</v>
      </c>
      <c r="D27" s="64">
        <v>5</v>
      </c>
      <c r="E27" s="73" t="s">
        <v>328</v>
      </c>
      <c r="F27" s="66"/>
      <c r="G27" s="100"/>
      <c r="H27" s="103"/>
      <c r="I27" s="103"/>
      <c r="J27" s="103"/>
      <c r="K27" s="174" t="s">
        <v>668</v>
      </c>
      <c r="L27" s="174"/>
      <c r="M27" s="174"/>
      <c r="N27" s="174"/>
      <c r="O27" s="103"/>
      <c r="P27" s="103"/>
      <c r="Q27" s="100"/>
      <c r="R27" s="100"/>
      <c r="S27" s="66"/>
      <c r="T27" s="67">
        <v>1</v>
      </c>
      <c r="U27" s="75">
        <v>3</v>
      </c>
      <c r="V27" s="88">
        <v>3</v>
      </c>
      <c r="W27" s="88">
        <v>4</v>
      </c>
      <c r="X27" s="89" t="s">
        <v>599</v>
      </c>
      <c r="Y27" s="66"/>
      <c r="Z27" s="100"/>
      <c r="AA27" s="100"/>
      <c r="AB27" s="103"/>
      <c r="AC27" s="103"/>
      <c r="AD27" s="100"/>
      <c r="AE27" s="100"/>
      <c r="AF27" s="100"/>
      <c r="AG27" s="100"/>
      <c r="AH27" s="103"/>
      <c r="AI27" s="103"/>
      <c r="AJ27" s="100"/>
      <c r="AK27" s="100"/>
      <c r="AL27" s="100"/>
      <c r="AM27" s="100"/>
      <c r="AN27" s="191"/>
      <c r="AO27" s="191"/>
      <c r="AP27" s="123"/>
      <c r="AQ27" s="123"/>
      <c r="AR27" s="123"/>
      <c r="AS27" s="123"/>
      <c r="AT27" s="123"/>
      <c r="AU27" s="123"/>
      <c r="AV27" s="123"/>
      <c r="AW27" s="35"/>
      <c r="AX27" s="35"/>
      <c r="AY27" s="35"/>
      <c r="AZ27" s="35"/>
      <c r="BA27" s="35"/>
    </row>
    <row r="28" spans="1:53" ht="15.75" x14ac:dyDescent="0.25">
      <c r="A28" s="62">
        <v>8</v>
      </c>
      <c r="B28" s="63">
        <v>0</v>
      </c>
      <c r="C28" s="64">
        <v>0</v>
      </c>
      <c r="D28" s="64">
        <v>6</v>
      </c>
      <c r="E28" s="73" t="s">
        <v>669</v>
      </c>
      <c r="F28" s="66"/>
      <c r="G28" s="100"/>
      <c r="H28" s="124"/>
      <c r="I28" s="124"/>
      <c r="J28" s="191" t="s">
        <v>670</v>
      </c>
      <c r="K28" s="191"/>
      <c r="L28" s="175"/>
      <c r="M28" s="175"/>
      <c r="N28" s="175"/>
      <c r="O28" s="124"/>
      <c r="P28" s="124"/>
      <c r="Q28" s="123"/>
      <c r="R28" s="123"/>
      <c r="S28" s="66"/>
      <c r="T28" s="91">
        <v>1</v>
      </c>
      <c r="U28" s="125">
        <v>3</v>
      </c>
      <c r="V28" s="126">
        <v>3</v>
      </c>
      <c r="W28" s="126">
        <v>5</v>
      </c>
      <c r="X28" s="127" t="s">
        <v>602</v>
      </c>
      <c r="Y28" s="66"/>
      <c r="Z28" s="100"/>
      <c r="AA28" s="100"/>
      <c r="AB28" s="103"/>
      <c r="AC28" s="103"/>
      <c r="AD28" s="100"/>
      <c r="AE28" s="100"/>
      <c r="AF28" s="100"/>
      <c r="AG28" s="100"/>
      <c r="AH28" s="103"/>
      <c r="AI28" s="103"/>
      <c r="AJ28" s="100"/>
      <c r="AK28" s="100"/>
      <c r="AL28" s="100"/>
      <c r="AM28" s="100"/>
      <c r="AN28" s="191"/>
      <c r="AO28" s="191"/>
      <c r="AP28" s="123"/>
      <c r="AQ28" s="123"/>
      <c r="AR28" s="123"/>
      <c r="AS28" s="123"/>
      <c r="AT28" s="123"/>
      <c r="AU28" s="123"/>
      <c r="AV28" s="123"/>
      <c r="AW28" s="35"/>
      <c r="AX28" s="35"/>
      <c r="AY28" s="35"/>
      <c r="AZ28" s="35"/>
      <c r="BA28" s="35"/>
    </row>
    <row r="29" spans="1:53" ht="15.75" x14ac:dyDescent="0.25">
      <c r="A29" s="128">
        <v>8</v>
      </c>
      <c r="B29" s="129">
        <v>0</v>
      </c>
      <c r="C29" s="98">
        <v>0</v>
      </c>
      <c r="D29" s="98">
        <v>7</v>
      </c>
      <c r="E29" s="130" t="s">
        <v>618</v>
      </c>
      <c r="F29" s="66"/>
      <c r="G29" s="100"/>
      <c r="H29" s="124"/>
      <c r="I29" s="124"/>
      <c r="J29" s="175"/>
      <c r="K29" s="175"/>
      <c r="L29" s="175"/>
      <c r="M29" s="175"/>
      <c r="N29" s="175"/>
      <c r="O29" s="124"/>
      <c r="P29" s="124"/>
      <c r="Q29" s="123"/>
      <c r="R29" s="123"/>
      <c r="S29" s="131"/>
      <c r="T29" s="131"/>
      <c r="U29" s="131"/>
      <c r="V29" s="132"/>
      <c r="W29" s="132"/>
      <c r="X29" s="131"/>
      <c r="Y29" s="131"/>
      <c r="Z29" s="100"/>
      <c r="AA29" s="100"/>
      <c r="AB29" s="103"/>
      <c r="AC29" s="103"/>
      <c r="AD29" s="100"/>
      <c r="AE29" s="100"/>
      <c r="AF29" s="100"/>
      <c r="AG29" s="100"/>
      <c r="AH29" s="103"/>
      <c r="AI29" s="103"/>
      <c r="AJ29" s="100"/>
      <c r="AK29" s="100"/>
      <c r="AL29" s="100"/>
      <c r="AM29" s="100"/>
      <c r="AN29" s="175"/>
      <c r="AO29" s="175"/>
      <c r="AP29" s="123"/>
      <c r="AQ29" s="123"/>
      <c r="AR29" s="123"/>
      <c r="AS29" s="123"/>
      <c r="AT29" s="123"/>
      <c r="AU29" s="123"/>
      <c r="AV29" s="123"/>
      <c r="AW29" s="35"/>
      <c r="AX29" s="35"/>
      <c r="AY29" s="35"/>
      <c r="AZ29" s="35"/>
      <c r="BA29" s="35"/>
    </row>
    <row r="30" spans="1:53" x14ac:dyDescent="0.25">
      <c r="A30" s="133"/>
      <c r="B30" s="133"/>
      <c r="C30" s="134"/>
      <c r="D30" s="134"/>
      <c r="E30" s="135"/>
      <c r="F30" s="135"/>
      <c r="G30" s="136"/>
      <c r="H30" s="137"/>
      <c r="I30" s="137"/>
      <c r="J30" s="187"/>
      <c r="K30" s="187"/>
      <c r="L30" s="172"/>
      <c r="M30" s="172"/>
      <c r="N30" s="172"/>
      <c r="O30" s="137"/>
      <c r="P30" s="137"/>
      <c r="Q30" s="138"/>
      <c r="R30" s="138"/>
      <c r="S30" s="138"/>
      <c r="T30" s="138"/>
      <c r="U30" s="138"/>
      <c r="V30" s="137"/>
      <c r="W30" s="137"/>
      <c r="X30" s="138"/>
      <c r="Y30" s="138"/>
      <c r="Z30" s="123"/>
      <c r="AA30" s="123"/>
      <c r="AB30" s="124"/>
      <c r="AC30" s="124"/>
      <c r="AD30" s="123"/>
      <c r="AE30" s="123"/>
      <c r="AF30" s="123"/>
      <c r="AG30" s="123"/>
      <c r="AH30" s="124"/>
      <c r="AI30" s="124"/>
      <c r="AJ30" s="123"/>
      <c r="AK30" s="123"/>
      <c r="AL30" s="123"/>
      <c r="AM30" s="123"/>
      <c r="AN30" s="191"/>
      <c r="AO30" s="191"/>
      <c r="AP30" s="123"/>
      <c r="AQ30" s="123"/>
      <c r="AR30" s="123"/>
      <c r="AS30" s="123"/>
      <c r="AT30" s="123"/>
      <c r="AU30" s="123"/>
      <c r="AV30" s="123"/>
      <c r="AW30" s="35"/>
      <c r="AX30" s="35"/>
      <c r="AY30" s="35"/>
      <c r="AZ30" s="35"/>
      <c r="BA30" s="35"/>
    </row>
    <row r="31" spans="1:53" x14ac:dyDescent="0.25">
      <c r="A31" s="139"/>
      <c r="B31" s="139"/>
      <c r="C31" s="137"/>
      <c r="D31" s="137"/>
      <c r="E31" s="138"/>
      <c r="F31" s="138"/>
      <c r="G31" s="140"/>
      <c r="H31" s="172" t="s">
        <v>671</v>
      </c>
      <c r="I31" s="137"/>
      <c r="J31" s="187"/>
      <c r="K31" s="187"/>
      <c r="L31" s="172"/>
      <c r="M31" s="172"/>
      <c r="N31" s="172"/>
      <c r="O31" s="137"/>
      <c r="P31" s="137"/>
      <c r="Q31" s="138"/>
      <c r="R31" s="138"/>
      <c r="S31" s="138"/>
      <c r="T31" s="138"/>
      <c r="U31" s="138"/>
      <c r="V31" s="137"/>
      <c r="W31" s="137"/>
      <c r="X31" s="138"/>
      <c r="Y31" s="138"/>
      <c r="Z31" s="138"/>
      <c r="AA31" s="138"/>
      <c r="AB31" s="137"/>
      <c r="AC31" s="137"/>
      <c r="AD31" s="138"/>
      <c r="AE31" s="138"/>
      <c r="AF31" s="138"/>
      <c r="AG31" s="138"/>
      <c r="AH31" s="137"/>
      <c r="AI31" s="137"/>
      <c r="AJ31" s="138"/>
      <c r="AK31" s="138"/>
      <c r="AL31" s="138"/>
      <c r="AM31" s="138"/>
      <c r="AN31" s="187"/>
      <c r="AO31" s="187"/>
      <c r="AP31" s="138"/>
      <c r="AQ31" s="138"/>
      <c r="AR31" s="138"/>
      <c r="AS31" s="138"/>
      <c r="AT31" s="138"/>
      <c r="AU31" s="138"/>
      <c r="AV31" s="138"/>
      <c r="AW31" s="139"/>
      <c r="AX31" s="139"/>
      <c r="AY31" s="139"/>
      <c r="AZ31" s="139"/>
      <c r="BA31" s="139"/>
    </row>
    <row r="32" spans="1:53" x14ac:dyDescent="0.25">
      <c r="A32" s="139"/>
      <c r="B32" s="139"/>
      <c r="C32" s="137"/>
      <c r="D32" s="137"/>
      <c r="E32" s="138"/>
      <c r="F32" s="138"/>
      <c r="G32" s="138"/>
      <c r="H32" s="137"/>
      <c r="I32" s="137"/>
      <c r="J32" s="187"/>
      <c r="K32" s="187"/>
      <c r="L32" s="172"/>
      <c r="M32" s="172"/>
      <c r="N32" s="172"/>
      <c r="O32" s="137"/>
      <c r="P32" s="137"/>
      <c r="Q32" s="138"/>
      <c r="R32" s="138"/>
      <c r="S32" s="138"/>
      <c r="T32" s="138"/>
      <c r="U32" s="138"/>
      <c r="V32" s="137"/>
      <c r="W32" s="137"/>
      <c r="X32" s="138"/>
      <c r="Y32" s="138"/>
      <c r="Z32" s="138"/>
      <c r="AA32" s="138"/>
      <c r="AB32" s="137"/>
      <c r="AC32" s="137"/>
      <c r="AD32" s="138"/>
      <c r="AE32" s="138"/>
      <c r="AF32" s="138"/>
      <c r="AG32" s="138"/>
      <c r="AH32" s="137"/>
      <c r="AI32" s="137"/>
      <c r="AJ32" s="138"/>
      <c r="AK32" s="138"/>
      <c r="AL32" s="138"/>
      <c r="AM32" s="138"/>
      <c r="AN32" s="187"/>
      <c r="AO32" s="187"/>
      <c r="AP32" s="138"/>
      <c r="AQ32" s="138"/>
      <c r="AR32" s="138"/>
      <c r="AS32" s="138"/>
      <c r="AT32" s="138"/>
      <c r="AU32" s="138"/>
      <c r="AV32" s="138"/>
      <c r="AW32" s="139"/>
      <c r="AX32" s="139"/>
      <c r="AY32" s="139"/>
      <c r="AZ32" s="139"/>
      <c r="BA32" s="139"/>
    </row>
    <row r="33" spans="1:53" x14ac:dyDescent="0.25">
      <c r="A33" s="139"/>
      <c r="B33" s="139"/>
      <c r="C33" s="137"/>
      <c r="D33" s="137"/>
      <c r="E33" s="138"/>
      <c r="F33" s="138"/>
      <c r="G33" s="138"/>
      <c r="H33" s="139"/>
      <c r="I33" s="139"/>
      <c r="J33" s="141"/>
      <c r="K33" s="139"/>
      <c r="L33" s="139"/>
      <c r="M33" s="139"/>
      <c r="N33" s="139"/>
      <c r="O33" s="137"/>
      <c r="P33" s="137"/>
      <c r="Q33" s="138"/>
      <c r="R33" s="138"/>
      <c r="S33" s="138"/>
      <c r="T33" s="138"/>
      <c r="U33" s="138"/>
      <c r="V33" s="137"/>
      <c r="W33" s="137"/>
      <c r="X33" s="138"/>
      <c r="Y33" s="138"/>
      <c r="Z33" s="138"/>
      <c r="AA33" s="138"/>
      <c r="AB33" s="137"/>
      <c r="AC33" s="137"/>
      <c r="AD33" s="138"/>
      <c r="AE33" s="138"/>
      <c r="AF33" s="138"/>
      <c r="AG33" s="138"/>
      <c r="AH33" s="137"/>
      <c r="AI33" s="137"/>
      <c r="AJ33" s="138"/>
      <c r="AK33" s="138"/>
      <c r="AL33" s="138"/>
      <c r="AM33" s="138"/>
      <c r="AN33" s="187"/>
      <c r="AO33" s="187"/>
      <c r="AP33" s="138"/>
      <c r="AQ33" s="138"/>
      <c r="AR33" s="138"/>
      <c r="AS33" s="138"/>
      <c r="AT33" s="138"/>
      <c r="AU33" s="138"/>
      <c r="AV33" s="138"/>
      <c r="AW33" s="139"/>
      <c r="AX33" s="139"/>
      <c r="AY33" s="139"/>
      <c r="AZ33" s="139"/>
      <c r="BA33" s="139"/>
    </row>
    <row r="34" spans="1:53" x14ac:dyDescent="0.25">
      <c r="A34" s="139"/>
      <c r="B34" s="139"/>
      <c r="C34" s="137"/>
      <c r="D34" s="137"/>
      <c r="E34" s="138"/>
      <c r="F34" s="138"/>
      <c r="G34" s="138"/>
      <c r="H34" s="137"/>
      <c r="I34" s="137"/>
      <c r="J34" s="187"/>
      <c r="K34" s="187"/>
      <c r="L34" s="172"/>
      <c r="M34" s="172"/>
      <c r="N34" s="172"/>
      <c r="O34" s="137"/>
      <c r="P34" s="137"/>
      <c r="Q34" s="138"/>
      <c r="R34" s="138"/>
      <c r="S34" s="138"/>
      <c r="T34" s="138"/>
      <c r="U34" s="138"/>
      <c r="V34" s="137"/>
      <c r="W34" s="137"/>
      <c r="X34" s="138"/>
      <c r="Y34" s="138"/>
      <c r="Z34" s="138"/>
      <c r="AA34" s="138"/>
      <c r="AB34" s="137"/>
      <c r="AC34" s="137"/>
      <c r="AD34" s="138"/>
      <c r="AE34" s="138"/>
      <c r="AF34" s="138"/>
      <c r="AG34" s="138"/>
      <c r="AH34" s="137"/>
      <c r="AI34" s="137"/>
      <c r="AJ34" s="138"/>
      <c r="AK34" s="138"/>
      <c r="AL34" s="138"/>
      <c r="AM34" s="138"/>
      <c r="AN34" s="187"/>
      <c r="AO34" s="187"/>
      <c r="AP34" s="138"/>
      <c r="AQ34" s="138"/>
      <c r="AR34" s="138"/>
      <c r="AS34" s="138"/>
      <c r="AT34" s="138"/>
      <c r="AU34" s="138"/>
      <c r="AV34" s="138"/>
      <c r="AW34" s="139"/>
      <c r="AX34" s="139"/>
      <c r="AY34" s="139"/>
      <c r="AZ34" s="139"/>
      <c r="BA34" s="139"/>
    </row>
    <row r="35" spans="1:53" x14ac:dyDescent="0.25">
      <c r="F35" s="138"/>
      <c r="G35" s="138"/>
      <c r="H35" s="137"/>
      <c r="I35" s="137"/>
      <c r="J35" s="187"/>
      <c r="K35" s="187"/>
      <c r="L35" s="172"/>
      <c r="M35" s="172"/>
      <c r="N35" s="172"/>
      <c r="O35" s="137"/>
      <c r="P35" s="137"/>
      <c r="Q35" s="138"/>
      <c r="R35" s="138"/>
      <c r="S35" s="138"/>
      <c r="T35" s="138"/>
      <c r="U35" s="138"/>
      <c r="V35" s="137"/>
      <c r="W35" s="137"/>
      <c r="X35" s="138"/>
      <c r="Y35" s="138"/>
      <c r="Z35" s="138"/>
      <c r="AA35" s="138"/>
      <c r="AB35" s="137"/>
      <c r="AC35" s="137"/>
      <c r="AD35" s="138"/>
      <c r="AE35" s="138"/>
      <c r="AF35" s="138"/>
      <c r="AG35" s="138"/>
      <c r="AH35" s="137"/>
      <c r="AI35" s="137"/>
      <c r="AJ35" s="138"/>
      <c r="AK35" s="138"/>
      <c r="AL35" s="138"/>
      <c r="AM35" s="138"/>
      <c r="AN35" s="187"/>
      <c r="AO35" s="187"/>
      <c r="AP35" s="138"/>
      <c r="AQ35" s="138"/>
      <c r="AR35" s="138"/>
      <c r="AS35" s="138"/>
      <c r="AT35" s="138"/>
      <c r="AU35" s="138"/>
      <c r="AV35" s="138"/>
      <c r="AW35" s="139"/>
      <c r="AX35" s="139"/>
      <c r="AY35" s="139"/>
      <c r="AZ35" s="139"/>
      <c r="BA35" s="139"/>
    </row>
    <row r="36" spans="1:53" x14ac:dyDescent="0.25">
      <c r="F36" s="138"/>
      <c r="G36" s="138"/>
      <c r="H36" s="137"/>
      <c r="I36" s="137"/>
      <c r="J36" s="172"/>
      <c r="K36" s="172"/>
      <c r="L36" s="172"/>
      <c r="M36" s="172"/>
      <c r="N36" s="172"/>
      <c r="O36" s="137"/>
      <c r="P36" s="137"/>
      <c r="Q36" s="138"/>
      <c r="R36" s="138"/>
      <c r="S36" s="138"/>
      <c r="T36" s="138"/>
      <c r="U36" s="138"/>
      <c r="V36" s="137"/>
      <c r="W36" s="137"/>
      <c r="X36" s="138"/>
      <c r="Y36" s="138"/>
      <c r="Z36" s="138"/>
      <c r="AA36" s="138"/>
      <c r="AB36" s="137"/>
      <c r="AC36" s="137"/>
      <c r="AD36" s="138"/>
      <c r="AE36" s="138"/>
      <c r="AF36" s="138"/>
      <c r="AG36" s="138"/>
      <c r="AH36" s="137"/>
      <c r="AI36" s="137"/>
      <c r="AJ36" s="138"/>
      <c r="AK36" s="138"/>
      <c r="AL36" s="138"/>
      <c r="AM36" s="138"/>
      <c r="AN36" s="187"/>
      <c r="AO36" s="187"/>
      <c r="AP36" s="138"/>
      <c r="AQ36" s="138"/>
      <c r="AR36" s="138"/>
      <c r="AS36" s="138"/>
      <c r="AT36" s="138"/>
      <c r="AU36" s="138"/>
      <c r="AV36" s="138"/>
      <c r="AW36" s="139"/>
      <c r="AX36" s="139"/>
      <c r="AY36" s="139"/>
      <c r="AZ36" s="139"/>
      <c r="BA36" s="139"/>
    </row>
    <row r="37" spans="1:53" x14ac:dyDescent="0.25">
      <c r="F37" s="138"/>
      <c r="G37" s="138"/>
      <c r="H37" s="137"/>
      <c r="I37" s="137"/>
      <c r="J37" s="172"/>
      <c r="K37" s="172"/>
      <c r="L37" s="172"/>
      <c r="M37" s="172"/>
      <c r="N37" s="172"/>
      <c r="O37" s="137"/>
      <c r="P37" s="137"/>
      <c r="Q37" s="138"/>
      <c r="R37" s="138"/>
      <c r="S37" s="138"/>
      <c r="T37" s="138"/>
      <c r="U37" s="138"/>
      <c r="V37" s="137"/>
      <c r="W37" s="137"/>
      <c r="X37" s="138"/>
      <c r="Y37" s="138"/>
      <c r="Z37" s="138"/>
      <c r="AA37" s="138"/>
      <c r="AB37" s="137"/>
      <c r="AC37" s="137"/>
      <c r="AD37" s="138"/>
      <c r="AE37" s="138"/>
      <c r="AF37" s="138"/>
      <c r="AG37" s="138"/>
      <c r="AH37" s="137"/>
      <c r="AI37" s="137"/>
      <c r="AJ37" s="138"/>
      <c r="AK37" s="138"/>
      <c r="AL37" s="138"/>
      <c r="AM37" s="138"/>
      <c r="AN37" s="172"/>
      <c r="AO37" s="172"/>
      <c r="AP37" s="138"/>
      <c r="AQ37" s="138"/>
      <c r="AR37" s="138"/>
      <c r="AS37" s="138"/>
      <c r="AT37" s="138"/>
      <c r="AU37" s="138"/>
      <c r="AV37" s="138"/>
      <c r="AW37" s="139"/>
      <c r="AX37" s="139"/>
      <c r="AY37" s="139"/>
      <c r="AZ37" s="139"/>
      <c r="BA37" s="139"/>
    </row>
  </sheetData>
  <mergeCells count="27">
    <mergeCell ref="AN36:AO36"/>
    <mergeCell ref="J32:K32"/>
    <mergeCell ref="AN32:AO32"/>
    <mergeCell ref="AN33:AO33"/>
    <mergeCell ref="J34:K34"/>
    <mergeCell ref="AN34:AO34"/>
    <mergeCell ref="J35:K35"/>
    <mergeCell ref="AN35:AO35"/>
    <mergeCell ref="J31:K31"/>
    <mergeCell ref="AN31:AO31"/>
    <mergeCell ref="AT1:AV1"/>
    <mergeCell ref="AN21:AO21"/>
    <mergeCell ref="AN23:AO23"/>
    <mergeCell ref="AN24:AO24"/>
    <mergeCell ref="AN25:AO25"/>
    <mergeCell ref="AN26:AO26"/>
    <mergeCell ref="AN1:AP1"/>
    <mergeCell ref="AN27:AO27"/>
    <mergeCell ref="J28:K28"/>
    <mergeCell ref="AN28:AO28"/>
    <mergeCell ref="J30:K30"/>
    <mergeCell ref="AN30:AO30"/>
    <mergeCell ref="C1:E1"/>
    <mergeCell ref="H1:K1"/>
    <mergeCell ref="O1:Q1"/>
    <mergeCell ref="V1:X1"/>
    <mergeCell ref="AH1:A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EA0AF-E119-44D9-BA2E-23825B943F22}">
  <dimension ref="B2:N125"/>
  <sheetViews>
    <sheetView topLeftCell="A130" workbookViewId="0">
      <selection activeCell="J17" sqref="J17"/>
    </sheetView>
  </sheetViews>
  <sheetFormatPr defaultRowHeight="15" x14ac:dyDescent="0.25"/>
  <cols>
    <col min="2" max="2" width="2" bestFit="1" customWidth="1"/>
    <col min="3" max="5" width="2.140625" bestFit="1" customWidth="1"/>
    <col min="6" max="6" width="21.42578125" bestFit="1" customWidth="1"/>
    <col min="7" max="7" width="12.140625" customWidth="1"/>
    <col min="14" max="14" width="18.42578125" bestFit="1" customWidth="1"/>
  </cols>
  <sheetData>
    <row r="2" spans="2:14" ht="15.75" x14ac:dyDescent="0.25">
      <c r="B2" s="36" t="s">
        <v>12</v>
      </c>
      <c r="C2" s="37" t="s">
        <v>13</v>
      </c>
      <c r="D2" s="38" t="s">
        <v>14</v>
      </c>
      <c r="E2" s="38" t="s">
        <v>15</v>
      </c>
      <c r="F2" s="149" t="s">
        <v>633</v>
      </c>
      <c r="G2" s="45" t="s">
        <v>17</v>
      </c>
    </row>
    <row r="3" spans="2:14" ht="15.75" x14ac:dyDescent="0.25">
      <c r="B3" s="62">
        <v>8</v>
      </c>
      <c r="C3" s="63">
        <v>0</v>
      </c>
      <c r="D3" s="64">
        <v>1</v>
      </c>
      <c r="E3" s="64">
        <v>1</v>
      </c>
      <c r="F3" s="150" t="s">
        <v>121</v>
      </c>
      <c r="G3" s="148" t="s">
        <v>637</v>
      </c>
    </row>
    <row r="4" spans="2:14" ht="15.75" x14ac:dyDescent="0.25">
      <c r="B4" s="62">
        <v>8</v>
      </c>
      <c r="C4" s="63">
        <v>0</v>
      </c>
      <c r="D4" s="64">
        <v>1</v>
      </c>
      <c r="E4" s="64">
        <v>2</v>
      </c>
      <c r="F4" s="150" t="s">
        <v>74</v>
      </c>
      <c r="G4" s="148" t="s">
        <v>637</v>
      </c>
      <c r="J4" s="192" t="s">
        <v>622</v>
      </c>
      <c r="K4" s="192"/>
    </row>
    <row r="5" spans="2:14" ht="15.75" x14ac:dyDescent="0.25">
      <c r="B5" s="62">
        <v>8</v>
      </c>
      <c r="C5" s="63">
        <v>0</v>
      </c>
      <c r="D5" s="64">
        <v>1</v>
      </c>
      <c r="E5" s="64">
        <v>3</v>
      </c>
      <c r="F5" s="150" t="s">
        <v>126</v>
      </c>
      <c r="G5" s="148" t="s">
        <v>637</v>
      </c>
      <c r="J5" s="192" t="s">
        <v>623</v>
      </c>
      <c r="K5" s="192"/>
    </row>
    <row r="6" spans="2:14" ht="15.75" x14ac:dyDescent="0.25">
      <c r="B6" s="62">
        <v>8</v>
      </c>
      <c r="C6" s="63">
        <v>0</v>
      </c>
      <c r="D6" s="64">
        <v>2</v>
      </c>
      <c r="E6" s="64">
        <v>1</v>
      </c>
      <c r="F6" s="150" t="s">
        <v>165</v>
      </c>
      <c r="G6" s="148" t="s">
        <v>637</v>
      </c>
      <c r="J6" s="192" t="s">
        <v>624</v>
      </c>
      <c r="K6" s="192"/>
      <c r="N6" t="s">
        <v>622</v>
      </c>
    </row>
    <row r="7" spans="2:14" ht="15.75" x14ac:dyDescent="0.25">
      <c r="B7" s="62">
        <v>8</v>
      </c>
      <c r="C7" s="63">
        <v>0</v>
      </c>
      <c r="D7" s="64">
        <v>2</v>
      </c>
      <c r="E7" s="64">
        <v>2</v>
      </c>
      <c r="F7" s="150" t="s">
        <v>389</v>
      </c>
      <c r="G7" s="148" t="s">
        <v>637</v>
      </c>
      <c r="J7" s="192" t="s">
        <v>672</v>
      </c>
      <c r="K7" s="192"/>
      <c r="N7" t="s">
        <v>623</v>
      </c>
    </row>
    <row r="8" spans="2:14" ht="15.75" x14ac:dyDescent="0.25">
      <c r="B8" s="62">
        <v>8</v>
      </c>
      <c r="C8" s="63">
        <v>0</v>
      </c>
      <c r="D8" s="64">
        <v>2</v>
      </c>
      <c r="E8" s="64">
        <v>3</v>
      </c>
      <c r="F8" s="150" t="s">
        <v>202</v>
      </c>
      <c r="G8" s="148" t="s">
        <v>637</v>
      </c>
      <c r="J8" s="192" t="s">
        <v>673</v>
      </c>
      <c r="K8" s="192"/>
      <c r="N8" t="s">
        <v>624</v>
      </c>
    </row>
    <row r="9" spans="2:14" ht="15.75" x14ac:dyDescent="0.25">
      <c r="B9" s="62">
        <v>8</v>
      </c>
      <c r="C9" s="63">
        <v>0</v>
      </c>
      <c r="D9" s="64">
        <v>3</v>
      </c>
      <c r="E9" s="64">
        <v>1</v>
      </c>
      <c r="F9" s="150" t="s">
        <v>28</v>
      </c>
      <c r="G9" s="148" t="s">
        <v>637</v>
      </c>
      <c r="N9" t="s">
        <v>674</v>
      </c>
    </row>
    <row r="10" spans="2:14" ht="15.75" x14ac:dyDescent="0.25">
      <c r="B10" s="62">
        <v>8</v>
      </c>
      <c r="C10" s="63">
        <v>0</v>
      </c>
      <c r="D10" s="64">
        <v>3</v>
      </c>
      <c r="E10" s="64">
        <v>2</v>
      </c>
      <c r="F10" s="150" t="s">
        <v>561</v>
      </c>
      <c r="G10" s="148" t="s">
        <v>637</v>
      </c>
      <c r="N10" t="s">
        <v>673</v>
      </c>
    </row>
    <row r="11" spans="2:14" ht="15.75" x14ac:dyDescent="0.25">
      <c r="B11" s="62">
        <v>8</v>
      </c>
      <c r="C11" s="63">
        <v>0</v>
      </c>
      <c r="D11" s="64">
        <v>3</v>
      </c>
      <c r="E11" s="64">
        <v>3</v>
      </c>
      <c r="F11" s="150" t="s">
        <v>277</v>
      </c>
      <c r="G11" s="148" t="s">
        <v>637</v>
      </c>
    </row>
    <row r="12" spans="2:14" ht="15.75" x14ac:dyDescent="0.25">
      <c r="B12" s="62">
        <v>8</v>
      </c>
      <c r="C12" s="63">
        <v>0</v>
      </c>
      <c r="D12" s="64">
        <v>4</v>
      </c>
      <c r="E12" s="64">
        <v>1</v>
      </c>
      <c r="F12" s="150" t="s">
        <v>344</v>
      </c>
      <c r="G12" s="148" t="s">
        <v>637</v>
      </c>
    </row>
    <row r="13" spans="2:14" ht="15.75" x14ac:dyDescent="0.25">
      <c r="B13" s="62">
        <v>8</v>
      </c>
      <c r="C13" s="63">
        <v>0</v>
      </c>
      <c r="D13" s="64">
        <v>5</v>
      </c>
      <c r="E13" s="64">
        <v>1</v>
      </c>
      <c r="F13" s="150" t="s">
        <v>35</v>
      </c>
      <c r="G13" s="148" t="s">
        <v>637</v>
      </c>
      <c r="J13" t="s">
        <v>27</v>
      </c>
    </row>
    <row r="14" spans="2:14" ht="15.75" x14ac:dyDescent="0.25">
      <c r="B14" s="62">
        <v>8</v>
      </c>
      <c r="C14" s="63">
        <v>0</v>
      </c>
      <c r="D14" s="64">
        <v>5</v>
      </c>
      <c r="E14" s="64">
        <v>2</v>
      </c>
      <c r="F14" s="150" t="s">
        <v>587</v>
      </c>
      <c r="G14" s="148" t="s">
        <v>637</v>
      </c>
      <c r="J14" t="s">
        <v>44</v>
      </c>
    </row>
    <row r="15" spans="2:14" ht="15.75" x14ac:dyDescent="0.25">
      <c r="B15" s="62">
        <v>8</v>
      </c>
      <c r="C15" s="63">
        <v>0</v>
      </c>
      <c r="D15" s="64">
        <v>5</v>
      </c>
      <c r="E15" s="64">
        <v>3</v>
      </c>
      <c r="F15" s="150" t="s">
        <v>609</v>
      </c>
      <c r="G15" s="148" t="s">
        <v>637</v>
      </c>
      <c r="J15" t="s">
        <v>108</v>
      </c>
    </row>
    <row r="16" spans="2:14" ht="15.75" x14ac:dyDescent="0.25">
      <c r="B16" s="62">
        <v>8</v>
      </c>
      <c r="C16" s="63">
        <v>0</v>
      </c>
      <c r="D16" s="64">
        <v>5</v>
      </c>
      <c r="E16" s="64">
        <v>4</v>
      </c>
      <c r="F16" s="150" t="s">
        <v>94</v>
      </c>
      <c r="G16" s="148" t="s">
        <v>637</v>
      </c>
      <c r="J16" t="s">
        <v>81</v>
      </c>
    </row>
    <row r="17" spans="2:10" ht="15.75" x14ac:dyDescent="0.25">
      <c r="B17" s="62">
        <v>8</v>
      </c>
      <c r="C17" s="63">
        <v>0</v>
      </c>
      <c r="D17" s="64">
        <v>6</v>
      </c>
      <c r="E17" s="64">
        <v>1</v>
      </c>
      <c r="F17" s="150" t="s">
        <v>573</v>
      </c>
      <c r="G17" s="148" t="s">
        <v>637</v>
      </c>
      <c r="J17" t="s">
        <v>60</v>
      </c>
    </row>
    <row r="18" spans="2:10" ht="15.75" x14ac:dyDescent="0.25">
      <c r="B18" s="62">
        <v>8</v>
      </c>
      <c r="C18" s="63">
        <v>0</v>
      </c>
      <c r="D18" s="64">
        <v>7</v>
      </c>
      <c r="E18" s="64">
        <v>1</v>
      </c>
      <c r="F18" s="150" t="s">
        <v>213</v>
      </c>
      <c r="G18" s="148" t="s">
        <v>637</v>
      </c>
      <c r="J18" t="s">
        <v>148</v>
      </c>
    </row>
    <row r="19" spans="2:10" ht="15.75" x14ac:dyDescent="0.25">
      <c r="B19" s="62">
        <v>8</v>
      </c>
      <c r="C19" s="63">
        <v>0</v>
      </c>
      <c r="D19" s="64">
        <v>8</v>
      </c>
      <c r="E19" s="64">
        <v>1</v>
      </c>
      <c r="F19" s="150" t="s">
        <v>401</v>
      </c>
      <c r="G19" s="148" t="s">
        <v>637</v>
      </c>
      <c r="J19" t="s">
        <v>176</v>
      </c>
    </row>
    <row r="20" spans="2:10" ht="15.75" x14ac:dyDescent="0.25">
      <c r="B20" s="62">
        <v>8</v>
      </c>
      <c r="C20" s="63">
        <v>0</v>
      </c>
      <c r="D20" s="64">
        <v>8</v>
      </c>
      <c r="E20" s="64">
        <v>2</v>
      </c>
      <c r="F20" s="150" t="s">
        <v>508</v>
      </c>
      <c r="G20" s="148" t="s">
        <v>637</v>
      </c>
      <c r="J20" t="s">
        <v>576</v>
      </c>
    </row>
    <row r="21" spans="2:10" ht="15.75" x14ac:dyDescent="0.25">
      <c r="B21" s="62">
        <v>8</v>
      </c>
      <c r="C21" s="63">
        <v>0</v>
      </c>
      <c r="D21" s="64">
        <v>8</v>
      </c>
      <c r="E21" s="64">
        <v>3</v>
      </c>
      <c r="F21" s="151" t="s">
        <v>606</v>
      </c>
      <c r="G21" s="148" t="s">
        <v>637</v>
      </c>
      <c r="J21" t="s">
        <v>564</v>
      </c>
    </row>
    <row r="22" spans="2:10" ht="15.75" x14ac:dyDescent="0.25">
      <c r="B22" s="62">
        <v>8</v>
      </c>
      <c r="C22" s="63">
        <v>0</v>
      </c>
      <c r="D22" s="64">
        <v>8</v>
      </c>
      <c r="E22" s="64">
        <v>4</v>
      </c>
      <c r="F22" s="151" t="s">
        <v>605</v>
      </c>
      <c r="G22" s="148" t="s">
        <v>637</v>
      </c>
    </row>
    <row r="23" spans="2:10" ht="15.75" x14ac:dyDescent="0.25">
      <c r="B23" s="62">
        <v>8</v>
      </c>
      <c r="C23" s="63">
        <v>0</v>
      </c>
      <c r="D23" s="64">
        <v>0</v>
      </c>
      <c r="E23" s="64">
        <v>1</v>
      </c>
      <c r="F23" s="152" t="s">
        <v>601</v>
      </c>
      <c r="G23" s="148" t="s">
        <v>637</v>
      </c>
    </row>
    <row r="24" spans="2:10" ht="15.75" x14ac:dyDescent="0.25">
      <c r="B24" s="62">
        <v>8</v>
      </c>
      <c r="C24" s="63">
        <v>0</v>
      </c>
      <c r="D24" s="64">
        <v>0</v>
      </c>
      <c r="E24" s="64">
        <v>2</v>
      </c>
      <c r="F24" s="152" t="s">
        <v>422</v>
      </c>
      <c r="G24" s="148" t="s">
        <v>637</v>
      </c>
    </row>
    <row r="25" spans="2:10" ht="15.75" x14ac:dyDescent="0.25">
      <c r="B25" s="62">
        <v>8</v>
      </c>
      <c r="C25" s="63">
        <v>0</v>
      </c>
      <c r="D25" s="64">
        <v>0</v>
      </c>
      <c r="E25" s="64">
        <v>3</v>
      </c>
      <c r="F25" s="152" t="s">
        <v>596</v>
      </c>
      <c r="G25" s="148" t="s">
        <v>637</v>
      </c>
    </row>
    <row r="26" spans="2:10" ht="15.75" x14ac:dyDescent="0.25">
      <c r="B26" s="62">
        <v>8</v>
      </c>
      <c r="C26" s="63">
        <v>0</v>
      </c>
      <c r="D26" s="64">
        <v>0</v>
      </c>
      <c r="E26" s="64">
        <v>4</v>
      </c>
      <c r="F26" s="152" t="s">
        <v>548</v>
      </c>
      <c r="G26" s="148" t="s">
        <v>637</v>
      </c>
    </row>
    <row r="27" spans="2:10" ht="15.75" x14ac:dyDescent="0.25">
      <c r="B27" s="62">
        <v>8</v>
      </c>
      <c r="C27" s="63">
        <v>0</v>
      </c>
      <c r="D27" s="64">
        <v>0</v>
      </c>
      <c r="E27" s="64">
        <v>5</v>
      </c>
      <c r="F27" s="152" t="s">
        <v>328</v>
      </c>
      <c r="G27" s="148" t="s">
        <v>637</v>
      </c>
    </row>
    <row r="28" spans="2:10" ht="15.75" x14ac:dyDescent="0.25">
      <c r="B28" s="62">
        <v>8</v>
      </c>
      <c r="C28" s="63">
        <v>0</v>
      </c>
      <c r="D28" s="64">
        <v>0</v>
      </c>
      <c r="E28" s="64">
        <v>6</v>
      </c>
      <c r="F28" s="152" t="s">
        <v>669</v>
      </c>
      <c r="G28" s="148" t="s">
        <v>637</v>
      </c>
    </row>
    <row r="29" spans="2:10" ht="15.75" x14ac:dyDescent="0.25">
      <c r="B29" s="128">
        <v>8</v>
      </c>
      <c r="C29" s="129">
        <v>0</v>
      </c>
      <c r="D29" s="98">
        <v>0</v>
      </c>
      <c r="E29" s="98">
        <v>7</v>
      </c>
      <c r="F29" s="153" t="s">
        <v>618</v>
      </c>
      <c r="G29" s="148" t="s">
        <v>637</v>
      </c>
    </row>
    <row r="30" spans="2:10" ht="15.75" x14ac:dyDescent="0.25">
      <c r="B30" s="67">
        <v>2</v>
      </c>
      <c r="C30" s="64">
        <v>1</v>
      </c>
      <c r="D30" s="64">
        <v>1</v>
      </c>
      <c r="E30" s="64">
        <v>5</v>
      </c>
      <c r="F30" s="154" t="s">
        <v>568</v>
      </c>
      <c r="G30" s="148" t="s">
        <v>637</v>
      </c>
    </row>
    <row r="31" spans="2:10" ht="15.75" x14ac:dyDescent="0.25">
      <c r="B31" s="67">
        <v>2</v>
      </c>
      <c r="C31" s="64">
        <v>1</v>
      </c>
      <c r="D31" s="87">
        <v>1</v>
      </c>
      <c r="E31" s="64">
        <v>4</v>
      </c>
      <c r="F31" s="154" t="s">
        <v>566</v>
      </c>
      <c r="G31" s="148" t="s">
        <v>675</v>
      </c>
    </row>
    <row r="32" spans="2:10" ht="15.75" x14ac:dyDescent="0.25">
      <c r="B32" s="67">
        <v>2</v>
      </c>
      <c r="C32" s="64">
        <v>1</v>
      </c>
      <c r="D32" s="64">
        <v>1</v>
      </c>
      <c r="E32" s="64">
        <v>3</v>
      </c>
      <c r="F32" s="154" t="s">
        <v>593</v>
      </c>
      <c r="G32" s="148" t="s">
        <v>637</v>
      </c>
    </row>
    <row r="33" spans="2:7" ht="15.75" x14ac:dyDescent="0.25">
      <c r="B33" s="67">
        <v>2</v>
      </c>
      <c r="C33" s="64">
        <v>1</v>
      </c>
      <c r="D33" s="64">
        <v>1</v>
      </c>
      <c r="E33" s="64">
        <v>2</v>
      </c>
      <c r="F33" s="154" t="s">
        <v>182</v>
      </c>
      <c r="G33" s="148" t="s">
        <v>637</v>
      </c>
    </row>
    <row r="34" spans="2:7" ht="15.75" x14ac:dyDescent="0.25">
      <c r="B34" s="67">
        <v>2</v>
      </c>
      <c r="C34" s="64">
        <v>1</v>
      </c>
      <c r="D34" s="64">
        <v>1</v>
      </c>
      <c r="E34" s="64">
        <v>1</v>
      </c>
      <c r="F34" s="154" t="s">
        <v>575</v>
      </c>
      <c r="G34" s="148" t="s">
        <v>637</v>
      </c>
    </row>
    <row r="35" spans="2:7" ht="15.75" x14ac:dyDescent="0.25">
      <c r="B35" s="67">
        <v>2</v>
      </c>
      <c r="C35" s="64">
        <v>2</v>
      </c>
      <c r="D35" s="64">
        <v>2</v>
      </c>
      <c r="E35" s="64">
        <v>1</v>
      </c>
      <c r="F35" s="154" t="s">
        <v>649</v>
      </c>
      <c r="G35" s="148" t="s">
        <v>637</v>
      </c>
    </row>
    <row r="36" spans="2:7" ht="15.75" x14ac:dyDescent="0.25">
      <c r="B36" s="67">
        <v>2</v>
      </c>
      <c r="C36" s="64">
        <v>2</v>
      </c>
      <c r="D36" s="64">
        <v>2</v>
      </c>
      <c r="E36" s="64">
        <v>2</v>
      </c>
      <c r="F36" s="154" t="s">
        <v>181</v>
      </c>
      <c r="G36" s="148" t="s">
        <v>637</v>
      </c>
    </row>
    <row r="37" spans="2:7" ht="15.75" x14ac:dyDescent="0.25">
      <c r="B37" s="67">
        <v>2</v>
      </c>
      <c r="C37" s="64">
        <v>2</v>
      </c>
      <c r="D37" s="64">
        <v>2</v>
      </c>
      <c r="E37" s="64">
        <v>3</v>
      </c>
      <c r="F37" s="154" t="s">
        <v>578</v>
      </c>
      <c r="G37" s="148" t="s">
        <v>637</v>
      </c>
    </row>
    <row r="38" spans="2:7" ht="15.75" x14ac:dyDescent="0.25">
      <c r="B38" s="67">
        <v>2</v>
      </c>
      <c r="C38" s="64">
        <v>3</v>
      </c>
      <c r="D38" s="64">
        <v>0</v>
      </c>
      <c r="E38" s="64">
        <v>1</v>
      </c>
      <c r="F38" s="154" t="s">
        <v>503</v>
      </c>
      <c r="G38" s="148" t="s">
        <v>676</v>
      </c>
    </row>
    <row r="39" spans="2:7" ht="15.75" x14ac:dyDescent="0.25">
      <c r="B39" s="67">
        <v>2</v>
      </c>
      <c r="C39" s="64">
        <v>2</v>
      </c>
      <c r="D39" s="64">
        <v>2</v>
      </c>
      <c r="E39" s="64">
        <v>4</v>
      </c>
      <c r="F39" s="154" t="s">
        <v>262</v>
      </c>
      <c r="G39" s="148" t="s">
        <v>675</v>
      </c>
    </row>
    <row r="40" spans="2:7" ht="15.75" x14ac:dyDescent="0.25">
      <c r="B40" s="67">
        <v>2</v>
      </c>
      <c r="C40" s="64">
        <v>4</v>
      </c>
      <c r="D40" s="64">
        <v>1</v>
      </c>
      <c r="E40" s="64">
        <v>1</v>
      </c>
      <c r="F40" s="70" t="s">
        <v>218</v>
      </c>
      <c r="G40" s="148" t="s">
        <v>677</v>
      </c>
    </row>
    <row r="41" spans="2:7" ht="15.75" x14ac:dyDescent="0.25">
      <c r="B41" s="67">
        <v>2</v>
      </c>
      <c r="C41" s="64">
        <v>4</v>
      </c>
      <c r="D41" s="64">
        <v>1</v>
      </c>
      <c r="E41" s="64">
        <v>2</v>
      </c>
      <c r="F41" s="70" t="s">
        <v>584</v>
      </c>
      <c r="G41" s="148" t="s">
        <v>677</v>
      </c>
    </row>
    <row r="42" spans="2:7" ht="15.75" x14ac:dyDescent="0.25">
      <c r="B42" s="67">
        <v>2</v>
      </c>
      <c r="C42" s="64">
        <v>4</v>
      </c>
      <c r="D42" s="64">
        <v>1</v>
      </c>
      <c r="E42" s="116">
        <v>3</v>
      </c>
      <c r="F42" s="155" t="s">
        <v>662</v>
      </c>
      <c r="G42" s="148" t="s">
        <v>678</v>
      </c>
    </row>
    <row r="43" spans="2:7" ht="15.75" x14ac:dyDescent="0.25">
      <c r="B43" s="67">
        <v>2</v>
      </c>
      <c r="C43" s="64">
        <v>4</v>
      </c>
      <c r="D43" s="87">
        <v>2</v>
      </c>
      <c r="E43" s="64">
        <v>1</v>
      </c>
      <c r="F43" s="70" t="s">
        <v>481</v>
      </c>
      <c r="G43" s="148" t="s">
        <v>678</v>
      </c>
    </row>
    <row r="44" spans="2:7" ht="15.75" x14ac:dyDescent="0.25">
      <c r="B44" s="67">
        <v>2</v>
      </c>
      <c r="C44" s="64">
        <v>4</v>
      </c>
      <c r="D44" s="87">
        <v>3</v>
      </c>
      <c r="E44" s="64">
        <v>1</v>
      </c>
      <c r="F44" s="70" t="s">
        <v>617</v>
      </c>
      <c r="G44" s="148" t="s">
        <v>678</v>
      </c>
    </row>
    <row r="45" spans="2:7" ht="15.75" x14ac:dyDescent="0.25">
      <c r="B45" s="67">
        <v>2</v>
      </c>
      <c r="C45" s="64">
        <v>4</v>
      </c>
      <c r="D45" s="87">
        <v>4</v>
      </c>
      <c r="E45" s="64">
        <v>1</v>
      </c>
      <c r="F45" s="70" t="s">
        <v>412</v>
      </c>
      <c r="G45" s="148" t="s">
        <v>678</v>
      </c>
    </row>
    <row r="46" spans="2:7" ht="15.75" x14ac:dyDescent="0.25">
      <c r="B46" s="67">
        <v>2</v>
      </c>
      <c r="C46" s="64">
        <v>4</v>
      </c>
      <c r="D46" s="87">
        <v>5</v>
      </c>
      <c r="E46" s="64">
        <v>1</v>
      </c>
      <c r="F46" s="70" t="s">
        <v>665</v>
      </c>
      <c r="G46" s="148" t="s">
        <v>678</v>
      </c>
    </row>
    <row r="47" spans="2:7" ht="15.75" x14ac:dyDescent="0.25">
      <c r="B47" s="67">
        <v>2</v>
      </c>
      <c r="C47" s="64">
        <v>4</v>
      </c>
      <c r="D47" s="87">
        <v>6</v>
      </c>
      <c r="E47" s="64">
        <v>1</v>
      </c>
      <c r="F47" s="70" t="s">
        <v>292</v>
      </c>
      <c r="G47" s="148" t="s">
        <v>678</v>
      </c>
    </row>
    <row r="48" spans="2:7" ht="15.75" x14ac:dyDescent="0.25">
      <c r="B48" s="67">
        <v>2</v>
      </c>
      <c r="C48" s="64">
        <v>0</v>
      </c>
      <c r="D48" s="87">
        <v>1</v>
      </c>
      <c r="E48" s="64">
        <v>0</v>
      </c>
      <c r="F48" s="108" t="s">
        <v>619</v>
      </c>
      <c r="G48" s="148" t="s">
        <v>637</v>
      </c>
    </row>
    <row r="49" spans="2:7" ht="15.75" x14ac:dyDescent="0.25">
      <c r="B49" s="67">
        <v>2</v>
      </c>
      <c r="C49" s="64">
        <v>0</v>
      </c>
      <c r="D49" s="87">
        <v>2</v>
      </c>
      <c r="E49" s="64">
        <v>0</v>
      </c>
      <c r="F49" s="108" t="s">
        <v>613</v>
      </c>
      <c r="G49" s="148" t="s">
        <v>637</v>
      </c>
    </row>
    <row r="50" spans="2:7" ht="15.75" x14ac:dyDescent="0.25">
      <c r="B50" s="67">
        <v>2</v>
      </c>
      <c r="C50" s="64">
        <v>0</v>
      </c>
      <c r="D50" s="87">
        <v>2</v>
      </c>
      <c r="E50" s="64">
        <v>1</v>
      </c>
      <c r="F50" s="108" t="s">
        <v>175</v>
      </c>
      <c r="G50" s="148" t="s">
        <v>637</v>
      </c>
    </row>
    <row r="51" spans="2:7" ht="15.75" x14ac:dyDescent="0.25">
      <c r="B51" s="91">
        <v>2</v>
      </c>
      <c r="C51" s="93">
        <v>0</v>
      </c>
      <c r="D51" s="121">
        <v>3</v>
      </c>
      <c r="E51" s="93">
        <v>0</v>
      </c>
      <c r="F51" s="114" t="s">
        <v>667</v>
      </c>
      <c r="G51" s="148" t="s">
        <v>637</v>
      </c>
    </row>
    <row r="52" spans="2:7" ht="15.75" x14ac:dyDescent="0.25">
      <c r="B52" s="69">
        <v>5</v>
      </c>
      <c r="C52" s="64">
        <v>0</v>
      </c>
      <c r="D52" s="64">
        <v>1</v>
      </c>
      <c r="E52" s="64">
        <v>1</v>
      </c>
      <c r="F52" s="70" t="s">
        <v>149</v>
      </c>
      <c r="G52" s="71" t="s">
        <v>637</v>
      </c>
    </row>
    <row r="53" spans="2:7" ht="15.75" x14ac:dyDescent="0.25">
      <c r="B53" s="69">
        <v>5</v>
      </c>
      <c r="C53" s="64">
        <v>0</v>
      </c>
      <c r="D53" s="64">
        <v>2</v>
      </c>
      <c r="E53" s="64">
        <v>1</v>
      </c>
      <c r="F53" s="70" t="s">
        <v>615</v>
      </c>
      <c r="G53" s="71" t="s">
        <v>637</v>
      </c>
    </row>
    <row r="54" spans="2:7" ht="15.75" x14ac:dyDescent="0.25">
      <c r="B54" s="69">
        <v>5</v>
      </c>
      <c r="C54" s="64">
        <v>0</v>
      </c>
      <c r="D54" s="64">
        <v>3</v>
      </c>
      <c r="E54" s="64">
        <v>1</v>
      </c>
      <c r="F54" s="70" t="s">
        <v>610</v>
      </c>
      <c r="G54" s="71" t="s">
        <v>637</v>
      </c>
    </row>
    <row r="55" spans="2:7" ht="15.75" x14ac:dyDescent="0.25">
      <c r="B55" s="69">
        <v>5</v>
      </c>
      <c r="C55" s="64">
        <v>1</v>
      </c>
      <c r="D55" s="64">
        <v>1</v>
      </c>
      <c r="E55" s="64">
        <v>1</v>
      </c>
      <c r="F55" s="70" t="s">
        <v>591</v>
      </c>
      <c r="G55" s="71" t="s">
        <v>637</v>
      </c>
    </row>
    <row r="56" spans="2:7" ht="15.75" x14ac:dyDescent="0.25">
      <c r="B56" s="69">
        <v>5</v>
      </c>
      <c r="C56" s="64">
        <v>1</v>
      </c>
      <c r="D56" s="64">
        <v>1</v>
      </c>
      <c r="E56" s="64">
        <v>2</v>
      </c>
      <c r="F56" s="70" t="s">
        <v>594</v>
      </c>
      <c r="G56" s="71" t="s">
        <v>637</v>
      </c>
    </row>
    <row r="57" spans="2:7" ht="15.75" x14ac:dyDescent="0.25">
      <c r="B57" s="69">
        <v>5</v>
      </c>
      <c r="C57" s="64">
        <v>1</v>
      </c>
      <c r="D57" s="64">
        <v>2</v>
      </c>
      <c r="E57" s="64">
        <v>1</v>
      </c>
      <c r="F57" s="70" t="s">
        <v>650</v>
      </c>
      <c r="G57" s="71" t="s">
        <v>637</v>
      </c>
    </row>
    <row r="58" spans="2:7" ht="15.75" x14ac:dyDescent="0.25">
      <c r="B58" s="69">
        <v>5</v>
      </c>
      <c r="C58" s="64">
        <v>1</v>
      </c>
      <c r="D58" s="64">
        <v>2</v>
      </c>
      <c r="E58" s="64">
        <v>2</v>
      </c>
      <c r="F58" s="70" t="s">
        <v>652</v>
      </c>
      <c r="G58" s="71" t="s">
        <v>637</v>
      </c>
    </row>
    <row r="59" spans="2:7" ht="15.75" x14ac:dyDescent="0.25">
      <c r="B59" s="69">
        <v>5</v>
      </c>
      <c r="C59" s="64">
        <v>1</v>
      </c>
      <c r="D59" s="64">
        <v>3</v>
      </c>
      <c r="E59" s="64">
        <v>1</v>
      </c>
      <c r="F59" s="70" t="s">
        <v>604</v>
      </c>
      <c r="G59" s="71" t="s">
        <v>637</v>
      </c>
    </row>
    <row r="60" spans="2:7" ht="15.75" x14ac:dyDescent="0.25">
      <c r="B60" s="69">
        <v>5</v>
      </c>
      <c r="C60" s="64">
        <v>2</v>
      </c>
      <c r="D60" s="64">
        <v>3</v>
      </c>
      <c r="E60" s="64">
        <v>1</v>
      </c>
      <c r="F60" s="108" t="s">
        <v>377</v>
      </c>
      <c r="G60" s="71" t="s">
        <v>637</v>
      </c>
    </row>
    <row r="61" spans="2:7" ht="15.75" x14ac:dyDescent="0.25">
      <c r="B61" s="69">
        <v>5</v>
      </c>
      <c r="C61" s="64">
        <v>3</v>
      </c>
      <c r="D61" s="64">
        <v>0</v>
      </c>
      <c r="E61" s="64">
        <v>1</v>
      </c>
      <c r="F61" s="108" t="s">
        <v>588</v>
      </c>
      <c r="G61" s="71" t="s">
        <v>658</v>
      </c>
    </row>
    <row r="62" spans="2:7" ht="15.75" x14ac:dyDescent="0.25">
      <c r="B62" s="69">
        <v>5</v>
      </c>
      <c r="C62" s="64">
        <v>3</v>
      </c>
      <c r="D62" s="64">
        <v>0</v>
      </c>
      <c r="E62" s="64">
        <v>2</v>
      </c>
      <c r="F62" s="108" t="s">
        <v>603</v>
      </c>
      <c r="G62" s="71" t="s">
        <v>637</v>
      </c>
    </row>
    <row r="63" spans="2:7" ht="15.75" x14ac:dyDescent="0.25">
      <c r="B63" s="113">
        <v>5</v>
      </c>
      <c r="C63" s="93">
        <v>4</v>
      </c>
      <c r="D63" s="93">
        <v>0</v>
      </c>
      <c r="E63" s="93">
        <v>1</v>
      </c>
      <c r="F63" s="114" t="s">
        <v>563</v>
      </c>
      <c r="G63" s="71" t="s">
        <v>660</v>
      </c>
    </row>
    <row r="64" spans="2:7" ht="15.75" x14ac:dyDescent="0.25">
      <c r="B64" s="67">
        <v>1</v>
      </c>
      <c r="C64" s="71">
        <v>0</v>
      </c>
      <c r="D64" s="72">
        <v>0</v>
      </c>
      <c r="E64" s="72">
        <v>1</v>
      </c>
      <c r="F64" s="152" t="s">
        <v>638</v>
      </c>
      <c r="G64" s="148" t="s">
        <v>637</v>
      </c>
    </row>
    <row r="65" spans="2:7" ht="15.75" x14ac:dyDescent="0.25">
      <c r="B65" s="67">
        <v>1</v>
      </c>
      <c r="C65" s="75">
        <v>0</v>
      </c>
      <c r="D65" s="88">
        <v>0</v>
      </c>
      <c r="E65" s="88">
        <v>2</v>
      </c>
      <c r="F65" s="156" t="s">
        <v>79</v>
      </c>
      <c r="G65" s="148" t="s">
        <v>637</v>
      </c>
    </row>
    <row r="66" spans="2:7" ht="15.75" x14ac:dyDescent="0.25">
      <c r="B66" s="67">
        <v>1</v>
      </c>
      <c r="C66" s="75">
        <v>0</v>
      </c>
      <c r="D66" s="88">
        <v>1</v>
      </c>
      <c r="E66" s="88">
        <v>5</v>
      </c>
      <c r="F66" s="156" t="s">
        <v>574</v>
      </c>
      <c r="G66" s="148" t="s">
        <v>637</v>
      </c>
    </row>
    <row r="67" spans="2:7" ht="15.75" x14ac:dyDescent="0.25">
      <c r="B67" s="67">
        <v>1</v>
      </c>
      <c r="C67" s="75">
        <v>0</v>
      </c>
      <c r="D67" s="88">
        <v>4</v>
      </c>
      <c r="E67" s="88">
        <v>2</v>
      </c>
      <c r="F67" s="156" t="s">
        <v>577</v>
      </c>
      <c r="G67" s="148" t="s">
        <v>637</v>
      </c>
    </row>
    <row r="68" spans="2:7" ht="15.75" x14ac:dyDescent="0.25">
      <c r="B68" s="67">
        <v>1</v>
      </c>
      <c r="C68" s="75">
        <v>0</v>
      </c>
      <c r="D68" s="88">
        <v>5</v>
      </c>
      <c r="E68" s="88">
        <v>4</v>
      </c>
      <c r="F68" s="156" t="s">
        <v>592</v>
      </c>
      <c r="G68" s="148" t="s">
        <v>637</v>
      </c>
    </row>
    <row r="69" spans="2:7" ht="15.75" x14ac:dyDescent="0.25">
      <c r="B69" s="67">
        <v>1</v>
      </c>
      <c r="C69" s="75">
        <v>1</v>
      </c>
      <c r="D69" s="88">
        <v>1</v>
      </c>
      <c r="E69" s="88">
        <v>1</v>
      </c>
      <c r="F69" s="157" t="s">
        <v>430</v>
      </c>
      <c r="G69" s="148" t="s">
        <v>637</v>
      </c>
    </row>
    <row r="70" spans="2:7" ht="15.75" x14ac:dyDescent="0.25">
      <c r="B70" s="67">
        <v>1</v>
      </c>
      <c r="C70" s="75">
        <v>1</v>
      </c>
      <c r="D70" s="88">
        <v>1</v>
      </c>
      <c r="E70" s="88">
        <v>2</v>
      </c>
      <c r="F70" s="157" t="s">
        <v>589</v>
      </c>
      <c r="G70" s="148" t="s">
        <v>637</v>
      </c>
    </row>
    <row r="71" spans="2:7" ht="15.75" x14ac:dyDescent="0.25">
      <c r="B71" s="67">
        <v>1</v>
      </c>
      <c r="C71" s="75">
        <v>1</v>
      </c>
      <c r="D71" s="88">
        <v>1</v>
      </c>
      <c r="E71" s="88">
        <v>3</v>
      </c>
      <c r="F71" s="157" t="s">
        <v>655</v>
      </c>
      <c r="G71" s="148" t="s">
        <v>637</v>
      </c>
    </row>
    <row r="72" spans="2:7" ht="15.75" x14ac:dyDescent="0.25">
      <c r="B72" s="67">
        <v>1</v>
      </c>
      <c r="C72" s="109">
        <v>1</v>
      </c>
      <c r="D72" s="110">
        <v>1</v>
      </c>
      <c r="E72" s="110">
        <v>4</v>
      </c>
      <c r="F72" s="158" t="s">
        <v>656</v>
      </c>
      <c r="G72" s="148" t="s">
        <v>637</v>
      </c>
    </row>
    <row r="73" spans="2:7" ht="15.75" x14ac:dyDescent="0.25">
      <c r="B73" s="67">
        <v>1</v>
      </c>
      <c r="C73" s="71">
        <v>1</v>
      </c>
      <c r="D73" s="72">
        <v>2</v>
      </c>
      <c r="E73" s="72">
        <v>1</v>
      </c>
      <c r="F73" s="150" t="s">
        <v>567</v>
      </c>
      <c r="G73" s="148" t="s">
        <v>637</v>
      </c>
    </row>
    <row r="74" spans="2:7" ht="15.75" x14ac:dyDescent="0.25">
      <c r="B74" s="67">
        <v>1</v>
      </c>
      <c r="C74" s="75">
        <v>1</v>
      </c>
      <c r="D74" s="88">
        <v>2</v>
      </c>
      <c r="E74" s="88">
        <v>2</v>
      </c>
      <c r="F74" s="157" t="s">
        <v>597</v>
      </c>
      <c r="G74" s="148" t="s">
        <v>637</v>
      </c>
    </row>
    <row r="75" spans="2:7" ht="15.75" x14ac:dyDescent="0.25">
      <c r="B75" s="67">
        <v>1</v>
      </c>
      <c r="C75" s="75">
        <v>1</v>
      </c>
      <c r="D75" s="88">
        <v>3</v>
      </c>
      <c r="E75" s="88">
        <v>1</v>
      </c>
      <c r="F75" s="157" t="s">
        <v>607</v>
      </c>
      <c r="G75" s="148" t="s">
        <v>637</v>
      </c>
    </row>
    <row r="76" spans="2:7" ht="15.75" x14ac:dyDescent="0.25">
      <c r="B76" s="67">
        <v>1</v>
      </c>
      <c r="C76" s="75">
        <v>1</v>
      </c>
      <c r="D76" s="88">
        <v>3</v>
      </c>
      <c r="E76" s="88">
        <v>2</v>
      </c>
      <c r="F76" s="157" t="s">
        <v>586</v>
      </c>
      <c r="G76" s="148" t="s">
        <v>637</v>
      </c>
    </row>
    <row r="77" spans="2:7" ht="15.75" x14ac:dyDescent="0.25">
      <c r="B77" s="67">
        <v>1</v>
      </c>
      <c r="C77" s="75">
        <v>1</v>
      </c>
      <c r="D77" s="88">
        <v>4</v>
      </c>
      <c r="E77" s="88">
        <v>1</v>
      </c>
      <c r="F77" s="157" t="s">
        <v>590</v>
      </c>
      <c r="G77" s="148" t="s">
        <v>637</v>
      </c>
    </row>
    <row r="78" spans="2:7" ht="15.75" x14ac:dyDescent="0.25">
      <c r="B78" s="67">
        <v>1</v>
      </c>
      <c r="C78" s="75">
        <v>1</v>
      </c>
      <c r="D78" s="88">
        <v>5</v>
      </c>
      <c r="E78" s="88">
        <v>1</v>
      </c>
      <c r="F78" s="157" t="s">
        <v>246</v>
      </c>
      <c r="G78" s="148" t="s">
        <v>637</v>
      </c>
    </row>
    <row r="79" spans="2:7" ht="15.75" x14ac:dyDescent="0.25">
      <c r="B79" s="67">
        <v>1</v>
      </c>
      <c r="C79" s="75">
        <v>1</v>
      </c>
      <c r="D79" s="88">
        <v>5</v>
      </c>
      <c r="E79" s="88">
        <v>2</v>
      </c>
      <c r="F79" s="157" t="s">
        <v>616</v>
      </c>
      <c r="G79" s="148" t="s">
        <v>637</v>
      </c>
    </row>
    <row r="80" spans="2:7" ht="15.75" x14ac:dyDescent="0.25">
      <c r="B80" s="67">
        <v>1</v>
      </c>
      <c r="C80" s="75">
        <v>1</v>
      </c>
      <c r="D80" s="88">
        <v>5</v>
      </c>
      <c r="E80" s="88">
        <v>3</v>
      </c>
      <c r="F80" s="157" t="s">
        <v>598</v>
      </c>
      <c r="G80" s="148" t="s">
        <v>637</v>
      </c>
    </row>
    <row r="81" spans="2:7" ht="15.75" x14ac:dyDescent="0.25">
      <c r="B81" s="67">
        <v>1</v>
      </c>
      <c r="C81" s="75">
        <v>1</v>
      </c>
      <c r="D81" s="88">
        <v>5</v>
      </c>
      <c r="E81" s="88">
        <v>4</v>
      </c>
      <c r="F81" s="157" t="s">
        <v>581</v>
      </c>
      <c r="G81" s="148" t="s">
        <v>637</v>
      </c>
    </row>
    <row r="82" spans="2:7" ht="15.75" x14ac:dyDescent="0.25">
      <c r="B82" s="67">
        <v>1</v>
      </c>
      <c r="C82" s="75">
        <v>1</v>
      </c>
      <c r="D82" s="88">
        <v>6</v>
      </c>
      <c r="E82" s="88">
        <v>1</v>
      </c>
      <c r="F82" s="157" t="s">
        <v>456</v>
      </c>
      <c r="G82" s="148" t="s">
        <v>637</v>
      </c>
    </row>
    <row r="83" spans="2:7" ht="15.75" x14ac:dyDescent="0.25">
      <c r="B83" s="67">
        <v>1</v>
      </c>
      <c r="C83" s="75">
        <v>1</v>
      </c>
      <c r="D83" s="88">
        <v>6</v>
      </c>
      <c r="E83" s="88">
        <v>2</v>
      </c>
      <c r="F83" s="157" t="s">
        <v>570</v>
      </c>
      <c r="G83" s="148" t="s">
        <v>637</v>
      </c>
    </row>
    <row r="84" spans="2:7" ht="15.75" x14ac:dyDescent="0.25">
      <c r="B84" s="67">
        <v>1</v>
      </c>
      <c r="C84" s="75">
        <v>3</v>
      </c>
      <c r="D84" s="88">
        <v>1</v>
      </c>
      <c r="E84" s="88">
        <v>1</v>
      </c>
      <c r="F84" s="156" t="s">
        <v>582</v>
      </c>
      <c r="G84" s="148" t="s">
        <v>637</v>
      </c>
    </row>
    <row r="85" spans="2:7" ht="15.75" x14ac:dyDescent="0.25">
      <c r="B85" s="67">
        <v>1</v>
      </c>
      <c r="C85" s="75">
        <v>3</v>
      </c>
      <c r="D85" s="88">
        <v>1</v>
      </c>
      <c r="E85" s="88">
        <v>2</v>
      </c>
      <c r="F85" s="156" t="s">
        <v>336</v>
      </c>
      <c r="G85" s="148" t="s">
        <v>637</v>
      </c>
    </row>
    <row r="86" spans="2:7" ht="15.75" x14ac:dyDescent="0.25">
      <c r="B86" s="67">
        <v>1</v>
      </c>
      <c r="C86" s="75">
        <v>3</v>
      </c>
      <c r="D86" s="88">
        <v>1</v>
      </c>
      <c r="E86" s="88">
        <v>3</v>
      </c>
      <c r="F86" s="156" t="s">
        <v>569</v>
      </c>
      <c r="G86" s="148" t="s">
        <v>637</v>
      </c>
    </row>
    <row r="87" spans="2:7" ht="15.75" x14ac:dyDescent="0.25">
      <c r="B87" s="67">
        <v>1</v>
      </c>
      <c r="C87" s="75">
        <v>3</v>
      </c>
      <c r="D87" s="88">
        <v>3</v>
      </c>
      <c r="E87" s="88">
        <v>3</v>
      </c>
      <c r="F87" s="156" t="s">
        <v>600</v>
      </c>
      <c r="G87" s="148" t="s">
        <v>637</v>
      </c>
    </row>
    <row r="88" spans="2:7" ht="15.75" x14ac:dyDescent="0.25">
      <c r="B88" s="67">
        <v>1</v>
      </c>
      <c r="C88" s="75">
        <v>3</v>
      </c>
      <c r="D88" s="88">
        <v>3</v>
      </c>
      <c r="E88" s="88">
        <v>4</v>
      </c>
      <c r="F88" s="156" t="s">
        <v>599</v>
      </c>
      <c r="G88" s="148" t="s">
        <v>637</v>
      </c>
    </row>
    <row r="89" spans="2:7" ht="15.75" x14ac:dyDescent="0.25">
      <c r="B89" s="91">
        <v>1</v>
      </c>
      <c r="C89" s="125">
        <v>3</v>
      </c>
      <c r="D89" s="126">
        <v>3</v>
      </c>
      <c r="E89" s="126">
        <v>5</v>
      </c>
      <c r="F89" s="159" t="s">
        <v>602</v>
      </c>
      <c r="G89" s="148" t="s">
        <v>637</v>
      </c>
    </row>
    <row r="90" spans="2:7" ht="15.75" x14ac:dyDescent="0.25">
      <c r="B90" s="74">
        <v>4</v>
      </c>
      <c r="C90" s="75">
        <v>0</v>
      </c>
      <c r="D90" s="76">
        <v>1</v>
      </c>
      <c r="E90" s="76">
        <v>1</v>
      </c>
      <c r="F90" s="160" t="s">
        <v>234</v>
      </c>
      <c r="G90" s="148" t="s">
        <v>675</v>
      </c>
    </row>
    <row r="91" spans="2:7" ht="15.75" x14ac:dyDescent="0.25">
      <c r="B91" s="67">
        <v>4</v>
      </c>
      <c r="C91" s="71">
        <v>0</v>
      </c>
      <c r="D91" s="64">
        <v>1</v>
      </c>
      <c r="E91" s="64">
        <v>2</v>
      </c>
      <c r="F91" s="160" t="s">
        <v>595</v>
      </c>
      <c r="G91" s="148" t="s">
        <v>675</v>
      </c>
    </row>
    <row r="92" spans="2:7" ht="15.75" x14ac:dyDescent="0.25">
      <c r="B92" s="67">
        <v>4</v>
      </c>
      <c r="C92" s="71">
        <v>0</v>
      </c>
      <c r="D92" s="64">
        <v>1</v>
      </c>
      <c r="E92" s="64">
        <v>3</v>
      </c>
      <c r="F92" s="160" t="s">
        <v>238</v>
      </c>
      <c r="G92" s="148" t="s">
        <v>675</v>
      </c>
    </row>
    <row r="93" spans="2:7" ht="15.75" x14ac:dyDescent="0.25">
      <c r="B93" s="67">
        <v>4</v>
      </c>
      <c r="C93" s="71">
        <v>0</v>
      </c>
      <c r="D93" s="64">
        <v>2</v>
      </c>
      <c r="E93" s="64">
        <v>1</v>
      </c>
      <c r="F93" s="160" t="s">
        <v>302</v>
      </c>
      <c r="G93" s="148" t="s">
        <v>675</v>
      </c>
    </row>
    <row r="94" spans="2:7" ht="15.75" x14ac:dyDescent="0.25">
      <c r="B94" s="67">
        <v>4</v>
      </c>
      <c r="C94" s="71">
        <v>0</v>
      </c>
      <c r="D94" s="64">
        <v>2</v>
      </c>
      <c r="E94" s="64">
        <v>2</v>
      </c>
      <c r="F94" s="160" t="s">
        <v>583</v>
      </c>
      <c r="G94" s="148" t="s">
        <v>675</v>
      </c>
    </row>
    <row r="95" spans="2:7" ht="15.75" x14ac:dyDescent="0.25">
      <c r="B95" s="67">
        <v>4</v>
      </c>
      <c r="C95" s="71">
        <v>0</v>
      </c>
      <c r="D95" s="64">
        <v>2</v>
      </c>
      <c r="E95" s="64">
        <v>3</v>
      </c>
      <c r="F95" s="160" t="s">
        <v>608</v>
      </c>
      <c r="G95" s="148" t="s">
        <v>675</v>
      </c>
    </row>
    <row r="96" spans="2:7" ht="15.75" x14ac:dyDescent="0.25">
      <c r="B96" s="67">
        <v>4</v>
      </c>
      <c r="C96" s="71">
        <v>0</v>
      </c>
      <c r="D96" s="64">
        <v>2</v>
      </c>
      <c r="E96" s="64">
        <v>4</v>
      </c>
      <c r="F96" s="160" t="s">
        <v>367</v>
      </c>
      <c r="G96" s="148" t="s">
        <v>675</v>
      </c>
    </row>
    <row r="97" spans="2:7" ht="15.75" x14ac:dyDescent="0.25">
      <c r="B97" s="67">
        <v>4</v>
      </c>
      <c r="C97" s="71">
        <v>0</v>
      </c>
      <c r="D97" s="64">
        <v>2</v>
      </c>
      <c r="E97" s="64">
        <v>5</v>
      </c>
      <c r="F97" s="160" t="s">
        <v>585</v>
      </c>
      <c r="G97" s="148" t="s">
        <v>675</v>
      </c>
    </row>
    <row r="98" spans="2:7" ht="15.75" x14ac:dyDescent="0.25">
      <c r="B98" s="67">
        <v>4</v>
      </c>
      <c r="C98" s="71">
        <v>0</v>
      </c>
      <c r="D98" s="64">
        <v>3</v>
      </c>
      <c r="E98" s="64">
        <v>1</v>
      </c>
      <c r="F98" s="160" t="s">
        <v>45</v>
      </c>
      <c r="G98" s="148" t="s">
        <v>675</v>
      </c>
    </row>
    <row r="99" spans="2:7" ht="15.75" x14ac:dyDescent="0.25">
      <c r="B99" s="67">
        <v>4</v>
      </c>
      <c r="C99" s="71">
        <v>0</v>
      </c>
      <c r="D99" s="64">
        <v>3</v>
      </c>
      <c r="E99" s="64">
        <v>2</v>
      </c>
      <c r="F99" s="160" t="s">
        <v>283</v>
      </c>
      <c r="G99" s="148" t="s">
        <v>675</v>
      </c>
    </row>
    <row r="100" spans="2:7" ht="15.75" x14ac:dyDescent="0.25">
      <c r="B100" s="67">
        <v>4</v>
      </c>
      <c r="C100" s="71">
        <v>0</v>
      </c>
      <c r="D100" s="64">
        <v>3</v>
      </c>
      <c r="E100" s="64">
        <v>3</v>
      </c>
      <c r="F100" s="160" t="s">
        <v>579</v>
      </c>
      <c r="G100" s="148" t="s">
        <v>675</v>
      </c>
    </row>
    <row r="101" spans="2:7" ht="15.75" x14ac:dyDescent="0.25">
      <c r="B101" s="67">
        <v>4</v>
      </c>
      <c r="C101" s="71">
        <v>0</v>
      </c>
      <c r="D101" s="64">
        <v>3</v>
      </c>
      <c r="E101" s="64">
        <v>4</v>
      </c>
      <c r="F101" s="160" t="s">
        <v>661</v>
      </c>
      <c r="G101" s="148" t="s">
        <v>675</v>
      </c>
    </row>
    <row r="102" spans="2:7" ht="15.75" x14ac:dyDescent="0.25">
      <c r="B102" s="67">
        <v>4</v>
      </c>
      <c r="C102" s="71">
        <v>0</v>
      </c>
      <c r="D102" s="64">
        <v>4</v>
      </c>
      <c r="E102" s="64">
        <v>1</v>
      </c>
      <c r="F102" s="160" t="s">
        <v>67</v>
      </c>
      <c r="G102" s="148" t="s">
        <v>675</v>
      </c>
    </row>
    <row r="103" spans="2:7" ht="15.75" x14ac:dyDescent="0.25">
      <c r="B103" s="67">
        <v>4</v>
      </c>
      <c r="C103" s="71">
        <v>0</v>
      </c>
      <c r="D103" s="64">
        <v>4</v>
      </c>
      <c r="E103" s="64">
        <v>2</v>
      </c>
      <c r="F103" s="160" t="s">
        <v>562</v>
      </c>
      <c r="G103" s="148" t="s">
        <v>675</v>
      </c>
    </row>
    <row r="104" spans="2:7" ht="15.75" x14ac:dyDescent="0.25">
      <c r="B104" s="67">
        <v>4</v>
      </c>
      <c r="C104" s="71">
        <v>0</v>
      </c>
      <c r="D104" s="64">
        <v>4</v>
      </c>
      <c r="E104" s="64">
        <v>3</v>
      </c>
      <c r="F104" s="160" t="s">
        <v>494</v>
      </c>
      <c r="G104" s="148" t="s">
        <v>675</v>
      </c>
    </row>
    <row r="105" spans="2:7" ht="15.75" x14ac:dyDescent="0.25">
      <c r="B105" s="67">
        <v>4</v>
      </c>
      <c r="C105" s="71">
        <v>0</v>
      </c>
      <c r="D105" s="64">
        <v>5</v>
      </c>
      <c r="E105" s="64">
        <v>1</v>
      </c>
      <c r="F105" s="160" t="s">
        <v>664</v>
      </c>
      <c r="G105" s="148" t="s">
        <v>675</v>
      </c>
    </row>
    <row r="106" spans="2:7" ht="15.75" x14ac:dyDescent="0.25">
      <c r="B106" s="91">
        <v>4</v>
      </c>
      <c r="C106" s="92">
        <v>0</v>
      </c>
      <c r="D106" s="93">
        <v>5</v>
      </c>
      <c r="E106" s="93">
        <v>2</v>
      </c>
      <c r="F106" s="161" t="s">
        <v>666</v>
      </c>
      <c r="G106" s="148" t="s">
        <v>675</v>
      </c>
    </row>
    <row r="107" spans="2:7" ht="15.75" x14ac:dyDescent="0.25">
      <c r="B107" s="67">
        <v>4</v>
      </c>
      <c r="C107" s="71">
        <v>1</v>
      </c>
      <c r="D107" s="64">
        <v>0</v>
      </c>
      <c r="E107" s="64">
        <v>1</v>
      </c>
      <c r="F107" s="108" t="s">
        <v>580</v>
      </c>
      <c r="G107" s="148" t="s">
        <v>675</v>
      </c>
    </row>
    <row r="108" spans="2:7" ht="15.75" x14ac:dyDescent="0.25">
      <c r="B108" s="81">
        <v>4</v>
      </c>
      <c r="C108" s="82">
        <v>1</v>
      </c>
      <c r="D108" s="64">
        <v>0</v>
      </c>
      <c r="E108" s="64">
        <v>2</v>
      </c>
      <c r="F108" s="162" t="s">
        <v>572</v>
      </c>
      <c r="G108" s="148" t="s">
        <v>675</v>
      </c>
    </row>
    <row r="109" spans="2:7" ht="15.75" x14ac:dyDescent="0.25">
      <c r="B109" s="67">
        <v>4</v>
      </c>
      <c r="C109" s="71">
        <v>1</v>
      </c>
      <c r="D109" s="64">
        <v>0</v>
      </c>
      <c r="E109" s="64">
        <v>3</v>
      </c>
      <c r="F109" s="162" t="s">
        <v>621</v>
      </c>
      <c r="G109" s="148" t="s">
        <v>675</v>
      </c>
    </row>
    <row r="110" spans="2:7" ht="15.75" x14ac:dyDescent="0.25">
      <c r="B110" s="67">
        <v>4</v>
      </c>
      <c r="C110" s="71">
        <v>1</v>
      </c>
      <c r="D110" s="64">
        <v>1</v>
      </c>
      <c r="E110" s="64">
        <v>1</v>
      </c>
      <c r="F110" s="70" t="s">
        <v>109</v>
      </c>
      <c r="G110" s="148" t="s">
        <v>675</v>
      </c>
    </row>
    <row r="111" spans="2:7" ht="15.75" x14ac:dyDescent="0.25">
      <c r="B111" s="67">
        <v>4</v>
      </c>
      <c r="C111" s="71">
        <v>1</v>
      </c>
      <c r="D111" s="64">
        <v>1</v>
      </c>
      <c r="E111" s="64">
        <v>1</v>
      </c>
      <c r="F111" s="70" t="s">
        <v>565</v>
      </c>
      <c r="G111" s="148" t="s">
        <v>675</v>
      </c>
    </row>
    <row r="112" spans="2:7" ht="15.75" x14ac:dyDescent="0.25">
      <c r="B112" s="67">
        <v>4</v>
      </c>
      <c r="C112" s="71">
        <v>1</v>
      </c>
      <c r="D112" s="64">
        <v>1</v>
      </c>
      <c r="E112" s="64">
        <v>2</v>
      </c>
      <c r="F112" s="70" t="s">
        <v>571</v>
      </c>
      <c r="G112" s="148" t="s">
        <v>675</v>
      </c>
    </row>
    <row r="113" spans="2:7" ht="15.75" x14ac:dyDescent="0.25">
      <c r="B113" s="67">
        <v>4</v>
      </c>
      <c r="C113" s="71">
        <v>1</v>
      </c>
      <c r="D113" s="64">
        <v>2</v>
      </c>
      <c r="E113" s="64">
        <v>1</v>
      </c>
      <c r="F113" s="163" t="s">
        <v>653</v>
      </c>
      <c r="G113" s="148" t="s">
        <v>675</v>
      </c>
    </row>
    <row r="114" spans="2:7" ht="15.75" x14ac:dyDescent="0.25">
      <c r="B114" s="67">
        <v>4</v>
      </c>
      <c r="C114" s="71">
        <v>1</v>
      </c>
      <c r="D114" s="64">
        <v>3</v>
      </c>
      <c r="E114" s="64">
        <v>1</v>
      </c>
      <c r="F114" s="164" t="s">
        <v>395</v>
      </c>
      <c r="G114" s="148" t="s">
        <v>675</v>
      </c>
    </row>
    <row r="115" spans="2:7" ht="15.75" x14ac:dyDescent="0.25">
      <c r="B115" s="67">
        <v>4</v>
      </c>
      <c r="C115" s="71">
        <v>1</v>
      </c>
      <c r="D115" s="64">
        <v>4</v>
      </c>
      <c r="E115" s="64">
        <v>1</v>
      </c>
      <c r="F115" s="70" t="s">
        <v>657</v>
      </c>
      <c r="G115" s="148" t="s">
        <v>675</v>
      </c>
    </row>
    <row r="116" spans="2:7" ht="15.75" x14ac:dyDescent="0.25">
      <c r="B116" s="67">
        <v>4</v>
      </c>
      <c r="C116" s="71">
        <v>1</v>
      </c>
      <c r="D116" s="64">
        <v>5</v>
      </c>
      <c r="E116" s="64">
        <v>1</v>
      </c>
      <c r="F116" s="70" t="s">
        <v>659</v>
      </c>
      <c r="G116" s="148" t="s">
        <v>675</v>
      </c>
    </row>
    <row r="117" spans="2:7" ht="15.75" x14ac:dyDescent="0.25">
      <c r="B117" s="81">
        <v>4</v>
      </c>
      <c r="C117" s="82">
        <v>1</v>
      </c>
      <c r="D117" s="112">
        <v>6</v>
      </c>
      <c r="E117" s="112">
        <v>1</v>
      </c>
      <c r="F117" s="163" t="s">
        <v>115</v>
      </c>
      <c r="G117" s="148" t="s">
        <v>675</v>
      </c>
    </row>
    <row r="118" spans="2:7" ht="15.75" x14ac:dyDescent="0.25">
      <c r="B118" s="96">
        <v>4</v>
      </c>
      <c r="C118" s="97">
        <v>1</v>
      </c>
      <c r="D118" s="98">
        <v>6</v>
      </c>
      <c r="E118" s="98">
        <v>2</v>
      </c>
      <c r="F118" s="165" t="s">
        <v>417</v>
      </c>
      <c r="G118" s="148" t="s">
        <v>675</v>
      </c>
    </row>
    <row r="119" spans="2:7" ht="15.75" x14ac:dyDescent="0.25">
      <c r="B119" s="67">
        <v>6</v>
      </c>
      <c r="C119" s="71">
        <v>0</v>
      </c>
      <c r="D119" s="64">
        <v>1</v>
      </c>
      <c r="E119" s="64">
        <v>1</v>
      </c>
      <c r="F119" s="70" t="s">
        <v>620</v>
      </c>
      <c r="G119" s="148" t="s">
        <v>675</v>
      </c>
    </row>
    <row r="120" spans="2:7" ht="15.75" x14ac:dyDescent="0.25">
      <c r="B120" s="67">
        <v>6</v>
      </c>
      <c r="C120" s="71">
        <v>0</v>
      </c>
      <c r="D120" s="64">
        <v>2</v>
      </c>
      <c r="E120" s="64">
        <v>1</v>
      </c>
      <c r="F120" s="70" t="s">
        <v>61</v>
      </c>
      <c r="G120" s="148" t="s">
        <v>675</v>
      </c>
    </row>
    <row r="121" spans="2:7" ht="15.75" x14ac:dyDescent="0.25">
      <c r="B121" s="91">
        <v>6</v>
      </c>
      <c r="C121" s="92">
        <v>0</v>
      </c>
      <c r="D121" s="93">
        <v>3</v>
      </c>
      <c r="E121" s="93">
        <v>1</v>
      </c>
      <c r="F121" s="166" t="s">
        <v>642</v>
      </c>
      <c r="G121" s="148" t="s">
        <v>675</v>
      </c>
    </row>
    <row r="122" spans="2:7" ht="15.75" x14ac:dyDescent="0.25">
      <c r="B122" s="81">
        <v>3</v>
      </c>
      <c r="C122" s="82">
        <v>0</v>
      </c>
      <c r="D122" s="64">
        <v>0</v>
      </c>
      <c r="E122" s="64">
        <v>1</v>
      </c>
      <c r="F122" s="163" t="s">
        <v>328</v>
      </c>
      <c r="G122" s="148" t="s">
        <v>675</v>
      </c>
    </row>
    <row r="123" spans="2:7" ht="15.75" x14ac:dyDescent="0.25">
      <c r="B123" s="81">
        <v>3</v>
      </c>
      <c r="C123" s="82">
        <v>0</v>
      </c>
      <c r="D123" s="64">
        <v>0</v>
      </c>
      <c r="E123" s="64">
        <v>2</v>
      </c>
      <c r="F123" s="163" t="s">
        <v>611</v>
      </c>
      <c r="G123" s="148" t="s">
        <v>675</v>
      </c>
    </row>
    <row r="124" spans="2:7" ht="15.75" x14ac:dyDescent="0.25">
      <c r="B124" s="81">
        <v>3</v>
      </c>
      <c r="C124" s="82">
        <v>0</v>
      </c>
      <c r="D124" s="64">
        <v>0</v>
      </c>
      <c r="E124" s="64">
        <v>3</v>
      </c>
      <c r="F124" s="163" t="s">
        <v>643</v>
      </c>
      <c r="G124" s="148" t="s">
        <v>675</v>
      </c>
    </row>
    <row r="125" spans="2:7" ht="15.75" x14ac:dyDescent="0.25">
      <c r="B125" s="96">
        <v>3</v>
      </c>
      <c r="C125" s="97">
        <v>0</v>
      </c>
      <c r="D125" s="98">
        <v>0</v>
      </c>
      <c r="E125" s="98">
        <v>4</v>
      </c>
      <c r="F125" s="167" t="s">
        <v>612</v>
      </c>
      <c r="G125" s="148" t="s">
        <v>675</v>
      </c>
    </row>
  </sheetData>
  <mergeCells count="5">
    <mergeCell ref="J4:K4"/>
    <mergeCell ref="J5:K5"/>
    <mergeCell ref="J6:K6"/>
    <mergeCell ref="J7:K7"/>
    <mergeCell ref="J8:K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16FC1-7440-48FC-B2B7-E93F8C64F4FE}">
  <dimension ref="A3:I19"/>
  <sheetViews>
    <sheetView workbookViewId="0">
      <selection activeCell="F8" sqref="F8:G8"/>
    </sheetView>
  </sheetViews>
  <sheetFormatPr defaultRowHeight="15" x14ac:dyDescent="0.25"/>
  <cols>
    <col min="1" max="1" width="18.42578125" bestFit="1" customWidth="1"/>
    <col min="3" max="3" width="9.7109375" bestFit="1" customWidth="1"/>
    <col min="6" max="6" width="1.28515625" bestFit="1" customWidth="1"/>
  </cols>
  <sheetData>
    <row r="3" spans="1:9" x14ac:dyDescent="0.25">
      <c r="B3" s="142" t="s">
        <v>679</v>
      </c>
      <c r="C3" s="142" t="s">
        <v>679</v>
      </c>
      <c r="D3" s="142" t="s">
        <v>679</v>
      </c>
      <c r="E3" s="142" t="s">
        <v>679</v>
      </c>
      <c r="F3" s="142" t="s">
        <v>679</v>
      </c>
      <c r="G3" s="142" t="s">
        <v>679</v>
      </c>
      <c r="H3" s="142" t="s">
        <v>679</v>
      </c>
      <c r="I3" s="142" t="s">
        <v>679</v>
      </c>
    </row>
    <row r="4" spans="1:9" x14ac:dyDescent="0.25">
      <c r="B4" s="142" t="s">
        <v>679</v>
      </c>
      <c r="C4" s="143" t="s">
        <v>680</v>
      </c>
      <c r="D4" s="144" t="s">
        <v>679</v>
      </c>
      <c r="E4" s="145">
        <v>1</v>
      </c>
      <c r="F4" s="193" t="s">
        <v>622</v>
      </c>
      <c r="G4" s="194"/>
      <c r="H4" s="142" t="s">
        <v>679</v>
      </c>
      <c r="I4" s="142" t="s">
        <v>679</v>
      </c>
    </row>
    <row r="5" spans="1:9" x14ac:dyDescent="0.25">
      <c r="B5" s="142" t="s">
        <v>679</v>
      </c>
      <c r="C5" s="142" t="s">
        <v>679</v>
      </c>
      <c r="D5" s="142" t="s">
        <v>679</v>
      </c>
      <c r="E5" s="146">
        <v>2</v>
      </c>
      <c r="F5" s="193" t="s">
        <v>623</v>
      </c>
      <c r="G5" s="194"/>
      <c r="H5" s="142" t="s">
        <v>679</v>
      </c>
      <c r="I5" s="142" t="s">
        <v>679</v>
      </c>
    </row>
    <row r="6" spans="1:9" x14ac:dyDescent="0.25">
      <c r="B6" s="142" t="s">
        <v>679</v>
      </c>
      <c r="C6" s="142" t="s">
        <v>679</v>
      </c>
      <c r="D6" s="142" t="s">
        <v>679</v>
      </c>
      <c r="E6" s="146">
        <v>3</v>
      </c>
      <c r="F6" s="193" t="s">
        <v>624</v>
      </c>
      <c r="G6" s="194"/>
      <c r="H6" s="142" t="s">
        <v>679</v>
      </c>
      <c r="I6" s="142" t="s">
        <v>679</v>
      </c>
    </row>
    <row r="7" spans="1:9" x14ac:dyDescent="0.25">
      <c r="B7" s="142" t="s">
        <v>679</v>
      </c>
      <c r="C7" s="142" t="s">
        <v>679</v>
      </c>
      <c r="D7" s="142" t="s">
        <v>679</v>
      </c>
      <c r="E7" s="146">
        <v>4</v>
      </c>
      <c r="F7" s="193" t="s">
        <v>672</v>
      </c>
      <c r="G7" s="194"/>
      <c r="H7" s="142" t="s">
        <v>679</v>
      </c>
      <c r="I7" s="142" t="s">
        <v>679</v>
      </c>
    </row>
    <row r="8" spans="1:9" x14ac:dyDescent="0.25">
      <c r="B8" s="142" t="s">
        <v>679</v>
      </c>
      <c r="C8" s="142" t="s">
        <v>679</v>
      </c>
      <c r="D8" s="142" t="s">
        <v>679</v>
      </c>
      <c r="E8" s="146">
        <v>5</v>
      </c>
      <c r="F8" s="193" t="s">
        <v>673</v>
      </c>
      <c r="G8" s="194"/>
      <c r="H8" s="142" t="s">
        <v>679</v>
      </c>
      <c r="I8" s="142" t="s">
        <v>679</v>
      </c>
    </row>
    <row r="9" spans="1:9" x14ac:dyDescent="0.25">
      <c r="B9" s="142" t="s">
        <v>679</v>
      </c>
      <c r="C9" s="142" t="s">
        <v>679</v>
      </c>
      <c r="D9" s="142" t="s">
        <v>679</v>
      </c>
      <c r="E9" s="142" t="s">
        <v>679</v>
      </c>
      <c r="F9" s="142" t="s">
        <v>679</v>
      </c>
      <c r="G9" s="142" t="s">
        <v>679</v>
      </c>
      <c r="H9" s="142" t="s">
        <v>679</v>
      </c>
      <c r="I9" s="142" t="s">
        <v>679</v>
      </c>
    </row>
    <row r="10" spans="1:9" x14ac:dyDescent="0.25">
      <c r="B10" s="142" t="s">
        <v>679</v>
      </c>
      <c r="C10" s="142" t="s">
        <v>679</v>
      </c>
      <c r="D10" s="142" t="s">
        <v>679</v>
      </c>
      <c r="E10" s="142" t="s">
        <v>679</v>
      </c>
      <c r="F10" s="142" t="s">
        <v>679</v>
      </c>
      <c r="G10" s="142" t="s">
        <v>679</v>
      </c>
      <c r="H10" s="142" t="s">
        <v>679</v>
      </c>
      <c r="I10" s="142" t="s">
        <v>679</v>
      </c>
    </row>
    <row r="15" spans="1:9" x14ac:dyDescent="0.25">
      <c r="A15" t="s">
        <v>622</v>
      </c>
    </row>
    <row r="16" spans="1:9" x14ac:dyDescent="0.25">
      <c r="A16" t="s">
        <v>623</v>
      </c>
    </row>
    <row r="17" spans="1:1" x14ac:dyDescent="0.25">
      <c r="A17" t="s">
        <v>624</v>
      </c>
    </row>
    <row r="18" spans="1:1" x14ac:dyDescent="0.25">
      <c r="A18" t="s">
        <v>674</v>
      </c>
    </row>
    <row r="19" spans="1:1" x14ac:dyDescent="0.25">
      <c r="A19" t="s">
        <v>673</v>
      </c>
    </row>
  </sheetData>
  <mergeCells count="5">
    <mergeCell ref="F4:G4"/>
    <mergeCell ref="F5:G5"/>
    <mergeCell ref="F6:G6"/>
    <mergeCell ref="F7:G7"/>
    <mergeCell ref="F8:G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BA14E-0B97-4562-826A-12019653AF3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2CC77-02EE-4E6C-8E0B-BD43B4A7F5E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</vt:lpstr>
      <vt:lpstr>ZARC</vt:lpstr>
      <vt:lpstr>DATA</vt:lpstr>
      <vt:lpstr>Security Req</vt:lpstr>
      <vt:lpstr>Working hours</vt:lpstr>
      <vt:lpstr>Weekly off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Shivaputra B. Dinni</dc:creator>
  <cp:keywords/>
  <dc:description/>
  <cp:lastModifiedBy>Vijay Bala CTPL</cp:lastModifiedBy>
  <cp:revision/>
  <dcterms:created xsi:type="dcterms:W3CDTF">2017-08-17T10:47:22Z</dcterms:created>
  <dcterms:modified xsi:type="dcterms:W3CDTF">2026-03-18T13:23:20Z</dcterms:modified>
  <cp:category/>
  <cp:contentStatus/>
</cp:coreProperties>
</file>