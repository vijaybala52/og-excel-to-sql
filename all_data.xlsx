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3820"/>
  <mc:AlternateContent xmlns:mc="http://schemas.openxmlformats.org/markup-compatibility/2006">
    <mc:Choice Requires="x15">
      <x15ac:absPath xmlns:x15ac="http://schemas.microsoft.com/office/spreadsheetml/2010/11/ac" url="C:\Users\USER\Desktop\og\og-excel-to-sql\"/>
    </mc:Choice>
  </mc:AlternateContent>
  <xr:revisionPtr revIDLastSave="0" documentId="13_ncr:1_{899979F8-36FA-4F54-964F-BC77468510F1}" xr6:coauthVersionLast="47" xr6:coauthVersionMax="47" xr10:uidLastSave="{00000000-0000-0000-0000-000000000000}"/>
  <bookViews>
    <workbookView xWindow="-120" yWindow="-120" windowWidth="29040" windowHeight="15840" tabRatio="907" xr2:uid="{00000000-000D-0000-FFFF-FFFF00000000}"/>
  </bookViews>
  <sheets>
    <sheet name="Sheet1" sheetId="7" r:id="rId1"/>
    <sheet name="Master" sheetId="1" r:id="rId2"/>
    <sheet name="ZARC" sheetId="2" r:id="rId3"/>
    <sheet name="DATA" sheetId="6" r:id="rId4"/>
    <sheet name="Security Req" sheetId="3" r:id="rId5"/>
    <sheet name="Working hours" sheetId="4" r:id="rId6"/>
    <sheet name="Weekly off" sheetId="5" r:id="rId7"/>
  </sheets>
  <definedNames>
    <definedName name="_xlnm._FilterDatabase" localSheetId="1" hidden="1">Master!$A$1:$AA$1034</definedName>
  </definedNames>
  <calcPr calcId="191028"/>
  <pivotCaches>
    <pivotCache cacheId="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4" i="1" l="1"/>
  <c r="C96" i="1"/>
  <c r="C97" i="1"/>
  <c r="C104" i="1"/>
  <c r="C142" i="1"/>
  <c r="C144" i="1"/>
  <c r="C154" i="1"/>
  <c r="C186" i="1"/>
  <c r="C195" i="1"/>
  <c r="C197" i="1"/>
  <c r="C203" i="1"/>
  <c r="C205" i="1"/>
  <c r="C208" i="1"/>
  <c r="C216" i="1"/>
  <c r="C220" i="1"/>
  <c r="C230" i="1"/>
  <c r="C239" i="1"/>
  <c r="C250" i="1"/>
  <c r="C251" i="1"/>
  <c r="C252" i="1"/>
  <c r="C253" i="1"/>
  <c r="C256" i="1"/>
  <c r="C265" i="1"/>
  <c r="C282" i="1"/>
  <c r="C283" i="1"/>
  <c r="C301" i="1"/>
  <c r="C321" i="1"/>
  <c r="C332" i="1"/>
  <c r="C353" i="1"/>
  <c r="C355" i="1"/>
  <c r="C361" i="1"/>
  <c r="C380" i="1"/>
  <c r="C412" i="1"/>
  <c r="C416" i="1"/>
  <c r="C419" i="1"/>
  <c r="C433" i="1"/>
  <c r="C442" i="1"/>
  <c r="C445" i="1"/>
  <c r="C451" i="1"/>
  <c r="C458" i="1"/>
  <c r="C464" i="1"/>
  <c r="C467" i="1"/>
  <c r="C474" i="1"/>
  <c r="C475" i="1"/>
  <c r="C479" i="1"/>
  <c r="C485" i="1"/>
  <c r="C494" i="1"/>
  <c r="C516" i="1"/>
  <c r="C519" i="1"/>
  <c r="C527" i="1"/>
  <c r="C535" i="1"/>
  <c r="C574" i="1"/>
  <c r="C583" i="1"/>
  <c r="C588" i="1"/>
  <c r="C599" i="1"/>
  <c r="C615" i="1"/>
  <c r="C627" i="1"/>
  <c r="C633" i="1"/>
  <c r="C644" i="1"/>
  <c r="C647" i="1"/>
  <c r="C649" i="1"/>
  <c r="C675" i="1"/>
  <c r="C682" i="1"/>
  <c r="C683" i="1"/>
  <c r="C684" i="1"/>
  <c r="C704" i="1"/>
  <c r="C708" i="1"/>
  <c r="C717" i="1"/>
  <c r="C722" i="1"/>
  <c r="C723" i="1"/>
  <c r="C727" i="1"/>
  <c r="C732" i="1"/>
  <c r="C734" i="1"/>
  <c r="C737" i="1"/>
  <c r="C740" i="1"/>
  <c r="C742" i="1"/>
  <c r="C744" i="1"/>
  <c r="C749" i="1"/>
  <c r="C759" i="1"/>
  <c r="C761" i="1"/>
  <c r="C762" i="1"/>
  <c r="C774" i="1"/>
  <c r="C791" i="1"/>
  <c r="C797" i="1"/>
  <c r="C802" i="1"/>
  <c r="C813" i="1"/>
  <c r="C824" i="1"/>
  <c r="C835" i="1"/>
  <c r="C847" i="1"/>
  <c r="C851" i="1"/>
  <c r="C853" i="1"/>
  <c r="C874" i="1"/>
  <c r="C877" i="1"/>
  <c r="C879" i="1"/>
  <c r="C881" i="1"/>
  <c r="C891" i="1"/>
  <c r="C892" i="1"/>
  <c r="C893" i="1"/>
  <c r="C894" i="1"/>
  <c r="C914" i="1"/>
  <c r="C916" i="1"/>
  <c r="C929" i="1"/>
  <c r="C935" i="1"/>
  <c r="C937" i="1"/>
  <c r="C946" i="1"/>
  <c r="C954" i="1"/>
  <c r="C956" i="1"/>
  <c r="C968" i="1"/>
  <c r="C977" i="1"/>
  <c r="C981" i="1"/>
  <c r="C982" i="1"/>
  <c r="C984" i="1"/>
  <c r="C985" i="1"/>
  <c r="C991" i="1"/>
  <c r="C994" i="1"/>
  <c r="C997" i="1"/>
  <c r="C998" i="1"/>
  <c r="C999" i="1"/>
  <c r="C1006" i="1"/>
  <c r="C1007" i="1"/>
  <c r="C1011" i="1"/>
  <c r="C1012" i="1"/>
  <c r="C1018" i="1"/>
  <c r="C1023" i="1"/>
  <c r="C1037" i="1"/>
  <c r="C1047" i="1"/>
  <c r="C1055" i="1"/>
  <c r="C1064" i="1"/>
  <c r="C1067" i="1"/>
  <c r="C1074" i="1"/>
  <c r="C1076" i="1"/>
  <c r="C1085" i="1"/>
  <c r="C1089" i="1"/>
  <c r="C1090" i="1"/>
  <c r="C1093" i="1"/>
  <c r="C1097" i="1"/>
  <c r="C1102" i="1"/>
  <c r="C1106" i="1"/>
  <c r="C1108" i="1"/>
  <c r="C111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5" i="1"/>
  <c r="C86" i="1"/>
  <c r="C87" i="1"/>
  <c r="C88" i="1"/>
  <c r="C89" i="1"/>
  <c r="C90" i="1"/>
  <c r="C91" i="1"/>
  <c r="C92" i="1"/>
  <c r="C93" i="1"/>
  <c r="C94" i="1"/>
  <c r="C95" i="1"/>
  <c r="C98" i="1"/>
  <c r="C99" i="1"/>
  <c r="C100" i="1"/>
  <c r="C101" i="1"/>
  <c r="C102" i="1"/>
  <c r="C103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5" i="1"/>
  <c r="C146" i="1"/>
  <c r="C147" i="1"/>
  <c r="C148" i="1"/>
  <c r="C149" i="1"/>
  <c r="C150" i="1"/>
  <c r="C151" i="1"/>
  <c r="C152" i="1"/>
  <c r="C153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7" i="1"/>
  <c r="C188" i="1"/>
  <c r="C189" i="1"/>
  <c r="C190" i="1"/>
  <c r="C191" i="1"/>
  <c r="C192" i="1"/>
  <c r="C193" i="1"/>
  <c r="C194" i="1"/>
  <c r="C196" i="1"/>
  <c r="C198" i="1"/>
  <c r="C199" i="1"/>
  <c r="C200" i="1"/>
  <c r="C201" i="1"/>
  <c r="C202" i="1"/>
  <c r="C204" i="1"/>
  <c r="C206" i="1"/>
  <c r="C207" i="1"/>
  <c r="C209" i="1"/>
  <c r="C210" i="1"/>
  <c r="C211" i="1"/>
  <c r="C212" i="1"/>
  <c r="C213" i="1"/>
  <c r="C214" i="1"/>
  <c r="C215" i="1"/>
  <c r="C217" i="1"/>
  <c r="C218" i="1"/>
  <c r="C219" i="1"/>
  <c r="C221" i="1"/>
  <c r="C222" i="1"/>
  <c r="C223" i="1"/>
  <c r="C224" i="1"/>
  <c r="C225" i="1"/>
  <c r="C226" i="1"/>
  <c r="C227" i="1"/>
  <c r="C228" i="1"/>
  <c r="C229" i="1"/>
  <c r="C231" i="1"/>
  <c r="C232" i="1"/>
  <c r="C233" i="1"/>
  <c r="C234" i="1"/>
  <c r="C235" i="1"/>
  <c r="C236" i="1"/>
  <c r="C237" i="1"/>
  <c r="C238" i="1"/>
  <c r="C240" i="1"/>
  <c r="C241" i="1"/>
  <c r="C242" i="1"/>
  <c r="C243" i="1"/>
  <c r="C244" i="1"/>
  <c r="C245" i="1"/>
  <c r="C246" i="1"/>
  <c r="C247" i="1"/>
  <c r="C248" i="1"/>
  <c r="C249" i="1"/>
  <c r="C254" i="1"/>
  <c r="C255" i="1"/>
  <c r="C257" i="1"/>
  <c r="C258" i="1"/>
  <c r="C259" i="1"/>
  <c r="C260" i="1"/>
  <c r="C261" i="1"/>
  <c r="C262" i="1"/>
  <c r="C263" i="1"/>
  <c r="C264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3" i="1"/>
  <c r="C324" i="1"/>
  <c r="C325" i="1"/>
  <c r="C326" i="1"/>
  <c r="C327" i="1"/>
  <c r="C328" i="1"/>
  <c r="C329" i="1"/>
  <c r="C330" i="1"/>
  <c r="C331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4" i="1"/>
  <c r="C356" i="1"/>
  <c r="C357" i="1"/>
  <c r="C358" i="1"/>
  <c r="C359" i="1"/>
  <c r="C360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3" i="1"/>
  <c r="C414" i="1"/>
  <c r="C415" i="1"/>
  <c r="C417" i="1"/>
  <c r="C418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4" i="1"/>
  <c r="C435" i="1"/>
  <c r="C436" i="1"/>
  <c r="C437" i="1"/>
  <c r="C438" i="1"/>
  <c r="C439" i="1"/>
  <c r="C440" i="1"/>
  <c r="C441" i="1"/>
  <c r="C443" i="1"/>
  <c r="C444" i="1"/>
  <c r="C446" i="1"/>
  <c r="C447" i="1"/>
  <c r="C448" i="1"/>
  <c r="C449" i="1"/>
  <c r="C450" i="1"/>
  <c r="C452" i="1"/>
  <c r="C453" i="1"/>
  <c r="C454" i="1"/>
  <c r="C455" i="1"/>
  <c r="C456" i="1"/>
  <c r="C457" i="1"/>
  <c r="C459" i="1"/>
  <c r="C460" i="1"/>
  <c r="C461" i="1"/>
  <c r="C462" i="1"/>
  <c r="C463" i="1"/>
  <c r="C465" i="1"/>
  <c r="C466" i="1"/>
  <c r="C468" i="1"/>
  <c r="C469" i="1"/>
  <c r="C470" i="1"/>
  <c r="C471" i="1"/>
  <c r="C472" i="1"/>
  <c r="C473" i="1"/>
  <c r="C476" i="1"/>
  <c r="C477" i="1"/>
  <c r="C478" i="1"/>
  <c r="C480" i="1"/>
  <c r="C481" i="1"/>
  <c r="C482" i="1"/>
  <c r="C483" i="1"/>
  <c r="C484" i="1"/>
  <c r="C486" i="1"/>
  <c r="C487" i="1"/>
  <c r="C488" i="1"/>
  <c r="C489" i="1"/>
  <c r="C490" i="1"/>
  <c r="C491" i="1"/>
  <c r="C492" i="1"/>
  <c r="C493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7" i="1"/>
  <c r="C518" i="1"/>
  <c r="C520" i="1"/>
  <c r="C521" i="1"/>
  <c r="C522" i="1"/>
  <c r="C523" i="1"/>
  <c r="C524" i="1"/>
  <c r="C525" i="1"/>
  <c r="C526" i="1"/>
  <c r="C528" i="1"/>
  <c r="C529" i="1"/>
  <c r="C530" i="1"/>
  <c r="C531" i="1"/>
  <c r="C532" i="1"/>
  <c r="C533" i="1"/>
  <c r="C534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5" i="1"/>
  <c r="C576" i="1"/>
  <c r="C577" i="1"/>
  <c r="C578" i="1"/>
  <c r="C579" i="1"/>
  <c r="C580" i="1"/>
  <c r="C581" i="1"/>
  <c r="C582" i="1"/>
  <c r="C584" i="1"/>
  <c r="C585" i="1"/>
  <c r="C586" i="1"/>
  <c r="C587" i="1"/>
  <c r="C589" i="1"/>
  <c r="C590" i="1"/>
  <c r="C591" i="1"/>
  <c r="C592" i="1"/>
  <c r="C593" i="1"/>
  <c r="C594" i="1"/>
  <c r="C595" i="1"/>
  <c r="C596" i="1"/>
  <c r="C597" i="1"/>
  <c r="C598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6" i="1"/>
  <c r="C617" i="1"/>
  <c r="C618" i="1"/>
  <c r="C619" i="1"/>
  <c r="C620" i="1"/>
  <c r="C621" i="1"/>
  <c r="C622" i="1"/>
  <c r="C623" i="1"/>
  <c r="C624" i="1"/>
  <c r="C625" i="1"/>
  <c r="C626" i="1"/>
  <c r="C628" i="1"/>
  <c r="C629" i="1"/>
  <c r="C630" i="1"/>
  <c r="C631" i="1"/>
  <c r="C632" i="1"/>
  <c r="C634" i="1"/>
  <c r="C635" i="1"/>
  <c r="C636" i="1"/>
  <c r="C637" i="1"/>
  <c r="C638" i="1"/>
  <c r="C639" i="1"/>
  <c r="C640" i="1"/>
  <c r="C641" i="1"/>
  <c r="C642" i="1"/>
  <c r="C643" i="1"/>
  <c r="C645" i="1"/>
  <c r="C646" i="1"/>
  <c r="C648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6" i="1"/>
  <c r="C677" i="1"/>
  <c r="C678" i="1"/>
  <c r="C679" i="1"/>
  <c r="C680" i="1"/>
  <c r="C681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5" i="1"/>
  <c r="C706" i="1"/>
  <c r="C707" i="1"/>
  <c r="C709" i="1"/>
  <c r="C710" i="1"/>
  <c r="C711" i="1"/>
  <c r="C712" i="1"/>
  <c r="C713" i="1"/>
  <c r="C714" i="1"/>
  <c r="C715" i="1"/>
  <c r="C716" i="1"/>
  <c r="C718" i="1"/>
  <c r="C719" i="1"/>
  <c r="C720" i="1"/>
  <c r="C721" i="1"/>
  <c r="C724" i="1"/>
  <c r="C725" i="1"/>
  <c r="C726" i="1"/>
  <c r="C728" i="1"/>
  <c r="C729" i="1"/>
  <c r="C730" i="1"/>
  <c r="C731" i="1"/>
  <c r="C733" i="1"/>
  <c r="C735" i="1"/>
  <c r="C736" i="1"/>
  <c r="C738" i="1"/>
  <c r="C739" i="1"/>
  <c r="C741" i="1"/>
  <c r="C743" i="1"/>
  <c r="C745" i="1"/>
  <c r="C746" i="1"/>
  <c r="C747" i="1"/>
  <c r="C748" i="1"/>
  <c r="C750" i="1"/>
  <c r="C751" i="1"/>
  <c r="C752" i="1"/>
  <c r="C753" i="1"/>
  <c r="C754" i="1"/>
  <c r="C755" i="1"/>
  <c r="C756" i="1"/>
  <c r="C757" i="1"/>
  <c r="C758" i="1"/>
  <c r="C760" i="1"/>
  <c r="C763" i="1"/>
  <c r="C764" i="1"/>
  <c r="C765" i="1"/>
  <c r="C766" i="1"/>
  <c r="C767" i="1"/>
  <c r="C768" i="1"/>
  <c r="C769" i="1"/>
  <c r="C770" i="1"/>
  <c r="C771" i="1"/>
  <c r="C772" i="1"/>
  <c r="C773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2" i="1"/>
  <c r="C793" i="1"/>
  <c r="C794" i="1"/>
  <c r="C795" i="1"/>
  <c r="C796" i="1"/>
  <c r="C798" i="1"/>
  <c r="C799" i="1"/>
  <c r="C800" i="1"/>
  <c r="C801" i="1"/>
  <c r="C803" i="1"/>
  <c r="C804" i="1"/>
  <c r="C805" i="1"/>
  <c r="C806" i="1"/>
  <c r="C807" i="1"/>
  <c r="C808" i="1"/>
  <c r="C809" i="1"/>
  <c r="C810" i="1"/>
  <c r="C811" i="1"/>
  <c r="C812" i="1"/>
  <c r="C814" i="1"/>
  <c r="C815" i="1"/>
  <c r="C816" i="1"/>
  <c r="C817" i="1"/>
  <c r="C818" i="1"/>
  <c r="C819" i="1"/>
  <c r="C820" i="1"/>
  <c r="C821" i="1"/>
  <c r="C822" i="1"/>
  <c r="C823" i="1"/>
  <c r="C825" i="1"/>
  <c r="C826" i="1"/>
  <c r="C827" i="1"/>
  <c r="C828" i="1"/>
  <c r="C829" i="1"/>
  <c r="C830" i="1"/>
  <c r="C831" i="1"/>
  <c r="C832" i="1"/>
  <c r="C833" i="1"/>
  <c r="C834" i="1"/>
  <c r="C836" i="1"/>
  <c r="C837" i="1"/>
  <c r="C838" i="1"/>
  <c r="C839" i="1"/>
  <c r="C840" i="1"/>
  <c r="C841" i="1"/>
  <c r="C842" i="1"/>
  <c r="C843" i="1"/>
  <c r="C844" i="1"/>
  <c r="C845" i="1"/>
  <c r="C846" i="1"/>
  <c r="C848" i="1"/>
  <c r="C849" i="1"/>
  <c r="C850" i="1"/>
  <c r="C852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5" i="1"/>
  <c r="C876" i="1"/>
  <c r="C878" i="1"/>
  <c r="C880" i="1"/>
  <c r="C882" i="1"/>
  <c r="C883" i="1"/>
  <c r="C884" i="1"/>
  <c r="C885" i="1"/>
  <c r="C886" i="1"/>
  <c r="C887" i="1"/>
  <c r="C888" i="1"/>
  <c r="C889" i="1"/>
  <c r="C890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5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30" i="1"/>
  <c r="C931" i="1"/>
  <c r="C932" i="1"/>
  <c r="C933" i="1"/>
  <c r="C934" i="1"/>
  <c r="C936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5" i="1"/>
  <c r="C957" i="1"/>
  <c r="C958" i="1"/>
  <c r="C959" i="1"/>
  <c r="C960" i="1"/>
  <c r="C961" i="1"/>
  <c r="C962" i="1"/>
  <c r="C963" i="1"/>
  <c r="C964" i="1"/>
  <c r="C965" i="1"/>
  <c r="C966" i="1"/>
  <c r="C967" i="1"/>
  <c r="C969" i="1"/>
  <c r="C970" i="1"/>
  <c r="C971" i="1"/>
  <c r="C972" i="1"/>
  <c r="C973" i="1"/>
  <c r="C974" i="1"/>
  <c r="C975" i="1"/>
  <c r="C976" i="1"/>
  <c r="C978" i="1"/>
  <c r="C979" i="1"/>
  <c r="C980" i="1"/>
  <c r="C983" i="1"/>
  <c r="C986" i="1"/>
  <c r="C987" i="1"/>
  <c r="C988" i="1"/>
  <c r="C989" i="1"/>
  <c r="C990" i="1"/>
  <c r="C992" i="1"/>
  <c r="C993" i="1"/>
  <c r="C995" i="1"/>
  <c r="C996" i="1"/>
  <c r="C1000" i="1"/>
  <c r="C1001" i="1"/>
  <c r="C1002" i="1"/>
  <c r="C1003" i="1"/>
  <c r="C1004" i="1"/>
  <c r="C1005" i="1"/>
  <c r="C1008" i="1"/>
  <c r="C1009" i="1"/>
  <c r="C1010" i="1"/>
  <c r="C1013" i="1"/>
  <c r="C1014" i="1"/>
  <c r="C1015" i="1"/>
  <c r="C1016" i="1"/>
  <c r="C1017" i="1"/>
  <c r="C1019" i="1"/>
  <c r="C1020" i="1"/>
  <c r="C1021" i="1"/>
  <c r="C1022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8" i="1"/>
  <c r="C1039" i="1"/>
  <c r="C1040" i="1"/>
  <c r="C1041" i="1"/>
  <c r="C1042" i="1"/>
  <c r="C1043" i="1"/>
  <c r="C1044" i="1"/>
  <c r="C1045" i="1"/>
  <c r="C1046" i="1"/>
  <c r="C1048" i="1"/>
  <c r="C1049" i="1"/>
  <c r="C1050" i="1"/>
  <c r="C1051" i="1"/>
  <c r="C1052" i="1"/>
  <c r="C1053" i="1"/>
  <c r="C1054" i="1"/>
  <c r="C1056" i="1"/>
  <c r="C1057" i="1"/>
  <c r="C1058" i="1"/>
  <c r="C1059" i="1"/>
  <c r="C1060" i="1"/>
  <c r="C1061" i="1"/>
  <c r="C1062" i="1"/>
  <c r="C1063" i="1"/>
  <c r="C1065" i="1"/>
  <c r="C1066" i="1"/>
  <c r="C1068" i="1"/>
  <c r="C1069" i="1"/>
  <c r="C1070" i="1"/>
  <c r="C1071" i="1"/>
  <c r="C1072" i="1"/>
  <c r="C1073" i="1"/>
  <c r="C1075" i="1"/>
  <c r="C1077" i="1"/>
  <c r="C1078" i="1"/>
  <c r="C1079" i="1"/>
  <c r="C1080" i="1"/>
  <c r="C1081" i="1"/>
  <c r="C1082" i="1"/>
  <c r="C1083" i="1"/>
  <c r="C1084" i="1"/>
  <c r="C1086" i="1"/>
  <c r="C1087" i="1"/>
  <c r="C1088" i="1"/>
  <c r="C1091" i="1"/>
  <c r="C1092" i="1"/>
  <c r="C1094" i="1"/>
  <c r="C1095" i="1"/>
  <c r="C1096" i="1"/>
  <c r="C1098" i="1"/>
  <c r="C1099" i="1"/>
  <c r="C1100" i="1"/>
  <c r="C1101" i="1"/>
  <c r="C1103" i="1"/>
  <c r="C1104" i="1"/>
  <c r="C1105" i="1"/>
  <c r="C1107" i="1"/>
  <c r="C1109" i="1"/>
  <c r="C1110" i="1"/>
  <c r="C1111" i="1"/>
  <c r="C1113" i="1"/>
  <c r="C1114" i="1"/>
  <c r="C1115" i="1"/>
  <c r="C1116" i="1"/>
  <c r="C1117" i="1"/>
  <c r="C1118" i="1"/>
  <c r="C1119" i="1"/>
  <c r="C1120" i="1"/>
  <c r="C1121" i="1"/>
  <c r="C1122" i="1"/>
  <c r="C1123" i="1"/>
  <c r="C2" i="1"/>
  <c r="K620" i="1"/>
  <c r="J1015" i="1"/>
</calcChain>
</file>

<file path=xl/sharedStrings.xml><?xml version="1.0" encoding="utf-8"?>
<sst xmlns="http://schemas.openxmlformats.org/spreadsheetml/2006/main" count="13035" uniqueCount="6209">
  <si>
    <t>S No</t>
  </si>
  <si>
    <t>Customer Name</t>
  </si>
  <si>
    <t>Model</t>
  </si>
  <si>
    <t>Status</t>
  </si>
  <si>
    <t>Contact Person</t>
  </si>
  <si>
    <t>Designation</t>
  </si>
  <si>
    <t>City</t>
  </si>
  <si>
    <t>Pin</t>
  </si>
  <si>
    <t>State</t>
  </si>
  <si>
    <t>Country</t>
  </si>
  <si>
    <t>Z</t>
  </si>
  <si>
    <t>A</t>
  </si>
  <si>
    <t>R</t>
  </si>
  <si>
    <t>C</t>
  </si>
  <si>
    <t>Security Reqd</t>
  </si>
  <si>
    <t>Weekly Off</t>
  </si>
  <si>
    <t>Sesha Tools Pvt Ltd</t>
  </si>
  <si>
    <t>Proprietor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</si>
  <si>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26686505</t>
    </r>
  </si>
  <si>
    <t>N.S.Palya</t>
  </si>
  <si>
    <r>
      <t>BTM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</si>
  <si>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t>Bangalore</t>
  </si>
  <si>
    <t>KA</t>
  </si>
  <si>
    <t>India</t>
  </si>
  <si>
    <t>BLR</t>
  </si>
  <si>
    <t>Banashankari</t>
  </si>
  <si>
    <r>
      <t>Pro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Innovative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Technologies.</t>
    </r>
  </si>
  <si>
    <r>
      <t>Mr.Dhiren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</si>
  <si>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Managing Director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</si>
  <si>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23307067</t>
    </r>
  </si>
  <si>
    <t>Rajajinagar</t>
  </si>
  <si>
    <t>Peenya</t>
  </si>
  <si>
    <t>Die-Tech India pvt Ltd</t>
  </si>
  <si>
    <t>Mr.Prabhakaran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</si>
  <si>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-22520673</t>
    </r>
  </si>
  <si>
    <r>
      <t>Pillaiyar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</si>
  <si>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r>
      <t>Manapakkam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</t>
    </r>
  </si>
  <si>
    <t>Chennai</t>
  </si>
  <si>
    <t>TN</t>
  </si>
  <si>
    <t>CHN</t>
  </si>
  <si>
    <t>Sriperumbadur</t>
  </si>
  <si>
    <r>
      <t>Elan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</si>
  <si>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2015J LX</t>
  </si>
  <si>
    <r>
      <t>Mr.Venkat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Nagaraj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</si>
  <si>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-24992910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</si>
  <si>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Floor</t>
    </r>
  </si>
  <si>
    <r>
      <t>East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Adhiramapuram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1st</t>
    </r>
  </si>
  <si>
    <t>Mylapore</t>
  </si>
  <si>
    <r>
      <t>NSTL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</si>
  <si>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>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</si>
  <si>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Garg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</si>
  <si>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-23078371</t>
    </r>
  </si>
  <si>
    <r>
      <t>I.E.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Kukatpally</t>
    </r>
  </si>
  <si>
    <t>Hyderabad</t>
  </si>
  <si>
    <t>AP</t>
  </si>
  <si>
    <t>HYD</t>
  </si>
  <si>
    <t>Jeedimetla</t>
  </si>
  <si>
    <r>
      <t>Integra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</si>
  <si>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Mr.Jyothi</t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</si>
  <si>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</si>
  <si>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-26251303</t>
    </r>
  </si>
  <si>
    <r>
      <t>Sidco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</si>
  <si>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t>Ambattur</t>
  </si>
  <si>
    <t>SKF Technologies India Pvt Ltd</t>
  </si>
  <si>
    <t>Mr.Vadiraja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</si>
  <si>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</si>
  <si>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-25730207</t>
    </r>
  </si>
  <si>
    <r>
      <t>13th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KM,Hosur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</si>
  <si>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Bommasandra</t>
  </si>
  <si>
    <r>
      <t>Iscon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Surgicals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</si>
  <si>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Mr.N.K.Jain</t>
  </si>
  <si>
    <t>Director</t>
  </si>
  <si>
    <t>0291-2635164</t>
  </si>
  <si>
    <t>Jodhpur</t>
  </si>
  <si>
    <t>RJ</t>
  </si>
  <si>
    <t>NCR</t>
  </si>
  <si>
    <r>
      <t>Vaish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</si>
  <si>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Mr.Ashir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Vaish</t>
    </r>
  </si>
  <si>
    <r>
      <t>011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5438057</t>
    </r>
  </si>
  <si>
    <t>Phase-II</t>
  </si>
  <si>
    <t>New Delhi</t>
  </si>
  <si>
    <t>DL</t>
  </si>
  <si>
    <t>Delhi/ New Delhi</t>
  </si>
  <si>
    <t>Rachel Engineering</t>
  </si>
  <si>
    <t>Mr.Manoj</t>
  </si>
  <si>
    <t>080-25734593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</si>
  <si>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Kalaniketan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School</t>
    </r>
  </si>
  <si>
    <r>
      <t>Kudlu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</si>
  <si>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t>Nelamangal</t>
  </si>
  <si>
    <r>
      <t>Mastercraft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</si>
  <si>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4020J LX</t>
  </si>
  <si>
    <t>Mr.Pandian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</si>
  <si>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</t>
    </r>
  </si>
  <si>
    <t>080-7834750</t>
  </si>
  <si>
    <r>
      <t>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Phase,</t>
    </r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</si>
  <si>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Hobli</t>
    </r>
  </si>
  <si>
    <r>
      <t>GKDITR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</si>
  <si>
    <r>
      <t>Mr.Hari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</si>
  <si>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</si>
  <si>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0422-2360294</t>
  </si>
  <si>
    <r>
      <t>Arasur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</si>
  <si>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t>Coimbatore</t>
  </si>
  <si>
    <t>CBE</t>
  </si>
  <si>
    <t>Arasur</t>
  </si>
  <si>
    <r>
      <t>Candid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Micron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Measurements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</si>
  <si>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Mr.Viswanathan</t>
  </si>
  <si>
    <t>0422-3955527</t>
  </si>
  <si>
    <r>
      <t>Athipalayam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Junction</t>
    </r>
  </si>
  <si>
    <r>
      <t>Sathy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</t>
    </r>
  </si>
  <si>
    <t xml:space="preserve">Ganapathy </t>
  </si>
  <si>
    <r>
      <t>Bosch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</si>
  <si>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Mr.Shaheed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</si>
  <si>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41035508</t>
    </r>
  </si>
  <si>
    <r>
      <t>Hosa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</si>
  <si>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</si>
  <si>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E-City</t>
  </si>
  <si>
    <t>SSF Plastics India Pvt Ltd</t>
  </si>
  <si>
    <r>
      <t>Mr.Krishnamurthy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</si>
  <si>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(Quality)</t>
    </r>
  </si>
  <si>
    <t>04344-277084</t>
  </si>
  <si>
    <r>
      <t>Sipcot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</si>
  <si>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t>Hosur</t>
  </si>
  <si>
    <r>
      <t>Omni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Matrix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</si>
  <si>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Chabria</t>
    </r>
  </si>
  <si>
    <t>080-23359028</t>
  </si>
  <si>
    <r>
      <t>Samvardhana Motherson Intern L (Motherson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L)</t>
    </r>
  </si>
  <si>
    <t>Mr.Ananthram</t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</si>
  <si>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</si>
  <si>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080-51952299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</si>
  <si>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Area,</t>
    </r>
  </si>
  <si>
    <t>College of Engg</t>
  </si>
  <si>
    <t>Mr.Farook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</si>
  <si>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Prof.</t>
    </r>
  </si>
  <si>
    <t>0471-2515518</t>
  </si>
  <si>
    <t>Engineering College P.O</t>
  </si>
  <si>
    <t>Tiruvananthapuram</t>
  </si>
  <si>
    <t>KL</t>
  </si>
  <si>
    <t>Kochin</t>
  </si>
  <si>
    <r>
      <t>Parle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Elizabeth Tools Pvt Ltd.</t>
    </r>
  </si>
  <si>
    <t>Mr. Subham Purohit</t>
  </si>
  <si>
    <t>Executive Purchase</t>
  </si>
  <si>
    <t>BOL GIDC</t>
  </si>
  <si>
    <t>Sanand-II</t>
  </si>
  <si>
    <t>Ahmedabad</t>
  </si>
  <si>
    <t>GJ</t>
  </si>
  <si>
    <t>Sanand</t>
  </si>
  <si>
    <t>Sansera Engg (P) Ltd</t>
  </si>
  <si>
    <r>
      <t>Mr.Venkatesh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Murth</t>
    </r>
  </si>
  <si>
    <t>080-7833056</t>
  </si>
  <si>
    <r>
      <t>TGT Tech Pvt Ltd (Tool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Grinding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Inc.)</t>
    </r>
  </si>
  <si>
    <r>
      <t>Mr.Santosh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Prabhu</t>
    </r>
  </si>
  <si>
    <t>Partner</t>
  </si>
  <si>
    <t>080-41170352</t>
  </si>
  <si>
    <r>
      <t>12th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</si>
  <si>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</t>
    </r>
  </si>
  <si>
    <t>Prismatic Engg</t>
  </si>
  <si>
    <t>3.4M</t>
  </si>
  <si>
    <t>Mr.Pandit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</si>
  <si>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25537234</t>
    </r>
  </si>
  <si>
    <r>
      <t>III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Block</t>
    </r>
  </si>
  <si>
    <t>Koramangala</t>
  </si>
  <si>
    <t>Jigani</t>
  </si>
  <si>
    <r>
      <t>Hical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</si>
  <si>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Mr.Ranganath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</si>
  <si>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</si>
  <si>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28521053</t>
    </r>
  </si>
  <si>
    <r>
      <t>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</si>
  <si>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</si>
  <si>
    <r>
      <t>Dagger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Master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</si>
  <si>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Mr.K.K.Narayan</t>
  </si>
  <si>
    <t>0240-2482559</t>
  </si>
  <si>
    <t>Aurangabad</t>
  </si>
  <si>
    <t>MH</t>
  </si>
  <si>
    <r>
      <t>SVP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</si>
  <si>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</si>
  <si>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022-39431516</t>
  </si>
  <si>
    <r>
      <t>512,S.V.P.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</si>
  <si>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Thane</t>
  </si>
  <si>
    <t>Palghar</t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</si>
  <si>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Needles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</si>
  <si>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Mr.Chiranjiv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</si>
  <si>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t>0120-2581002</t>
  </si>
  <si>
    <r>
      <rPr>
        <sz val="6"/>
        <color rgb="FF000000"/>
        <rFont val="Calibri"/>
      </rPr>
      <t>Gautam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Budha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Nagar(U.P)</t>
    </r>
  </si>
  <si>
    <r>
      <t>G.B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</si>
  <si>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UP</t>
  </si>
  <si>
    <t>Noida</t>
  </si>
  <si>
    <r>
      <t>Mars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</si>
  <si>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Udhayagiri</t>
    </r>
  </si>
  <si>
    <r>
      <t>044-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23820131</t>
    </r>
  </si>
  <si>
    <t>Gerugamvakkam</t>
  </si>
  <si>
    <r>
      <t>Midhani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</si>
  <si>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8371</t>
    </r>
  </si>
  <si>
    <r>
      <t>Prashanthi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Nagar,</t>
    </r>
  </si>
  <si>
    <t>Technicraft</t>
  </si>
  <si>
    <t>Mr.Krishnakumar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</si>
  <si>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65706497</t>
    </r>
  </si>
  <si>
    <r>
      <t>JC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</si>
  <si>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Yelchanahalli</t>
  </si>
  <si>
    <t>Kanakapura</t>
  </si>
  <si>
    <r>
      <t>Athereya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</si>
  <si>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Sivasubramanian</t>
    </r>
  </si>
  <si>
    <t>044-2834101016/17</t>
  </si>
  <si>
    <t>Madhananthapuram</t>
  </si>
  <si>
    <t>Porur</t>
  </si>
  <si>
    <r>
      <t>Centum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</si>
  <si>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Badiger</t>
    </r>
  </si>
  <si>
    <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</si>
  <si>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080-28460666</t>
  </si>
  <si>
    <r>
      <t>Yelahanka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New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</t>
    </r>
  </si>
  <si>
    <t>Devanahalli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</si>
  <si>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Controls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</si>
  <si>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Khadilkar</t>
    </r>
  </si>
  <si>
    <r>
      <t>DGM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</si>
  <si>
    <r>
      <t>020-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27122441</t>
    </r>
  </si>
  <si>
    <t>Bhosari</t>
  </si>
  <si>
    <t>Pune</t>
  </si>
  <si>
    <r>
      <t>Nicholas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Piramal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</si>
  <si>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Kishore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</si>
  <si>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Purchase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</si>
  <si>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56636666</t>
    </r>
  </si>
  <si>
    <r>
      <t>Lower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Parel</t>
    </r>
  </si>
  <si>
    <t>Mumbai</t>
  </si>
  <si>
    <t xml:space="preserve">Dadar </t>
  </si>
  <si>
    <r>
      <t>Maini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</si>
  <si>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Mr.Anand.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</si>
  <si>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DGM,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</si>
  <si>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080-22898900</t>
  </si>
  <si>
    <r>
      <t>MTL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</si>
  <si>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Mr.A.Venkatesan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</si>
  <si>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24501552</t>
    </r>
  </si>
  <si>
    <t>Solinganallur</t>
  </si>
  <si>
    <t>OMR</t>
  </si>
  <si>
    <t>Alagappa Chettiar College of Engg</t>
  </si>
  <si>
    <r>
      <t>HOD,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Engg.</t>
    </r>
  </si>
  <si>
    <t>Karaikudi</t>
  </si>
  <si>
    <t>Pondicherry</t>
  </si>
  <si>
    <r>
      <t>Trishul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</si>
  <si>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Shiva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Shankaraia</t>
    </r>
  </si>
  <si>
    <t>080-27836166</t>
  </si>
  <si>
    <r>
      <t>JBJ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</si>
  <si>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Purohit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</si>
  <si>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</si>
  <si>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t>0120-2425180</t>
  </si>
  <si>
    <t>Sector-8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</si>
  <si>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Nirmal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</si>
  <si>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Purch</t>
    </r>
  </si>
  <si>
    <t>080-28394116</t>
  </si>
  <si>
    <r>
      <t>Shree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Athreya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</si>
  <si>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Madhu</t>
    </r>
  </si>
  <si>
    <t>080-26546193</t>
  </si>
  <si>
    <t>Veerasandra</t>
  </si>
  <si>
    <t>2ndstage,Husku</t>
  </si>
  <si>
    <r>
      <t>Dalal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</si>
  <si>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Murtaza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Dalal</t>
    </r>
  </si>
  <si>
    <t>CEO</t>
  </si>
  <si>
    <t>022-27692065</t>
  </si>
  <si>
    <r>
      <t>digha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Village,Post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Airolli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</si>
  <si>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Sandoz,Than</t>
    </r>
  </si>
  <si>
    <r>
      <t>Navi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Mumbai</t>
    </r>
  </si>
  <si>
    <t>Navi Mumbai</t>
  </si>
  <si>
    <r>
      <t>Positronic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Interconnects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</si>
  <si>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Milind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Deshpand</t>
    </r>
  </si>
  <si>
    <t>020-24395014</t>
  </si>
  <si>
    <t>Nahre</t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</si>
  <si>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Sinhagad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</si>
  <si>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r>
      <t>SJS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</si>
  <si>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Mr.Adiga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</si>
  <si>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-28425055</t>
    </r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</si>
  <si>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</si>
  <si>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</si>
  <si>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</si>
  <si>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</t>
    </r>
  </si>
  <si>
    <t>08221-304000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</si>
  <si>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</si>
  <si>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Nanjangud</t>
  </si>
  <si>
    <t>Mysore</t>
  </si>
  <si>
    <r>
      <rPr>
        <sz val="6"/>
        <color rgb="FF000000"/>
        <rFont val="Calibri"/>
      </rPr>
      <t>Motherson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Innovative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Engg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Solutions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P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</si>
  <si>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Jindal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</si>
  <si>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Prod.</t>
    </r>
  </si>
  <si>
    <t>080-41952222</t>
  </si>
  <si>
    <t>Chengalpattu-Sriperamba</t>
  </si>
  <si>
    <t>Oragadam</t>
  </si>
  <si>
    <r>
      <t>Stumpp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Schuele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</si>
  <si>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</si>
  <si>
    <r>
      <t>Chief,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</si>
  <si>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080-25532335</t>
  </si>
  <si>
    <r>
      <t>Jakap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</si>
  <si>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Anjaria</t>
    </r>
  </si>
  <si>
    <r>
      <t>Chmn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MD</t>
    </r>
  </si>
  <si>
    <t>020-22923721</t>
  </si>
  <si>
    <t>Pirangut</t>
  </si>
  <si>
    <t>Taluka-Mulshi</t>
  </si>
  <si>
    <r>
      <t>Central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Electrochemical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Research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</si>
  <si>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</si>
  <si>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</t>
    </r>
  </si>
  <si>
    <t>04565-227550</t>
  </si>
  <si>
    <r>
      <t>Microtech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</si>
  <si>
    <t>V3.4J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</si>
  <si>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Gunasekaran</t>
    </r>
  </si>
  <si>
    <r>
      <t>St.Thomas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Mount</t>
    </r>
  </si>
  <si>
    <t>Guindy</t>
  </si>
  <si>
    <r>
      <t>Abhi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burnishing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</si>
  <si>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2015J HT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</si>
  <si>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Gopal</t>
    </r>
  </si>
  <si>
    <t>0422-2560532</t>
  </si>
  <si>
    <t>Avarampalayam</t>
  </si>
  <si>
    <r>
      <t>EssKay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</si>
  <si>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Soni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</si>
  <si>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26778473,</t>
    </r>
  </si>
  <si>
    <r>
      <t>Block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Navrang</t>
    </r>
  </si>
  <si>
    <r>
      <t>Anderi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(W)</t>
    </r>
  </si>
  <si>
    <t>Accusharp</t>
  </si>
  <si>
    <t>TIS-002</t>
  </si>
  <si>
    <t>TIS-2015</t>
  </si>
  <si>
    <r>
      <t>Mr.Ayaz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Shaikh</t>
    </r>
  </si>
  <si>
    <t>020-27129016</t>
  </si>
  <si>
    <r>
      <t>Telco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Road,MIDC</t>
    </r>
  </si>
  <si>
    <r>
      <t>Harkesh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</si>
  <si>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</si>
  <si>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022-28364847,</t>
  </si>
  <si>
    <r>
      <t>Murga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</si>
  <si>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t>Nashik</t>
  </si>
  <si>
    <t>Maraica Industries</t>
  </si>
  <si>
    <t>V3.5J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</si>
  <si>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Das</t>
    </r>
  </si>
  <si>
    <t>Manager</t>
  </si>
  <si>
    <r>
      <t>033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2237-1075</t>
    </r>
  </si>
  <si>
    <t>Kolkata</t>
  </si>
  <si>
    <t>WB</t>
  </si>
  <si>
    <r>
      <t>Federal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Mogul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Bearings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</si>
  <si>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935 (111)</t>
  </si>
  <si>
    <r>
      <t>Mr.Riten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Mandel</t>
    </r>
  </si>
  <si>
    <r>
      <t>QA,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</si>
  <si>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01792-232011,12</t>
  </si>
  <si>
    <t>section-2</t>
  </si>
  <si>
    <t>Parwanoo</t>
  </si>
  <si>
    <t>HP</t>
  </si>
  <si>
    <r>
      <rPr>
        <sz val="6"/>
        <color rgb="FF000000"/>
        <rFont val="Calibri"/>
      </rPr>
      <t>Spectrum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Tool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Engineers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(P)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</si>
  <si>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Sudarshan</t>
    </r>
  </si>
  <si>
    <t>MD</t>
  </si>
  <si>
    <t>080-23488629</t>
  </si>
  <si>
    <t>Kamashipalaya</t>
  </si>
  <si>
    <r>
      <t>Magadi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</si>
  <si>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Magadi Rd</t>
  </si>
  <si>
    <r>
      <t>JP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</si>
  <si>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Vikram</t>
    </r>
  </si>
  <si>
    <t>080-25534660</t>
  </si>
  <si>
    <t>Caparo Engg India Pvt. Ltd</t>
  </si>
  <si>
    <t>2015J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</si>
  <si>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Mahantesh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</t>
    </r>
  </si>
  <si>
    <r>
      <t>Mgr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(AF</t>
    </r>
  </si>
  <si>
    <t>044-32001452</t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</si>
  <si>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III,S.V.Chatram,</t>
    </r>
  </si>
  <si>
    <t>Sriperumbudur</t>
  </si>
  <si>
    <t>Kanchipuram</t>
  </si>
  <si>
    <r>
      <t>KJK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Polydiamonds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</si>
  <si>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</si>
  <si>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H.P.</t>
  </si>
  <si>
    <t>Kandanchavadi</t>
  </si>
  <si>
    <r>
      <t>IP Rings Ltd (IP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</si>
  <si>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Prakash</t>
    </r>
  </si>
  <si>
    <t>GM</t>
  </si>
  <si>
    <t>044-27452394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</si>
  <si>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</si>
  <si>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Maraimalai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</si>
  <si>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Chengalpet</t>
  </si>
  <si>
    <t>MM Nagar</t>
  </si>
  <si>
    <r>
      <t>Mudra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Pressings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</si>
  <si>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Thyagarajan</t>
    </r>
  </si>
  <si>
    <t>044-26811676</t>
  </si>
  <si>
    <t>Thirumzhisai</t>
  </si>
  <si>
    <t>Rimtex Engg P Ltd.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</si>
  <si>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Bhavesh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Chauha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</si>
  <si>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Projec</t>
    </r>
  </si>
  <si>
    <t>2752-243322</t>
  </si>
  <si>
    <t>GIDC</t>
  </si>
  <si>
    <t>Wadhwan</t>
  </si>
  <si>
    <r>
      <t>Surender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</si>
  <si>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Nebula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</si>
  <si>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Gururaj</t>
    </r>
  </si>
  <si>
    <t>080-65607736</t>
  </si>
  <si>
    <r>
      <t>Ideal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Township</t>
    </r>
  </si>
  <si>
    <t>Rajarajeshwari</t>
  </si>
  <si>
    <r>
      <t>VMX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Connectors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</si>
  <si>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Mr.Dhananjay</t>
  </si>
  <si>
    <t>080-65668008</t>
  </si>
  <si>
    <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Stage,Estate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Club</t>
    </r>
  </si>
  <si>
    <r>
      <t>Huskur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</si>
  <si>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Harohalli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</si>
  <si>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 (old Mc No.79)</t>
    </r>
  </si>
  <si>
    <t>Mr. Balaji.K</t>
  </si>
  <si>
    <t>Senior Engineer – Sourcing</t>
  </si>
  <si>
    <t>Malumachampatti</t>
  </si>
  <si>
    <t>Pollachi Rd</t>
  </si>
  <si>
    <r>
      <t>Universal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Flexible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</si>
  <si>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Mr.V.Radhakrishnan</t>
  </si>
  <si>
    <t>G.M.</t>
  </si>
  <si>
    <r>
      <t>Whitefield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</si>
  <si>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Mahadevapura</t>
  </si>
  <si>
    <t>WhiteField</t>
  </si>
  <si>
    <r>
      <t>Excelon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</si>
  <si>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Mr.Binu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Gopinath</t>
    </r>
  </si>
  <si>
    <t>080-28360216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</si>
  <si>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</si>
  <si>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058</t>
    </r>
  </si>
  <si>
    <r>
      <t>Zenith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</si>
  <si>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Mr.Deepak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Pinto</t>
    </r>
  </si>
  <si>
    <t>Phoenix Textile Engg Pvt Ltd</t>
  </si>
  <si>
    <r>
      <t>Mr.Raghunath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Kadilk</t>
    </r>
  </si>
  <si>
    <t>020-65619961</t>
  </si>
  <si>
    <t>Hadapsar</t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</si>
  <si>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</si>
  <si>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Mr.A.Sampanth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</t>
    </r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</si>
  <si>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GM-Pur</t>
    </r>
  </si>
  <si>
    <r>
      <t>Annur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Avinashi</t>
    </r>
  </si>
  <si>
    <t>Annur</t>
  </si>
  <si>
    <t>Precitherm (Do All Engg )</t>
  </si>
  <si>
    <r>
      <t>Vaibhav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</si>
  <si>
    <r>
      <t>0831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2441213</t>
    </r>
  </si>
  <si>
    <t>Udyambag</t>
  </si>
  <si>
    <t>Belgaum</t>
  </si>
  <si>
    <r>
      <t>Sharp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</si>
  <si>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TIS004</t>
  </si>
  <si>
    <t>TIS150</t>
  </si>
  <si>
    <r>
      <t>Mr.Nitin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</si>
  <si>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t>0124-2341553</t>
  </si>
  <si>
    <r>
      <t>Maruti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</si>
  <si>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t>Sector-18</t>
  </si>
  <si>
    <t>Gurgaon</t>
  </si>
  <si>
    <t>HR</t>
  </si>
  <si>
    <r>
      <t>Mindarika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</si>
  <si>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Mr.Abhishek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</si>
  <si>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Sikandarpur-Badha</t>
  </si>
  <si>
    <r>
      <t>AeroMech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</si>
  <si>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Mr.Sridhar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Raju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</si>
  <si>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23455599</t>
    </r>
  </si>
  <si>
    <r>
      <t>Lakshmipuram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Rd,</t>
    </r>
  </si>
  <si>
    <t>Abbigere</t>
  </si>
  <si>
    <r>
      <t>Kesaria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</si>
  <si>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</si>
  <si>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0124-2307503</t>
  </si>
  <si>
    <r>
      <t>VPO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Kalan,</t>
    </r>
  </si>
  <si>
    <t>NH8</t>
  </si>
  <si>
    <r>
      <t>Best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</si>
  <si>
    <t>3.4J CX</t>
  </si>
  <si>
    <t>Mr.Zawahar</t>
  </si>
  <si>
    <t>C.E.O.</t>
  </si>
  <si>
    <t>0422-2</t>
  </si>
  <si>
    <t>Ganapathy</t>
  </si>
  <si>
    <r>
      <t>Havells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</si>
  <si>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4020J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</si>
  <si>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Mathur</t>
    </r>
  </si>
  <si>
    <t>0120-2377777</t>
  </si>
  <si>
    <r>
      <t>Mathura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</si>
  <si>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Faridabad</t>
  </si>
  <si>
    <r>
      <t>Sun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Casting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</si>
  <si>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Manjunath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Samp</t>
    </r>
  </si>
  <si>
    <t>080-26662001</t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</si>
  <si>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</si>
  <si>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Nutech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</si>
  <si>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Mr.Kishor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Patel</t>
    </r>
  </si>
  <si>
    <t>02525-255107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</si>
  <si>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Factory</t>
    </r>
  </si>
  <si>
    <r>
      <t>Veoor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</si>
  <si>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First Engg Plastics (I) (P) Ltd</t>
  </si>
  <si>
    <t>Mr.Nagarajan.A</t>
  </si>
  <si>
    <r>
      <t>Design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</si>
  <si>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044-47112000</t>
  </si>
  <si>
    <t>SIPCOT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</si>
  <si>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</si>
  <si>
    <t>Irungattukottai</t>
  </si>
  <si>
    <r>
      <t>Terminal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</si>
  <si>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Anto</t>
    </r>
  </si>
  <si>
    <t>0250-2456253</t>
  </si>
  <si>
    <r>
      <t>Merchant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</t>
    </r>
  </si>
  <si>
    <r>
      <t>Valiv,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Vasai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</si>
  <si>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Prashanth</t>
    </r>
  </si>
  <si>
    <r>
      <t>Plant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</si>
  <si>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Nanekarwadi</t>
  </si>
  <si>
    <r>
      <t>Chakan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Khed</t>
    </r>
  </si>
  <si>
    <t>Chakan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</si>
  <si>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</si>
  <si>
    <r>
      <t>Rockman Industries Ltd (Sargam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Diecastings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</si>
  <si>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</si>
  <si>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r>
      <t>(M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</si>
  <si>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044-42213333,</t>
  </si>
  <si>
    <t>Thoraipakkam</t>
  </si>
  <si>
    <r>
      <t>Leggett &amp; Platt Automotive (I) Pvt Ltd (L&amp;P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Comfort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</si>
  <si>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Madanagopal</t>
    </r>
  </si>
  <si>
    <t>(SM-O)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</si>
  <si>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27699816</t>
    </r>
  </si>
  <si>
    <r>
      <t>Perambakkam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</t>
    </r>
  </si>
  <si>
    <t>Tiruvallur</t>
  </si>
  <si>
    <t>Thiruvallur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</si>
  <si>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</si>
  <si>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Boopalan</t>
    </r>
  </si>
  <si>
    <t>(SE-Q)</t>
  </si>
  <si>
    <t>0422-2530914</t>
  </si>
  <si>
    <r>
      <t>Patco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</si>
  <si>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</si>
  <si>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6601764</t>
    </r>
  </si>
  <si>
    <t>MIDC</t>
  </si>
  <si>
    <t>Ambad</t>
  </si>
  <si>
    <t>RR Precision (India) Pvt Ltd (RR Engg &amp; Export)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</si>
  <si>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Jayaraj</t>
    </r>
  </si>
  <si>
    <t>08512-41313607</t>
  </si>
  <si>
    <t>Tamka</t>
  </si>
  <si>
    <t>Kolar</t>
  </si>
  <si>
    <r>
      <t>Delphi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</si>
  <si>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Mr.S.S.Balasubraman</t>
  </si>
  <si>
    <r>
      <t>(AGM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</si>
  <si>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044-27659222</t>
  </si>
  <si>
    <r>
      <t>Supreme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</si>
  <si>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Sundarapandia</t>
    </r>
  </si>
  <si>
    <t>(Mgr-QA)</t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</si>
  <si>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2660933</t>
    </r>
  </si>
  <si>
    <t>Mangalam,</t>
  </si>
  <si>
    <r>
      <t>Villianur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Comm</t>
    </r>
  </si>
  <si>
    <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Engravers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</si>
  <si>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Harti</t>
    </r>
  </si>
  <si>
    <t>020-26456085</t>
  </si>
  <si>
    <t>45/2,</t>
  </si>
  <si>
    <r>
      <t>Shankarshet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</si>
  <si>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t>BVGK Engg P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</si>
  <si>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</si>
  <si>
    <r>
      <t>(GM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-O)</t>
    </r>
  </si>
  <si>
    <t>044-43108494</t>
  </si>
  <si>
    <r>
      <t>GE Renewabla Energy Technologies Pvt Ltd (GE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</si>
  <si>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Shastry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</si>
  <si>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40121135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</si>
  <si>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Hoodi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</si>
  <si>
    <r>
      <t>White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Field</t>
    </r>
  </si>
  <si>
    <r>
      <t>Reliance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</si>
  <si>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V2015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</si>
  <si>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Venkataraman</t>
    </r>
  </si>
  <si>
    <t>044-25587523</t>
  </si>
  <si>
    <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</si>
  <si>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t>Sembiam</t>
  </si>
  <si>
    <t>Mr.Sridhar</t>
  </si>
  <si>
    <t>080-26686505</t>
  </si>
  <si>
    <t>N.S.Palya,</t>
  </si>
  <si>
    <t>TIS003</t>
  </si>
  <si>
    <t>TIS2015</t>
  </si>
  <si>
    <r>
      <t>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Testing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</si>
  <si>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Anandache</t>
    </r>
  </si>
  <si>
    <r>
      <t>2422457,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3351,</t>
    </r>
  </si>
  <si>
    <t>Ichalkaranji</t>
  </si>
  <si>
    <t>Kolhapur</t>
  </si>
  <si>
    <r>
      <t>Goodrich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Aerospace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</si>
  <si>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Guruprasad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</si>
  <si>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66165501</t>
    </r>
  </si>
  <si>
    <t>Rajapalya</t>
  </si>
  <si>
    <r>
      <t>ITPL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</si>
  <si>
    <r>
      <t>Prisms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</si>
  <si>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V.Jayaram</t>
    </r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</si>
  <si>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2277059</t>
    </r>
  </si>
  <si>
    <t>Mettupalayam</t>
  </si>
  <si>
    <r>
      <t>Toyota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Kirloskar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</si>
  <si>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</si>
  <si>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08027287141/143</t>
  </si>
  <si>
    <t>Bidadi</t>
  </si>
  <si>
    <r>
      <t>Besmak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</si>
  <si>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Nagarajan</t>
    </r>
  </si>
  <si>
    <t>044-26802210</t>
  </si>
  <si>
    <r>
      <t>Poonamalle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MnRoad,</t>
    </r>
  </si>
  <si>
    <t>Veeraraghavapu</t>
  </si>
  <si>
    <t>Avadi</t>
  </si>
  <si>
    <r>
      <t>Bhumi</t>
    </r>
    <r>
      <rPr>
        <sz val="6"/>
        <color rgb="FF000000"/>
        <rFont val="Times New Roman"/>
        <family val="1"/>
      </rPr>
      <t xml:space="preserve"> B</t>
    </r>
    <r>
      <rPr>
        <sz val="6"/>
        <color rgb="FF000000"/>
        <rFont val="Calibri"/>
        <family val="2"/>
      </rPr>
      <t>rass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Alloy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</si>
  <si>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Tushar</t>
    </r>
  </si>
  <si>
    <t>0288-2730269</t>
  </si>
  <si>
    <t>Dared</t>
  </si>
  <si>
    <t>Jamnagar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</si>
  <si>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Dilber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Bisht</t>
    </r>
  </si>
  <si>
    <r>
      <t>West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Pharmaceutical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Singapore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</si>
  <si>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OC</t>
  </si>
  <si>
    <t>Singapore</t>
  </si>
  <si>
    <t>OVR</t>
  </si>
  <si>
    <r>
      <t>Precihole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</si>
  <si>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Mr.Prashant Shinde</t>
  </si>
  <si>
    <t>Ranjnoli, Behaind Balaji Motors</t>
  </si>
  <si>
    <t xml:space="preserve"> Bhiwandi Kalyan Road</t>
  </si>
  <si>
    <t>Kalyan</t>
  </si>
  <si>
    <t>Chakradhara Aerospace &amp; Cargo Pvt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</si>
  <si>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Sridhar</t>
    </r>
  </si>
  <si>
    <t>(SM-QMS)</t>
  </si>
  <si>
    <t>0422-2666151</t>
  </si>
  <si>
    <t>Kalapatti</t>
  </si>
  <si>
    <t>Kalapatti Rd</t>
  </si>
  <si>
    <r>
      <t>Optics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Allied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</si>
  <si>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Prasad</t>
    </r>
  </si>
  <si>
    <t>41163153/32911329</t>
  </si>
  <si>
    <r>
      <t>PT.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Tradisi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Industry</t>
    </r>
  </si>
  <si>
    <t>2015JLX</t>
  </si>
  <si>
    <t>+622189114065</t>
  </si>
  <si>
    <t>Karawang</t>
  </si>
  <si>
    <r>
      <t>Jawa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Barat</t>
    </r>
  </si>
  <si>
    <t>Indonesia</t>
  </si>
  <si>
    <r>
      <t>Amritha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Crafts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</si>
  <si>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Sajeed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E.A</t>
    </r>
  </si>
  <si>
    <t>(C.E.O)</t>
  </si>
  <si>
    <t>040-27260813</t>
  </si>
  <si>
    <t>Cheralapally</t>
  </si>
  <si>
    <r>
      <t>Craftsman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Automation Ltd</t>
    </r>
  </si>
  <si>
    <r>
      <t>MrA.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Natarajan</t>
    </r>
  </si>
  <si>
    <t>(M-QA)</t>
  </si>
  <si>
    <t>0422-3051000</t>
  </si>
  <si>
    <r>
      <t>GESCO Healthcare Pvt Ltd (General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Surgical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Company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</si>
  <si>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Samuel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George</t>
    </r>
  </si>
  <si>
    <t>044-28360602</t>
  </si>
  <si>
    <t>114,</t>
  </si>
  <si>
    <r>
      <t>Poonamallee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</t>
    </r>
  </si>
  <si>
    <t>Rams Engg Industries</t>
  </si>
  <si>
    <r>
      <t>Mr.Pradeep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Ramakris</t>
    </r>
  </si>
  <si>
    <t>044-26246523</t>
  </si>
  <si>
    <r>
      <t>Sunikh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</si>
  <si>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Khadar</t>
    </r>
  </si>
  <si>
    <t>080-32901400</t>
  </si>
  <si>
    <r>
      <t>Electronics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City,</t>
    </r>
  </si>
  <si>
    <r>
      <t>Sunvision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</si>
  <si>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Potdar</t>
    </r>
  </si>
  <si>
    <t>Chairman</t>
  </si>
  <si>
    <r>
      <t>022-2879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3358</t>
    </r>
  </si>
  <si>
    <r>
      <t>Tilak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2,M.G.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</si>
  <si>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r>
      <t>Goregaon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(W)</t>
    </r>
  </si>
  <si>
    <t>Goregaon</t>
  </si>
  <si>
    <r>
      <t>Savio India Ltd (Itema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Spinning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</si>
  <si>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B.Mohan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Gandhi</t>
    </r>
  </si>
  <si>
    <t>(M-QC)</t>
  </si>
  <si>
    <t>04259-259959</t>
  </si>
  <si>
    <r>
      <t>Pollachi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TK</t>
    </r>
  </si>
  <si>
    <r>
      <t>Trucut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Inc.</t>
    </r>
  </si>
  <si>
    <t>TIS002</t>
  </si>
  <si>
    <r>
      <t>Mr.Zuzer.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Lokat</t>
    </r>
  </si>
  <si>
    <t>044-26350520</t>
  </si>
  <si>
    <r>
      <t>Vanagaram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</si>
  <si>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Athipet,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Ambattur</t>
    </r>
  </si>
  <si>
    <r>
      <t>Protectron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</si>
  <si>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Sachin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Ujalambkar</t>
    </r>
  </si>
  <si>
    <t>080-26766696</t>
  </si>
  <si>
    <r>
      <t>Brigade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mm,</t>
    </r>
  </si>
  <si>
    <r>
      <t>Jayanagar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</si>
  <si>
    <r>
      <t>Microfine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Bushings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</si>
  <si>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Venkatasu</t>
    </r>
  </si>
  <si>
    <t>(JMD)</t>
  </si>
  <si>
    <t>044-26250432</t>
  </si>
  <si>
    <r>
      <t>Bhavani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</si>
  <si>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Chethan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Hegde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</si>
  <si>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41107365</t>
    </r>
  </si>
  <si>
    <r>
      <t>Electronics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</si>
  <si>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2(East)</t>
    </r>
  </si>
  <si>
    <r>
      <t>Rohit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group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</si>
  <si>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Aditya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Duggal</t>
    </r>
  </si>
  <si>
    <t>01276-267253</t>
  </si>
  <si>
    <r>
      <t>Part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</si>
  <si>
    <t>Bahadurgh</t>
  </si>
  <si>
    <t>Haryana</t>
  </si>
  <si>
    <t>Bahadurgarh</t>
  </si>
  <si>
    <r>
      <t>Piano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Presitel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</si>
  <si>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Balaramaiah</t>
    </r>
  </si>
  <si>
    <r>
      <t>2819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2573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74</t>
    </r>
  </si>
  <si>
    <r>
      <t>Goddev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</si>
  <si>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Bhayandar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East,</t>
    </r>
  </si>
  <si>
    <r>
      <rPr>
        <sz val="6"/>
        <color rgb="FF000000"/>
        <rFont val="Times New Roman"/>
        <family val="1"/>
      </rPr>
      <t xml:space="preserve">Newtech </t>
    </r>
    <r>
      <rPr>
        <sz val="6"/>
        <color rgb="FF000000"/>
        <rFont val="Calibri"/>
        <family val="2"/>
      </rPr>
      <t>Filter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</si>
  <si>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Sainimajra</t>
  </si>
  <si>
    <t>Tehsil: Nalagarh</t>
  </si>
  <si>
    <t>Solan</t>
  </si>
  <si>
    <r>
      <t>Exa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Thermometrics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</si>
  <si>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Chetana</t>
    </r>
  </si>
  <si>
    <t>080-28520048</t>
  </si>
  <si>
    <r>
      <t>Bhansali Precision (Bhansali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Components)</t>
    </r>
  </si>
  <si>
    <t>450 (136)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</si>
  <si>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Bhansali</t>
    </r>
  </si>
  <si>
    <r>
      <t>Executive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Direct</t>
    </r>
  </si>
  <si>
    <r>
      <t>080-250-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6453811</t>
    </r>
  </si>
  <si>
    <t>Ground Floor</t>
  </si>
  <si>
    <t>Haji Ahmed Ayub Khan Compound</t>
  </si>
  <si>
    <t>Vasai Phata, Vasai</t>
  </si>
  <si>
    <r>
      <t>Smith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</si>
  <si>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Parimal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Pal</t>
    </r>
  </si>
  <si>
    <t>011-22144552</t>
  </si>
  <si>
    <t>Patparganj</t>
  </si>
  <si>
    <t>Delhi</t>
  </si>
  <si>
    <r>
      <t>Master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</si>
  <si>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Kulkarni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</si>
  <si>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2381917</t>
    </r>
  </si>
  <si>
    <r>
      <t>Bosch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Drives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</si>
  <si>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Sankaran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Namboodiri</t>
    </r>
  </si>
  <si>
    <t>044-67410000</t>
  </si>
  <si>
    <r>
      <t>Karanaipudducheri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</si>
  <si>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t>Guduvancheri</t>
  </si>
  <si>
    <r>
      <t>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 (OCF Division)</t>
    </r>
  </si>
  <si>
    <t>Mr.Suresh</t>
  </si>
  <si>
    <t>044-27452816</t>
  </si>
  <si>
    <r>
      <t>Continental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</si>
  <si>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r>
      <t>Mr.Krishna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Nay</t>
    </r>
  </si>
  <si>
    <r>
      <t>Standards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Room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</si>
  <si>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66115893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</si>
  <si>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</si>
  <si>
    <r>
      <t>Elgi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Equipments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</si>
  <si>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Mr.Murli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Ramasamy</t>
    </r>
  </si>
  <si>
    <t>0422-2589555</t>
  </si>
  <si>
    <t>Singanallur</t>
  </si>
  <si>
    <r>
      <t>Right Industries (Numann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Industries)</t>
    </r>
  </si>
  <si>
    <t>Rajeswari Layout</t>
  </si>
  <si>
    <t>Zuzuwadi</t>
  </si>
  <si>
    <r>
      <t>Ess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</si>
  <si>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Hosmane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</si>
  <si>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23226272</t>
    </r>
  </si>
  <si>
    <r>
      <t>III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</si>
  <si>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t>Basaveshwaran</t>
  </si>
  <si>
    <r>
      <t>Samit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Writing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</si>
  <si>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Mr.Harshad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Gandhi</t>
    </r>
  </si>
  <si>
    <t>022-28755729</t>
  </si>
  <si>
    <t>S.V.Road,</t>
  </si>
  <si>
    <t>Goregoan(W)</t>
  </si>
  <si>
    <r>
      <t>Robert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Bosch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Business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Solns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</si>
  <si>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Mr.Sudhir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Sattigeri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</si>
  <si>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41916411</t>
    </r>
  </si>
  <si>
    <r>
      <t>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</si>
  <si>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t>Bommanahalli,</t>
  </si>
  <si>
    <r>
      <t>Micro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Plastics</t>
    </r>
  </si>
  <si>
    <t>Mr.Johnson</t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</si>
  <si>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</t>
    </r>
  </si>
  <si>
    <t>080-27825121/131</t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</si>
  <si>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</si>
  <si>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Anekal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Taluk</t>
    </r>
  </si>
  <si>
    <r>
      <t>Tex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</si>
  <si>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Mr.Malligarjunan.S</t>
  </si>
  <si>
    <t>0422-2566667</t>
  </si>
  <si>
    <r>
      <t>Bharathy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Colony</t>
    </r>
  </si>
  <si>
    <t>Peelamedu</t>
  </si>
  <si>
    <t>Avinashi Rd</t>
  </si>
  <si>
    <r>
      <t>Rytiks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</si>
  <si>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Shetty</t>
    </r>
  </si>
  <si>
    <t>044-26174649</t>
  </si>
  <si>
    <t>Villicakkam</t>
  </si>
  <si>
    <r>
      <t>Uni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</si>
  <si>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Mahajan</t>
    </r>
  </si>
  <si>
    <t>020-24440890</t>
  </si>
  <si>
    <t>Shindewadi</t>
  </si>
  <si>
    <r>
      <t>Tal.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Bhor</t>
    </r>
  </si>
  <si>
    <t>Mr. Kannan</t>
  </si>
  <si>
    <t xml:space="preserve">080-4374 3314 </t>
  </si>
  <si>
    <t>SIPCOT Industrial Growth Centre</t>
  </si>
  <si>
    <t>Tirunelveli</t>
  </si>
  <si>
    <r>
      <t>Otto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Bilz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</si>
  <si>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Mr.Harish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Shenoy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</si>
  <si>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</si>
  <si>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22638700</t>
    </r>
  </si>
  <si>
    <t>Doddaballapur</t>
  </si>
  <si>
    <t>Dod Pura</t>
  </si>
  <si>
    <r>
      <t>Mr.Sreenivasa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</si>
  <si>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Asst.Manager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</si>
  <si>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22996427</t>
    </r>
  </si>
  <si>
    <t>Audugodi</t>
  </si>
  <si>
    <r>
      <t>Mr.Amith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Arora</t>
    </r>
  </si>
  <si>
    <r>
      <t>Deputy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</t>
    </r>
  </si>
  <si>
    <r>
      <t>0141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2775344</t>
    </r>
  </si>
  <si>
    <t>Sitapura</t>
  </si>
  <si>
    <t>Jaipur</t>
  </si>
  <si>
    <t>Mr.Kanthraj</t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</si>
  <si>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</si>
  <si>
    <r>
      <t>0141-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2775344</t>
    </r>
  </si>
  <si>
    <r>
      <t>Mr.F.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Dalal</t>
    </r>
  </si>
  <si>
    <t>0250-25821167</t>
  </si>
  <si>
    <r>
      <t>Agra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</si>
  <si>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Ujwal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</si>
  <si>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Mr.Vinayak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Buchade</t>
    </r>
  </si>
  <si>
    <t>0251-6459138</t>
  </si>
  <si>
    <t>Dombivli(E)</t>
  </si>
  <si>
    <t>Mr. Pradhan</t>
  </si>
  <si>
    <t>Silver Industrial Estate</t>
  </si>
  <si>
    <t>Bhimpore</t>
  </si>
  <si>
    <t>Nani Daman</t>
  </si>
  <si>
    <t>D&amp;D</t>
  </si>
  <si>
    <t>Vapi</t>
  </si>
  <si>
    <r>
      <t>Vedika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Machinery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</si>
  <si>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Bhootra</t>
    </r>
  </si>
  <si>
    <r>
      <t>033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3242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8215</t>
    </r>
  </si>
  <si>
    <r>
      <t>Easun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Reyrolle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</si>
  <si>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Mr.M.M.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Katre</t>
    </r>
  </si>
  <si>
    <t>Head-GlobalOp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</si>
  <si>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26581023</t>
    </r>
  </si>
  <si>
    <r>
      <t>Bannergatta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</si>
  <si>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Wahi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</si>
  <si>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</si>
  <si>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r>
      <t>IMT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Manesar,</t>
    </r>
  </si>
  <si>
    <r>
      <t>Arun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</si>
  <si>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Premesan</t>
    </r>
  </si>
  <si>
    <r>
      <t>Sr.Manager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Fact</t>
    </r>
  </si>
  <si>
    <t>044-42609011</t>
  </si>
  <si>
    <r>
      <t>Sidco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</si>
  <si>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t>Ekkattuthangal</t>
  </si>
  <si>
    <r>
      <t>Vako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Seals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</si>
  <si>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Mr.Dilip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Chakraborty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</si>
  <si>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QC</t>
    </r>
  </si>
  <si>
    <r>
      <t>022-2874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6260</t>
    </r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</si>
  <si>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Pravasi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</si>
  <si>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Aarey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Gore</t>
    </r>
  </si>
  <si>
    <t>Matchwell Die Casters Pvt Ltd</t>
  </si>
  <si>
    <r>
      <t>Mr.Ajit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</si>
  <si>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022-27781971</t>
  </si>
  <si>
    <r>
      <t>TTC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Mahape</t>
    </r>
  </si>
  <si>
    <r>
      <t>Mr.Prashanth.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</si>
  <si>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IFB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(Kolkata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unit)</t>
    </r>
  </si>
  <si>
    <r>
      <t>Mr.Subrata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Chandra</t>
    </r>
  </si>
  <si>
    <r>
      <t>Asst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Mngr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</si>
  <si>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033-30489299</t>
  </si>
  <si>
    <t>KOL</t>
  </si>
  <si>
    <r>
      <t>IFB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(Bangalore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unit)</t>
    </r>
  </si>
  <si>
    <t xml:space="preserve">4020J LX </t>
  </si>
  <si>
    <r>
      <t>Mahadevapura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</si>
  <si>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r>
      <t>562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048</t>
    </r>
  </si>
  <si>
    <r>
      <t>Titan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</si>
  <si>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Mr.Dhinesh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</si>
  <si>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QC&amp;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</si>
  <si>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40119372</t>
    </r>
  </si>
  <si>
    <r>
      <t>PT.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Asean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</si>
  <si>
    <t>2015V2015J LX</t>
  </si>
  <si>
    <t>+628889259884</t>
  </si>
  <si>
    <r>
      <t>Sukaluyau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Taluk</t>
    </r>
  </si>
  <si>
    <r>
      <t>Jambe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Karawan</t>
    </r>
  </si>
  <si>
    <r>
      <t>Servocontrol Aerospace (I) Pvt Ltd (Servocontrols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Hydraulics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</si>
  <si>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>V2015J LX</t>
  </si>
  <si>
    <r>
      <t>Mr.Dinesh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Dhadut</t>
    </r>
  </si>
  <si>
    <t>0831-24075011</t>
  </si>
  <si>
    <r>
      <t>Dias-C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</si>
  <si>
    <r>
      <t>Mr.A.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Stephenson</t>
    </r>
  </si>
  <si>
    <t>022-27660979</t>
  </si>
  <si>
    <r>
      <t>PCNTDA,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Times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</t>
    </r>
  </si>
  <si>
    <r>
      <t>Arun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(Haridwar)</t>
    </r>
  </si>
  <si>
    <t>Mr.Athul</t>
  </si>
  <si>
    <t>01334-232024</t>
  </si>
  <si>
    <t>SIDCUL</t>
  </si>
  <si>
    <t>Ranipur</t>
  </si>
  <si>
    <t>Haridwar</t>
  </si>
  <si>
    <t>UK</t>
  </si>
  <si>
    <r>
      <t>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</si>
  <si>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Mr.Muthuthanu</t>
  </si>
  <si>
    <t>022-32426213</t>
  </si>
  <si>
    <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Chakravarty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</si>
  <si>
    <t>Kandivli(E)</t>
  </si>
  <si>
    <r>
      <t>Connectwell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</si>
  <si>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187/ E-387</t>
  </si>
  <si>
    <r>
      <t>Mr.Jiten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Saheta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</si>
  <si>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Projec</t>
    </r>
  </si>
  <si>
    <t>0251-2870766</t>
  </si>
  <si>
    <t>Dombivli</t>
  </si>
  <si>
    <r>
      <t>Shiv-Om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Brass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</si>
  <si>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Mr.Snehal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Gohel</t>
    </r>
  </si>
  <si>
    <r>
      <t>91-90252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10890</t>
    </r>
  </si>
  <si>
    <r>
      <t>Opp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Ranjit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</si>
  <si>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NDT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Consultants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</si>
  <si>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Coventry</t>
  </si>
  <si>
    <r>
      <t>CV3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4FJ</t>
    </r>
  </si>
  <si>
    <t>England</t>
  </si>
  <si>
    <r>
      <t>Joyson Anand Abhishek Safety Systems Pvt Ltd (KSS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Abhishek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Safety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</si>
  <si>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Mr.Sagar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Wahi</t>
    </r>
  </si>
  <si>
    <r>
      <t>0124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4172400</t>
    </r>
  </si>
  <si>
    <r>
      <t>IMT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Manesar</t>
    </r>
  </si>
  <si>
    <r>
      <t>Speciality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</si>
  <si>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Mr.Jitendra.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Chaudhari</t>
    </r>
  </si>
  <si>
    <t>02135-324135</t>
  </si>
  <si>
    <r>
      <t>Chakan-Talegaon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</si>
  <si>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Brakes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Pvt </t>
    </r>
    <r>
      <rPr>
        <sz val="6"/>
        <color rgb="FF000000"/>
        <rFont val="Calibri"/>
        <family val="2"/>
      </rPr>
      <t>Ltd</t>
    </r>
  </si>
  <si>
    <r>
      <t>Mr.B.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Vivek</t>
    </r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</si>
  <si>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Melmaruvathur</t>
    </r>
  </si>
  <si>
    <t>Polambakkam</t>
  </si>
  <si>
    <r>
      <t>Kuhu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</si>
  <si>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Kochar</t>
    </r>
  </si>
  <si>
    <t>0141-2330483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</si>
  <si>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17,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VKI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</t>
    </r>
  </si>
  <si>
    <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Kaisalya</t>
    </r>
  </si>
  <si>
    <r>
      <t>Chamundi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 Cast (P) Ltd</t>
    </r>
  </si>
  <si>
    <r>
      <t>Mr.Yasin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Khan</t>
    </r>
  </si>
  <si>
    <t>SIPCOT Industrial Area</t>
  </si>
  <si>
    <t>Phase-III, Nellikuppam</t>
  </si>
  <si>
    <t>Ranipet, Walajah Taluk</t>
  </si>
  <si>
    <t>Vellore</t>
  </si>
  <si>
    <t>Ranipet</t>
  </si>
  <si>
    <r>
      <t>Toyota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Boshoku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</si>
  <si>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Mr.Shwetha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</si>
  <si>
    <r>
      <t>QC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Dept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</si>
  <si>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22039000</t>
    </r>
  </si>
  <si>
    <r>
      <t>M.N.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PO.,</t>
    </r>
  </si>
  <si>
    <r>
      <t>Bidadi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Ramanag</t>
    </r>
  </si>
  <si>
    <r>
      <t>Poly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Fluoro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</si>
  <si>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Mr.Adhirath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Sethi</t>
    </r>
  </si>
  <si>
    <t>080-27832622</t>
  </si>
  <si>
    <r>
      <t>Sundaram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</si>
  <si>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Mr.B.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</si>
  <si>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r>
      <t>Dy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</si>
  <si>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0452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4348888</t>
    </r>
  </si>
  <si>
    <t>Kochadai</t>
  </si>
  <si>
    <t>Madurai</t>
  </si>
  <si>
    <r>
      <t>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</si>
  <si>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</si>
  <si>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</t>
    </r>
  </si>
  <si>
    <r>
      <t>Mr.Ramesh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B.S</t>
    </r>
  </si>
  <si>
    <r>
      <t>Purchase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Office</t>
    </r>
  </si>
  <si>
    <t>080-25084018</t>
  </si>
  <si>
    <r>
      <t>Airport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</si>
  <si>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Vimanpura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P.O</t>
    </r>
  </si>
  <si>
    <r>
      <t>ISRO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Satellite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</si>
  <si>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H.K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</si>
  <si>
    <r>
      <t>Metalman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</si>
  <si>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Mr.Sachin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Rapatwar</t>
    </r>
  </si>
  <si>
    <r>
      <t>0240-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2556573</t>
    </r>
  </si>
  <si>
    <t>Waluj</t>
  </si>
  <si>
    <r>
      <t>SKF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</si>
  <si>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</si>
  <si>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r>
      <t>Asst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ManagerQ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</si>
  <si>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40329622</t>
    </r>
  </si>
  <si>
    <r>
      <t>Rotary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Connectors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</si>
  <si>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Mr.Gangadhar</t>
  </si>
  <si>
    <t>080-23353662</t>
  </si>
  <si>
    <r>
      <t>West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Chord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</si>
  <si>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Rajaji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</si>
  <si>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Riyalto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</si>
  <si>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t>Mr.Ramanathan</t>
  </si>
  <si>
    <t>044-32512740</t>
  </si>
  <si>
    <r>
      <t>Kelambakkam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</si>
  <si>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Mambakkam</t>
  </si>
  <si>
    <r>
      <t>Accumatch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Casters</t>
    </r>
  </si>
  <si>
    <r>
      <t>Mr.Shailesh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Satpute</t>
    </r>
  </si>
  <si>
    <t>0230-3203711</t>
  </si>
  <si>
    <r>
      <t>Babasaheb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Khanjire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</t>
    </r>
  </si>
  <si>
    <r>
      <t>Kolhapur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Dist.</t>
    </r>
  </si>
  <si>
    <t>Shahapur</t>
  </si>
  <si>
    <r>
      <t>Romsons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Scientific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Surgical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</si>
  <si>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r>
      <t>Mr.Sangram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Keshore</t>
    </r>
  </si>
  <si>
    <t>0562-2280799</t>
  </si>
  <si>
    <t>Nunhai</t>
  </si>
  <si>
    <t>Agra</t>
  </si>
  <si>
    <t>PO Mandhala</t>
  </si>
  <si>
    <t>Tehsil Baddi</t>
  </si>
  <si>
    <t>Baddi</t>
  </si>
  <si>
    <r>
      <t>Kishore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</si>
  <si>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Mr.Kishore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Kabra</t>
    </r>
  </si>
  <si>
    <r>
      <t>Geoff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Poly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</si>
  <si>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Mr.John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Thamburaj</t>
    </r>
  </si>
  <si>
    <t>044-22387090</t>
  </si>
  <si>
    <t>Nagalkeni</t>
  </si>
  <si>
    <t>Chrompet</t>
  </si>
  <si>
    <t>Thirumudivakkam</t>
  </si>
  <si>
    <t>Nashik Engg Cluster</t>
  </si>
  <si>
    <t>Mr.Kailash</t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</si>
  <si>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Incharge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</si>
  <si>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2306250</t>
    </r>
  </si>
  <si>
    <r>
      <t>M.I.D.C.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Satpur</t>
    </r>
  </si>
  <si>
    <r>
      <t>Opel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</si>
  <si>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Siva</t>
    </r>
  </si>
  <si>
    <r>
      <t>Kuthambakkam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</si>
  <si>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r>
      <t>Poonamolle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(TK</t>
    </r>
  </si>
  <si>
    <r>
      <t>Brown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</si>
  <si>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r>
      <t>Mr.S.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Shanmugam</t>
    </r>
  </si>
  <si>
    <t>044-24964474</t>
  </si>
  <si>
    <r>
      <t>Santhosh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</si>
  <si>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Mr.R.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Arunachalam</t>
    </r>
  </si>
  <si>
    <r>
      <t>Asst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</si>
  <si>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r>
      <t>044-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26258016</t>
    </r>
  </si>
  <si>
    <t>Padi</t>
  </si>
  <si>
    <r>
      <t>KSH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International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</si>
  <si>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Mr.Ganesh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Prasad</t>
    </r>
  </si>
  <si>
    <t>GM-Devlp</t>
  </si>
  <si>
    <r>
      <t>02135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256410/12</t>
    </r>
  </si>
  <si>
    <r>
      <t>Yazaki India Pvt Ltd (Tata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Yazaki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Autocomp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</si>
  <si>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Mr.Prasanna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Sole</t>
    </r>
  </si>
  <si>
    <t>QA</t>
  </si>
  <si>
    <r>
      <t>High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Cliff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</si>
  <si>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Wagholi-Rahu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</si>
  <si>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r>
      <t>S.N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Metallurgical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</si>
  <si>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Mr.Shyam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Choudhari</t>
    </r>
  </si>
  <si>
    <t>0240-2555253</t>
  </si>
  <si>
    <r>
      <t>Waluj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</si>
  <si>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SMP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</si>
  <si>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Mr.Ravi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Apte</t>
    </r>
  </si>
  <si>
    <t>0253-2384855</t>
  </si>
  <si>
    <r>
      <t>Mr.Narendra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Arya</t>
    </r>
  </si>
  <si>
    <r>
      <t>Dy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MangerSQR/</t>
    </r>
  </si>
  <si>
    <t>0124-2290317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</si>
  <si>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Police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station</t>
    </r>
  </si>
  <si>
    <r>
      <t>Ashvini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Magnets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</si>
  <si>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Mr.Vikram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Dhoot</t>
    </r>
  </si>
  <si>
    <r>
      <t>022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-66745673</t>
    </r>
  </si>
  <si>
    <t>Hinjewadi</t>
  </si>
  <si>
    <t>Aurolab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</si>
  <si>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Sundara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Ganesh</t>
    </r>
  </si>
  <si>
    <r>
      <t>Product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Develo</t>
    </r>
  </si>
  <si>
    <r>
      <t>0452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2446100</t>
    </r>
  </si>
  <si>
    <t>Veerapanjan</t>
  </si>
  <si>
    <r>
      <t>Appasamy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Associates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</si>
  <si>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Sudhakaran</t>
    </r>
  </si>
  <si>
    <r>
      <t>Production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</t>
    </r>
  </si>
  <si>
    <r>
      <t>0413-3293511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/329305</t>
    </r>
  </si>
  <si>
    <r>
      <t>Thennal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</si>
  <si>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t>Kandamangalam</t>
  </si>
  <si>
    <t>Villupuram</t>
  </si>
  <si>
    <r>
      <t>Saturn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</si>
  <si>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</si>
  <si>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QA-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Manger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</si>
  <si>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30772960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</si>
  <si>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White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field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</si>
  <si>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048</t>
    </r>
  </si>
  <si>
    <r>
      <t>Brakes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</si>
  <si>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Chakrapanu</t>
    </r>
  </si>
  <si>
    <t>M-QA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</si>
  <si>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26529652</t>
    </r>
  </si>
  <si>
    <r>
      <t>Unique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Mfrs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</si>
  <si>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Mr.Devang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</si>
  <si>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28362765</t>
    </r>
  </si>
  <si>
    <r>
      <t>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</si>
  <si>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Venkakaraman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</si>
  <si>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25587523</t>
    </r>
  </si>
  <si>
    <r>
      <t>Alfanar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</si>
  <si>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Prakash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Narendr</t>
    </r>
  </si>
  <si>
    <r>
      <t>966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1114</t>
    </r>
  </si>
  <si>
    <r>
      <t>Between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Exit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</t>
    </r>
  </si>
  <si>
    <r>
      <t>Nr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Abdulazziz</t>
    </r>
  </si>
  <si>
    <r>
      <t>Saudi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Arab</t>
    </r>
  </si>
  <si>
    <r>
      <t>Maruthi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Suzuki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</si>
  <si>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Agarwal</t>
    </r>
  </si>
  <si>
    <r>
      <t>0124-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23403341</t>
    </r>
  </si>
  <si>
    <r>
      <t>Napino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Electronics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</si>
  <si>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</si>
  <si>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</si>
  <si>
    <r>
      <t>122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016</t>
    </r>
  </si>
  <si>
    <t>2015M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</si>
  <si>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Chiranjiv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</si>
  <si>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r>
      <t>0120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2581002</t>
    </r>
  </si>
  <si>
    <r>
      <t>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Budha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</si>
  <si>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Vikson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</si>
  <si>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Sanjay</t>
    </r>
  </si>
  <si>
    <r>
      <t>Dist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Pune</t>
    </r>
  </si>
  <si>
    <r>
      <t>MSS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Private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</si>
  <si>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Chaudhary</t>
    </r>
  </si>
  <si>
    <r>
      <t>91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6611124</t>
    </r>
  </si>
  <si>
    <r>
      <t>MIDC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</si>
  <si>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Nasik</t>
  </si>
  <si>
    <r>
      <t>422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101</t>
    </r>
  </si>
  <si>
    <r>
      <t>CG Power &amp; Industrial soln Ltd (Crompton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Greaves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</si>
  <si>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Kshemkalyani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</si>
  <si>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2301331</t>
    </r>
  </si>
  <si>
    <r>
      <t>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</si>
  <si>
    <t>Thirumudivakka</t>
  </si>
  <si>
    <r>
      <t>Sealtite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Dichtungs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</si>
  <si>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Esya Engg Pvt Ltd</t>
  </si>
  <si>
    <t>Arumbakkam,</t>
  </si>
  <si>
    <r>
      <t>600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106</t>
    </r>
  </si>
  <si>
    <t>Sri Engg Works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</si>
  <si>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Sudhakar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</si>
  <si>
    <r>
      <t>Mg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</si>
  <si>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Doddenkundi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area,</t>
    </r>
  </si>
  <si>
    <r>
      <t>Whitefield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</si>
  <si>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Ayaz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Shaikh</t>
    </r>
  </si>
  <si>
    <t>(GM)</t>
  </si>
  <si>
    <r>
      <t>Paras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Co-op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</si>
  <si>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MIDC,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Bhosari</t>
    </r>
  </si>
  <si>
    <r>
      <t>Rane (Madras) Ltd ((Rane Engine Valve Ltd (Kar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Mobiles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Limited))</t>
    </r>
  </si>
  <si>
    <t>Mr. M Richard</t>
  </si>
  <si>
    <t>Quality</t>
  </si>
  <si>
    <t>Redhills Road</t>
  </si>
  <si>
    <t>Madhavaram</t>
  </si>
  <si>
    <t>Ponneri</t>
  </si>
  <si>
    <r>
      <t>Polycab India Ltd (Polycab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Wires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</si>
  <si>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Fernandez</t>
    </r>
  </si>
  <si>
    <t>0253-6699712</t>
  </si>
  <si>
    <r>
      <t>Classic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Stripes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</si>
  <si>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Bhushan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Kasar</t>
    </r>
  </si>
  <si>
    <r>
      <t>Executive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SCM</t>
    </r>
  </si>
  <si>
    <r>
      <t>0250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2571111</t>
    </r>
  </si>
  <si>
    <r>
      <t>Nalasopara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</si>
  <si>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Pelhar</t>
  </si>
  <si>
    <r>
      <t>Esbee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Combines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</si>
  <si>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Mallikarjun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Hawari</t>
    </r>
  </si>
  <si>
    <t>022-30681002/6</t>
  </si>
  <si>
    <t>Pappu Engg Works,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</si>
  <si>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Pappu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Sharma</t>
    </r>
  </si>
  <si>
    <t>022-24919955/66</t>
  </si>
  <si>
    <t>A-Wings,</t>
  </si>
  <si>
    <r>
      <t>Kewal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</t>
    </r>
  </si>
  <si>
    <r>
      <t>Paloma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Turning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</si>
  <si>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Ashok</t>
    </r>
  </si>
  <si>
    <t>080-27820688</t>
  </si>
  <si>
    <r>
      <t>Behind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Concrete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</si>
  <si>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</si>
  <si>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Schneider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</si>
  <si>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CK</t>
    </r>
  </si>
  <si>
    <r>
      <t>Senior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</t>
    </r>
  </si>
  <si>
    <t>080-27820211</t>
  </si>
  <si>
    <t>Neralur</t>
  </si>
  <si>
    <t>Attibele</t>
  </si>
  <si>
    <r>
      <t>Phoenix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</si>
  <si>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</si>
  <si>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28391138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</si>
  <si>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</si>
  <si>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r>
      <t>Sandhar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</si>
  <si>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Deep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</t>
    </r>
  </si>
  <si>
    <t>0124-4959930</t>
  </si>
  <si>
    <r>
      <t>HSIDC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</si>
  <si>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Sector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18</t>
    </r>
  </si>
  <si>
    <r>
      <t>HPL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</si>
  <si>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Sector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57,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Kundli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</si>
  <si>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Sonipat</t>
  </si>
  <si>
    <r>
      <t>Indo-MIM Pvt Ltd (INDO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</si>
  <si>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KIADB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</si>
  <si>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Dodballapur</t>
  </si>
  <si>
    <r>
      <t>Magna Automotive India Pvt Ltd (Magna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Closures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</si>
  <si>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</si>
  <si>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t>Maraimalainagar</t>
  </si>
  <si>
    <t>Changalpattu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</si>
  <si>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Balasubraman</t>
    </r>
  </si>
  <si>
    <r>
      <t>AGM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</si>
  <si>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Navkar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</si>
  <si>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Bhandari</t>
    </r>
  </si>
  <si>
    <t>0253-3292444</t>
  </si>
  <si>
    <r>
      <t>Mahatama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</si>
  <si>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Rane Engine Valves Ltd (Kar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Mobiles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</si>
  <si>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Santosh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</si>
  <si>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0816-2243106</t>
  </si>
  <si>
    <t>Tumkur</t>
  </si>
  <si>
    <r>
      <t>Fastenex Pvt Ltd (Leo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Fasteners)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</si>
  <si>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</si>
  <si>
    <t>0413-2248225</t>
  </si>
  <si>
    <r>
      <t>Vanur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Taluk</t>
    </r>
  </si>
  <si>
    <r>
      <t>Villupuram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</t>
    </r>
  </si>
  <si>
    <r>
      <t>605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111</t>
    </r>
  </si>
  <si>
    <r>
      <t>Shining Tools Pvt Ltd (Shine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</si>
  <si>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Ghonia</t>
    </r>
  </si>
  <si>
    <r>
      <t>Behind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Furniture,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</t>
    </r>
  </si>
  <si>
    <t>Vavdi</t>
  </si>
  <si>
    <t>Rajkot</t>
  </si>
  <si>
    <r>
      <t>Sanjith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</si>
  <si>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Bagul</t>
    </r>
  </si>
  <si>
    <t>0253-6603771</t>
  </si>
  <si>
    <r>
      <t>AG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</si>
  <si>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V4020J LX</t>
  </si>
  <si>
    <t>Bawal</t>
  </si>
  <si>
    <t>Rewari</t>
  </si>
  <si>
    <t>RC Engg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</si>
  <si>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Govindrajilu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</si>
  <si>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Kale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</si>
  <si>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2294970</t>
    </r>
  </si>
  <si>
    <t>Satpur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</si>
  <si>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Sameeulhaq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Dandoti</t>
    </r>
  </si>
  <si>
    <r>
      <t>Narmada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</si>
  <si>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Subhashbhai.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Vac</t>
    </r>
  </si>
  <si>
    <r>
      <t>02827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253150</t>
    </r>
  </si>
  <si>
    <r>
      <t>Kotda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Sangani</t>
    </r>
  </si>
  <si>
    <t>Shapar</t>
  </si>
  <si>
    <r>
      <t>Allison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Transmission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</si>
  <si>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Baskaran</t>
    </r>
  </si>
  <si>
    <r>
      <t>Kanchipuram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</t>
    </r>
  </si>
  <si>
    <t>Aurolab (Moulding Dept)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</si>
  <si>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Ravi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Anthony</t>
    </r>
  </si>
  <si>
    <t>Purchase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</si>
  <si>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66115131</t>
    </r>
  </si>
  <si>
    <t>IMT</t>
  </si>
  <si>
    <t>Manesar</t>
  </si>
  <si>
    <r>
      <t>Vitesco Technologies India Pvt Ltd (Continental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L)</t>
    </r>
  </si>
  <si>
    <t>Mr. Nilesh Khanderkar</t>
  </si>
  <si>
    <t>QC-Head</t>
  </si>
  <si>
    <t>Village- Badhalwadi, Post NavLak</t>
  </si>
  <si>
    <t>Tal: Maval</t>
  </si>
  <si>
    <r>
      <t>Mahindra CIE Automotive Ltd (Bill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Forge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Private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</si>
  <si>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Chandrashekar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</si>
  <si>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27809108</t>
    </r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</si>
  <si>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area,</t>
    </r>
  </si>
  <si>
    <r>
      <t>Fine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Biosystems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</si>
  <si>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Rodrigues</t>
    </r>
  </si>
  <si>
    <r>
      <t>Gota-Vadsar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</si>
  <si>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Dantali</t>
    </r>
  </si>
  <si>
    <t>Gandhinagar</t>
  </si>
  <si>
    <r>
      <t>Sathvik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</si>
  <si>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Manjunath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</si>
  <si>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2836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4185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</si>
  <si>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</si>
  <si>
    <r>
      <t>Doddanna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</si>
  <si>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091</t>
    </r>
  </si>
  <si>
    <r>
      <t>Metro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Gijutsu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Center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</si>
  <si>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Kava</t>
    </r>
  </si>
  <si>
    <r>
      <t>0281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2466625</t>
    </r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</si>
  <si>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Gondal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</si>
  <si>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</si>
  <si>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Dadhania</t>
    </r>
  </si>
  <si>
    <r>
      <t>02827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296266</t>
    </r>
  </si>
  <si>
    <r>
      <t>Road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</t>
    </r>
  </si>
  <si>
    <r>
      <t>Kranti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Gate</t>
    </r>
  </si>
  <si>
    <t>Industrial Estate</t>
  </si>
  <si>
    <t>Thattanchavady</t>
  </si>
  <si>
    <r>
      <t>124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2290050</t>
    </r>
  </si>
  <si>
    <r>
      <t>Ceratizit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</si>
  <si>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Bhaduri</t>
    </r>
  </si>
  <si>
    <t>VP</t>
  </si>
  <si>
    <r>
      <t>033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24940581</t>
    </r>
  </si>
  <si>
    <t>Barisha</t>
  </si>
  <si>
    <r>
      <t>Bhabha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Atomic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Research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</si>
  <si>
    <r>
      <t>022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25487104</t>
    </r>
  </si>
  <si>
    <r>
      <t>400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094</t>
    </r>
  </si>
  <si>
    <r>
      <t>0422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2664100</t>
    </r>
  </si>
  <si>
    <r>
      <t>641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048</t>
    </r>
  </si>
  <si>
    <r>
      <t>Imperial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Pharmachines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</si>
  <si>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Naresh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Singhania</t>
    </r>
  </si>
  <si>
    <t>022-25781989</t>
  </si>
  <si>
    <r>
      <t>MIDC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</si>
  <si>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Rabale</t>
  </si>
  <si>
    <r>
      <t>Malvika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Jewellery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</si>
  <si>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Ravish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Pahuja</t>
    </r>
  </si>
  <si>
    <t>022-43222135</t>
  </si>
  <si>
    <t>Kalachowki</t>
  </si>
  <si>
    <r>
      <t>400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033</t>
    </r>
  </si>
  <si>
    <r>
      <t>Amphenol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Interconnect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</si>
  <si>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Divakar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Kulkarni</t>
    </r>
  </si>
  <si>
    <t>020-30688329</t>
  </si>
  <si>
    <r>
      <t>Bhosari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</si>
  <si>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Landewadi</t>
  </si>
  <si>
    <r>
      <t>411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026</t>
    </r>
  </si>
  <si>
    <r>
      <t>Mindarika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</si>
  <si>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Sathishkumar</t>
    </r>
  </si>
  <si>
    <t>044-3920700</t>
  </si>
  <si>
    <r>
      <t>Sriperumbudur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Taluk</t>
    </r>
  </si>
  <si>
    <r>
      <t>Kanchipuram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district</t>
    </r>
  </si>
  <si>
    <r>
      <t>603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204</t>
    </r>
  </si>
  <si>
    <r>
      <t>Central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</si>
  <si>
    <r>
      <t>Bhavnagar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</si>
  <si>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Wonjin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Autoparts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</si>
  <si>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William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</si>
  <si>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47404401</t>
    </r>
  </si>
  <si>
    <r>
      <t>603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209</t>
    </r>
  </si>
  <si>
    <r>
      <t>Wintage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Consultants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</si>
  <si>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Khatri</t>
    </r>
  </si>
  <si>
    <r>
      <t>0120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4563943</t>
    </r>
  </si>
  <si>
    <t>Sahibabad</t>
  </si>
  <si>
    <t>Ghaziabad</t>
  </si>
  <si>
    <t>Anand</t>
  </si>
  <si>
    <r>
      <t>Hilton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Valves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</si>
  <si>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Kotadia</t>
    </r>
  </si>
  <si>
    <r>
      <t>0281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2782224</t>
    </r>
  </si>
  <si>
    <r>
      <t>Kothariya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Survey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212</t>
    </r>
  </si>
  <si>
    <r>
      <t>Opp.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</si>
  <si>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Nitin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</si>
  <si>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2295105</t>
    </r>
  </si>
  <si>
    <r>
      <t>Trimbak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</si>
  <si>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</si>
  <si>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Naik</t>
    </r>
  </si>
  <si>
    <r>
      <t>020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66758036</t>
    </r>
  </si>
  <si>
    <r>
      <t>Tirumumala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</si>
  <si>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Kennametal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</si>
  <si>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4020J HT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</si>
  <si>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Vikram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Deshpand</t>
    </r>
  </si>
  <si>
    <r>
      <t>Executive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Applic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</si>
  <si>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2219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8439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</si>
  <si>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073</t>
    </r>
  </si>
  <si>
    <r>
      <t>Lucas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</si>
  <si>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2695500</t>
    </r>
  </si>
  <si>
    <t>Puducherry</t>
  </si>
  <si>
    <t>Motherson Automotive Technologies And Engg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</si>
  <si>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65620163</t>
    </r>
  </si>
  <si>
    <r>
      <t>2nd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</t>
    </r>
  </si>
  <si>
    <r>
      <t>Sector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</t>
    </r>
  </si>
  <si>
    <r>
      <t>Jayem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</si>
  <si>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</si>
  <si>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0422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2270409</t>
    </r>
  </si>
  <si>
    <r>
      <t>Sharma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</si>
  <si>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Bhanu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</si>
  <si>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Chief,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Operation</t>
    </r>
  </si>
  <si>
    <r>
      <t>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</si>
  <si>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Nandakumar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Joshi</t>
    </r>
  </si>
  <si>
    <t>080-27287160</t>
  </si>
  <si>
    <t>Ramnagar</t>
  </si>
  <si>
    <t>JetAvi Engg Private Limited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</si>
  <si>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Arjuna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</si>
  <si>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40328900</t>
    </r>
  </si>
  <si>
    <r>
      <t>Extension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Byatarayanapu</t>
    </r>
  </si>
  <si>
    <t>Sahakaranagar</t>
  </si>
  <si>
    <r>
      <t>Mitsubishi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Heavy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</si>
  <si>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Dhanasekara</t>
    </r>
  </si>
  <si>
    <r>
      <t>04172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244361</t>
    </r>
  </si>
  <si>
    <r>
      <t>BSC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</si>
  <si>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Kulkarni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</si>
  <si>
    <r>
      <t>0240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2556284</t>
    </r>
  </si>
  <si>
    <r>
      <t>Novateur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Digital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</si>
  <si>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Dattatraya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Kapse</t>
    </r>
  </si>
  <si>
    <r>
      <t>SIDCUL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</si>
  <si>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Kaizen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International</t>
    </r>
  </si>
  <si>
    <r>
      <t>0250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2393103</t>
    </r>
  </si>
  <si>
    <t>No.4</t>
  </si>
  <si>
    <r>
      <t>Navghar,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Vasai</t>
    </r>
    <r>
      <rPr>
        <sz val="6"/>
        <color rgb="FF000000"/>
        <rFont val="Times New Roman"/>
        <family val="1"/>
      </rPr>
      <t xml:space="preserve"> </t>
    </r>
  </si>
  <si>
    <t>Vasai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</si>
  <si>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Mechanical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</si>
  <si>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Ms.Sujatha</t>
  </si>
  <si>
    <r>
      <t>022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29206269</t>
    </r>
  </si>
  <si>
    <r>
      <t>Steel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</t>
    </r>
  </si>
  <si>
    <r>
      <t>Marol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Maroshi</t>
    </r>
  </si>
  <si>
    <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</si>
  <si>
    <t>Germany</t>
  </si>
  <si>
    <t>Filcomps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</si>
  <si>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Vishal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</si>
  <si>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r>
      <t>Antharasanahalli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</t>
    </r>
  </si>
  <si>
    <r>
      <t>Salcomp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</si>
  <si>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371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77777</t>
    </r>
  </si>
  <si>
    <r>
      <t>Prime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</si>
  <si>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Bhasin</t>
    </r>
  </si>
  <si>
    <r>
      <t>0512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2691129</t>
    </r>
  </si>
  <si>
    <r>
      <t>Panki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</si>
  <si>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Kanpur</t>
  </si>
  <si>
    <r>
      <t>Fine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</si>
  <si>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Kallesh</t>
    </r>
  </si>
  <si>
    <t>080-28360453</t>
  </si>
  <si>
    <r>
      <t>Vhignesh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Works</t>
    </r>
  </si>
  <si>
    <t>2015M LX</t>
  </si>
  <si>
    <r>
      <t>Mr.C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Reddy</t>
    </r>
  </si>
  <si>
    <t>Srinagar</t>
  </si>
  <si>
    <r>
      <t>Parshwa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International</t>
    </r>
  </si>
  <si>
    <r>
      <t>JIE,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Sidcul</t>
    </r>
  </si>
  <si>
    <r>
      <t>JK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</si>
  <si>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Pranav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</si>
  <si>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t>022-61528775</t>
  </si>
  <si>
    <r>
      <t>Amphenol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Interconnect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</si>
  <si>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</si>
  <si>
    <t>080-28520418</t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</si>
  <si>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</si>
  <si>
    <r>
      <t>Lakshmi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Designers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</si>
  <si>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Eashwaran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</si>
  <si>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4115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7507</t>
    </r>
  </si>
  <si>
    <t>Mahadevapure</t>
  </si>
  <si>
    <r>
      <t>Headways Industries (Silcotech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Bonny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</si>
  <si>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Amrik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</si>
  <si>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r>
      <t>0120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4147777</t>
    </r>
  </si>
  <si>
    <r>
      <t>Hall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Ground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Floor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</si>
  <si>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III</t>
    </r>
  </si>
  <si>
    <r>
      <t>Zahoransky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</si>
  <si>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Arvind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Chawla</t>
    </r>
  </si>
  <si>
    <t>0422-2665198</t>
  </si>
  <si>
    <t>Chinnaveedampatti</t>
  </si>
  <si>
    <r>
      <t>CTC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</si>
  <si>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 xml:space="preserve"> 2015J LX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</si>
  <si>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Manoj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Sharma</t>
    </r>
  </si>
  <si>
    <t>0657-2201803</t>
  </si>
  <si>
    <t>Jamshedpur</t>
  </si>
  <si>
    <t>JH</t>
  </si>
  <si>
    <r>
      <t>ACG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Pharma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</si>
  <si>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Rai</t>
    </r>
  </si>
  <si>
    <t>Charkop</t>
  </si>
  <si>
    <t>Kandivali</t>
  </si>
  <si>
    <r>
      <t>Hanon Automotive Systems India Pvt Ltd (Visteon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 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</si>
  <si>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Nithin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Prabhu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</si>
  <si>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</si>
  <si>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Bhogale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</si>
  <si>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0240-2376214</t>
  </si>
  <si>
    <r>
      <t>Station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</si>
  <si>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Principal</t>
  </si>
  <si>
    <t>021-86282762</t>
  </si>
  <si>
    <t>Gopalpur</t>
  </si>
  <si>
    <t>Pandharpur</t>
  </si>
  <si>
    <r>
      <t>Sri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Balaji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Assemblies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</si>
  <si>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Balachandra</t>
    </r>
  </si>
  <si>
    <t>044-24780158</t>
  </si>
  <si>
    <t>Thirumudivakam</t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</si>
  <si>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</si>
  <si>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0422-2654328</t>
  </si>
  <si>
    <r>
      <t>Kattampatti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(P.O)</t>
    </r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</si>
  <si>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(Forge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Div)</t>
    </r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</si>
  <si>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House</t>
    </r>
  </si>
  <si>
    <t>Kottaipalayam</t>
  </si>
  <si>
    <r>
      <t>Uno Minda Limited (Minda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</si>
  <si>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</si>
  <si>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r>
      <t>Supram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</si>
  <si>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Prasanna</t>
    </r>
  </si>
  <si>
    <t>080-65677459</t>
  </si>
  <si>
    <t>Alahally</t>
  </si>
  <si>
    <r>
      <t>Anjanapura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</t>
    </r>
  </si>
  <si>
    <r>
      <t>CRD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Endustriyel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Kontrol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Sistemleri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</si>
  <si>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t>1515J LX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</si>
  <si>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Sevilav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Basaran</t>
    </r>
  </si>
  <si>
    <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34</t>
    </r>
  </si>
  <si>
    <t>Nilufer</t>
  </si>
  <si>
    <t>Bursa</t>
  </si>
  <si>
    <t>Turkey</t>
  </si>
  <si>
    <r>
      <t>Minda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Vietnam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Company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</si>
  <si>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Gorav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Sharma</t>
    </r>
  </si>
  <si>
    <r>
      <t>Vinh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Phuc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Province</t>
    </r>
  </si>
  <si>
    <t>Vietnam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</si>
  <si>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</si>
  <si>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0124-2291507</t>
  </si>
  <si>
    <r>
      <t>Phase-II,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Rewari</t>
    </r>
  </si>
  <si>
    <r>
      <t>Protekz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Makers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</si>
  <si>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</t>
    </r>
  </si>
  <si>
    <t>080-28361320</t>
  </si>
  <si>
    <r>
      <t>2nd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</si>
  <si>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</t>
    </r>
  </si>
  <si>
    <r>
      <t>Magneti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Marelli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</si>
  <si>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02135-675824</t>
  </si>
  <si>
    <r>
      <t>Taluka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Khed</t>
    </r>
  </si>
  <si>
    <r>
      <t>Synergy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Global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Sourcing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</si>
  <si>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Ketan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</t>
    </r>
  </si>
  <si>
    <r>
      <t>04344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276304</t>
    </r>
  </si>
  <si>
    <r>
      <t>Aisin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Haryana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</si>
  <si>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Ostwal</t>
    </r>
  </si>
  <si>
    <r>
      <t>3rd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Floor</t>
    </r>
  </si>
  <si>
    <r>
      <t>Ashimori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Private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</si>
  <si>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Saurabh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Choudhary</t>
    </r>
  </si>
  <si>
    <r>
      <t>New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</si>
  <si>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r>
      <t>Neemrana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</t>
    </r>
  </si>
  <si>
    <t>Alwar</t>
  </si>
  <si>
    <t>Alwar/Bhiwadi</t>
  </si>
  <si>
    <r>
      <t>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</si>
  <si>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Chetan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Choudhary</t>
    </r>
  </si>
  <si>
    <t>0257-2211989</t>
  </si>
  <si>
    <r>
      <t>Ajanta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</si>
  <si>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Jalgaon</t>
  </si>
  <si>
    <t xml:space="preserve">Jalgaon </t>
  </si>
  <si>
    <r>
      <t>Essem Srinisons Systems Pvt Ltd (Srinisons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Wiring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 Ltd)</t>
    </r>
  </si>
  <si>
    <t>4020J lX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</si>
  <si>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Kesavan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Direct</t>
    </r>
  </si>
  <si>
    <r>
      <t>0124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4714303</t>
    </r>
  </si>
  <si>
    <r>
      <t>Viney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</si>
  <si>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Neeraj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Bhargav</t>
    </r>
  </si>
  <si>
    <r>
      <t>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Room</t>
    </r>
  </si>
  <si>
    <t>0124-4567400</t>
  </si>
  <si>
    <r>
      <t>Nikash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</si>
  <si>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Ahmednagar</t>
  </si>
  <si>
    <t>Ahmdnagar</t>
  </si>
  <si>
    <r>
      <t>Bilva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</si>
  <si>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Munnoli</t>
  </si>
  <si>
    <t>080-23471080</t>
  </si>
  <si>
    <r>
      <t>4th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</si>
  <si>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t>YeshwanthpurIn</t>
  </si>
  <si>
    <r>
      <t>SAS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</si>
  <si>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Sanjeev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</si>
  <si>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t>080-28367486</t>
  </si>
  <si>
    <t>Jayam Engg And Tools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</si>
  <si>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</si>
  <si>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r>
      <t>Managing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Partn</t>
    </r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</si>
  <si>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Link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</si>
  <si>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 xml:space="preserve">Aureate India </t>
    </r>
    <r>
      <rPr>
        <b/>
        <sz val="6"/>
        <color rgb="FF000000"/>
        <rFont val="Calibri"/>
        <family val="2"/>
      </rPr>
      <t>(Old Name:Accuplast)</t>
    </r>
  </si>
  <si>
    <t>Mr. Prasoon</t>
  </si>
  <si>
    <t>Yeshwanthpur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</si>
  <si>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Jayaraj</t>
    </r>
  </si>
  <si>
    <r>
      <t>Shanmugha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Forging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</si>
  <si>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Sundararajan</t>
    </r>
  </si>
  <si>
    <r>
      <t>04362-264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271</t>
    </r>
  </si>
  <si>
    <t>Thirumalaisamudram</t>
  </si>
  <si>
    <t>Thanjavur</t>
  </si>
  <si>
    <r>
      <t>Srinar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Electronics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</si>
  <si>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V.N.Parthasarath</t>
    </r>
  </si>
  <si>
    <r>
      <t>98843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06343</t>
    </r>
  </si>
  <si>
    <t>Egattur</t>
  </si>
  <si>
    <r>
      <t>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Solutions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</si>
  <si>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Chinchwad</t>
  </si>
  <si>
    <r>
      <t>Srishti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</si>
  <si>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KarthikeyanNair</t>
    </r>
  </si>
  <si>
    <r>
      <t>PLANSEE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Performance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Materials Pvt Ltd</t>
    </r>
  </si>
  <si>
    <r>
      <t>91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(821)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805</t>
    </r>
  </si>
  <si>
    <r>
      <t>Metagalli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</si>
  <si>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r>
      <t>Delphi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 (Metring Value-with R-axis)</t>
    </r>
  </si>
  <si>
    <r>
      <t>Bit-Tul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</si>
  <si>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Shetty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</si>
  <si>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22560166,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225602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</si>
  <si>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062</t>
    </r>
  </si>
  <si>
    <r>
      <t>Delphi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 (VCO Nozzle &amp; Needle Inspection)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</si>
  <si>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Nammalwar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Venkatesh</t>
    </r>
  </si>
  <si>
    <t>044-27658454</t>
  </si>
  <si>
    <t>Vaipur</t>
  </si>
  <si>
    <r>
      <t>Techno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</si>
  <si>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Saxon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Fluid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Sealing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</si>
  <si>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Anshuman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Soni</t>
    </r>
  </si>
  <si>
    <r>
      <t>93116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93633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</si>
  <si>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Sarvanan</t>
    </r>
  </si>
  <si>
    <r>
      <t>Schneider Electric India Pvt Ltd (Larsen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Toubro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 Ref:H087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</si>
  <si>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Asif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Mohammed</t>
    </r>
  </si>
  <si>
    <t>A-9</t>
  </si>
  <si>
    <r>
      <t>Ahmednagar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Switchgear</t>
    </r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</si>
  <si>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(Cbe)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</si>
  <si>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Nair</t>
    </r>
  </si>
  <si>
    <t>Mgr-QC</t>
  </si>
  <si>
    <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</si>
  <si>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Rajagopal</t>
    </r>
  </si>
  <si>
    <r>
      <t>Behind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Ambattur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Telepho</t>
    </r>
  </si>
  <si>
    <r>
      <t>UTC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Aerospace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</si>
  <si>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Mike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Bak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</si>
  <si>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Engg-Mfg</t>
    </r>
  </si>
  <si>
    <r>
      <t>65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65118400</t>
    </r>
  </si>
  <si>
    <r>
      <t>West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Pharmaceutical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Shanghai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</si>
  <si>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Kelly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Qiuo</t>
    </r>
  </si>
  <si>
    <t>86-21-39206351</t>
  </si>
  <si>
    <r>
      <t>Qing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</t>
    </r>
  </si>
  <si>
    <t>Shanghai</t>
  </si>
  <si>
    <t>China</t>
  </si>
  <si>
    <r>
      <t>Federal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Mogul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Goetze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</si>
  <si>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Konetty</t>
    </r>
  </si>
  <si>
    <t>Maxeff Engg (Industrial Enginnering Syndicate)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</si>
  <si>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Rambade</t>
    </r>
  </si>
  <si>
    <r>
      <t>93240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32796</t>
    </r>
  </si>
  <si>
    <r>
      <t>Tungareshwar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</si>
  <si>
    <t>Sativali</t>
  </si>
  <si>
    <r>
      <t>401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208</t>
    </r>
  </si>
  <si>
    <r>
      <t>Renata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</si>
  <si>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Bright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</si>
  <si>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r>
      <t>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Technical</t>
    </r>
  </si>
  <si>
    <t>020-66114920</t>
  </si>
  <si>
    <r>
      <t>Bhosari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</si>
  <si>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AO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Water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Heating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</si>
  <si>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Venkatakrishnan</t>
    </r>
  </si>
  <si>
    <t>080-28011200</t>
  </si>
  <si>
    <r>
      <t>Phase-II,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Harohalli</t>
    </r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</si>
  <si>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</t>
    </r>
  </si>
  <si>
    <r>
      <t>Hero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</si>
  <si>
    <r>
      <t>Integrated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</t>
    </r>
  </si>
  <si>
    <r>
      <t>SS Technologies (Gera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</si>
  <si>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>Mr. Manjunath</t>
  </si>
  <si>
    <t>10th Cross, Ganapathi Nagar</t>
  </si>
  <si>
    <t>Peenya Industrial Area</t>
  </si>
  <si>
    <r>
      <t>Colgate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Palmolive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</si>
  <si>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Mr.Lakshminarayanan</t>
  </si>
  <si>
    <t>Powai</t>
  </si>
  <si>
    <r>
      <t>Lakshmi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Travellers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(Coimbatore)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</si>
  <si>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Pudur</t>
    </r>
  </si>
  <si>
    <r>
      <t>Pointec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Pens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Energy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</si>
  <si>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M.G.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Balraj</t>
    </r>
  </si>
  <si>
    <r>
      <t>Cadd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</si>
  <si>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Shridhar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Shanbag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</si>
  <si>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stage,</t>
    </r>
  </si>
  <si>
    <r>
      <t>Star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</si>
  <si>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Edwin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Jules</t>
    </r>
  </si>
  <si>
    <t>Talawade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</si>
  <si>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Jitender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Raghav</t>
    </r>
  </si>
  <si>
    <t>Roz-Ka-Meo</t>
  </si>
  <si>
    <t>Mewat</t>
  </si>
  <si>
    <t>Rohtak</t>
  </si>
  <si>
    <r>
      <t>Senor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</si>
  <si>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GIDC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III,</t>
    </r>
  </si>
  <si>
    <r>
      <t>Accurate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</si>
  <si>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044-24766756/2476677</t>
  </si>
  <si>
    <r>
      <t>Spectrum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Electrical 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</si>
  <si>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Govardhan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Reddy</t>
    </r>
  </si>
  <si>
    <t>MIDC Area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</si>
  <si>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Hitendra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Phirke</t>
    </r>
  </si>
  <si>
    <r>
      <t>Sri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Acme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</si>
  <si>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Mohan</t>
    </r>
  </si>
  <si>
    <t>080-40943012</t>
  </si>
  <si>
    <r>
      <t>5th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Maheshw</t>
    </r>
  </si>
  <si>
    <r>
      <t>Care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Group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</si>
  <si>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Munavvar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Hussain</t>
    </r>
  </si>
  <si>
    <t>Tal.Padra</t>
  </si>
  <si>
    <t>Vadodara</t>
  </si>
  <si>
    <r>
      <t>Leo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</si>
  <si>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Senthil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</si>
  <si>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Survey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No: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127/1,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Preeti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</si>
  <si>
    <r>
      <t>66KVA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</si>
  <si>
    <t>Silvassa</t>
  </si>
  <si>
    <r>
      <t>Cuse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Metrology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Management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</si>
  <si>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Vellingiri</t>
    </r>
  </si>
  <si>
    <t>Sidhapudur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</si>
  <si>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Monga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</si>
  <si>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</t>
    </r>
  </si>
  <si>
    <r>
      <t>Narela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</si>
  <si>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t>Bhorgarh</t>
  </si>
  <si>
    <r>
      <t>Indira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Gandhi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Atomic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Research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(IGCAR)</t>
    </r>
  </si>
  <si>
    <t>Kalpakkam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</si>
  <si>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Dr.B.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Ahuja</t>
    </r>
  </si>
  <si>
    <r>
      <t>411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010</t>
    </r>
  </si>
  <si>
    <r>
      <t>Shogini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</si>
  <si>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Kishor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Brahme</t>
    </r>
  </si>
  <si>
    <r>
      <t>98220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08452</t>
    </r>
  </si>
  <si>
    <r>
      <t>Tal: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Haveli</t>
    </r>
  </si>
  <si>
    <t>Shirwal</t>
  </si>
  <si>
    <r>
      <t>Gnutti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Carlo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</si>
  <si>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Karthik</t>
    </r>
  </si>
  <si>
    <t>TVS Upasana Ltd (Upasana Engg Limited)</t>
  </si>
  <si>
    <r>
      <t>Aczet Pvt Ltd (Citizen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Scales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</si>
  <si>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 xml:space="preserve"> Opp. Mumbai-Ahmedabad Highway (NH08)</t>
  </si>
  <si>
    <t>Naigaon East</t>
  </si>
  <si>
    <r>
      <t>Die plast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</si>
  <si>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Siddesh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Bhansali</t>
    </r>
  </si>
  <si>
    <r>
      <t>0250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6055524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/25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</t>
    </r>
  </si>
  <si>
    <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Waliv</t>
    </r>
  </si>
  <si>
    <r>
      <t>Naikpada,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Vasai</t>
    </r>
  </si>
  <si>
    <r>
      <t>Samvardhana Motherson Innovative Solns Ltd (Motherson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Sintermetal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</si>
  <si>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Nagalingam</t>
    </r>
  </si>
  <si>
    <r>
      <t>Mannady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Pet</t>
    </r>
  </si>
  <si>
    <r>
      <t>Commune,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Thir</t>
    </r>
  </si>
  <si>
    <r>
      <t>Mackel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</si>
  <si>
    <r>
      <t>Mr.M.V.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Raghavaiah</t>
    </r>
  </si>
  <si>
    <r>
      <t>98499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96598</t>
    </r>
  </si>
  <si>
    <t>Balanagar</t>
  </si>
  <si>
    <r>
      <t>TVS Argomm Pvt Ltd (TVS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Novotema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Elestomeric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 Pvt 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</si>
  <si>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Selvakumar</t>
    </r>
  </si>
  <si>
    <r>
      <t>0452-2381531/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962919</t>
    </r>
  </si>
  <si>
    <r>
      <t>Thekkutheru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</si>
  <si>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r>
      <t>Melur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Taluk</t>
    </r>
  </si>
  <si>
    <r>
      <t>Acetech (CNC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Automotive)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</si>
  <si>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Gopalakrishnan.</t>
    </r>
  </si>
  <si>
    <r>
      <t>080-41158941/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283901</t>
    </r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</si>
  <si>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</si>
  <si>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</si>
  <si>
    <r>
      <t>Kasaba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Hobli</t>
    </r>
  </si>
  <si>
    <r>
      <t>Nelamangala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</t>
    </r>
  </si>
  <si>
    <r>
      <t>Taylor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</si>
  <si>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Srinivasan</t>
    </r>
  </si>
  <si>
    <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Aids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</si>
  <si>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Rajendran</t>
    </r>
  </si>
  <si>
    <t>Alapakkam</t>
  </si>
  <si>
    <t>Tambaram</t>
  </si>
  <si>
    <r>
      <t>Suyash Global Pvt Ltd (Suyash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Impex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</si>
  <si>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Chaphek</t>
    </r>
  </si>
  <si>
    <r>
      <t>98200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79306</t>
    </r>
  </si>
  <si>
    <t>Mahape</t>
  </si>
  <si>
    <r>
      <t>G-Plast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</si>
  <si>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Srivatsa</t>
    </r>
  </si>
  <si>
    <r>
      <t>Avinashi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</si>
  <si>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Abhi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Metals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</si>
  <si>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Himanshu</t>
    </r>
  </si>
  <si>
    <t>Udyognagar</t>
  </si>
  <si>
    <r>
      <t>Shankar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Tekri</t>
    </r>
  </si>
  <si>
    <r>
      <t>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Shirwal</t>
    </r>
  </si>
  <si>
    <t>Khandala</t>
  </si>
  <si>
    <r>
      <t>Ustek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Makina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Tic.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Sti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</si>
  <si>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Mahmut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Yuksel</t>
    </r>
  </si>
  <si>
    <t>232-3757609</t>
  </si>
  <si>
    <r>
      <t>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Bornova</t>
    </r>
  </si>
  <si>
    <t>Izmer</t>
  </si>
  <si>
    <r>
      <t>Paras Defence &amp; Space Technologies Ltd (Mechvac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Fabricators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</si>
  <si>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Prashant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Deshmukh</t>
    </r>
  </si>
  <si>
    <t>M.I.D.C.</t>
  </si>
  <si>
    <t>Nerul</t>
  </si>
  <si>
    <t>435/ E-472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</si>
  <si>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Daxesh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Soni</t>
    </r>
  </si>
  <si>
    <t>Phase-2</t>
  </si>
  <si>
    <t>M.I.D.C</t>
  </si>
  <si>
    <t>Dombivili</t>
  </si>
  <si>
    <r>
      <t>Indo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</si>
  <si>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Elumalai</t>
    </r>
  </si>
  <si>
    <t>Ayapakkam</t>
  </si>
  <si>
    <t>Prabha Engg Pvt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</si>
  <si>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Chandchankar</t>
    </r>
  </si>
  <si>
    <r>
      <t>020-3291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8282/83/84</t>
    </r>
  </si>
  <si>
    <r>
      <t>Taluka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Mulshi</t>
    </r>
  </si>
  <si>
    <r>
      <t>Poorvik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</si>
  <si>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Vikram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Prasad</t>
    </r>
  </si>
  <si>
    <r>
      <t>044-42108400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/450884</t>
    </r>
  </si>
  <si>
    <r>
      <t>Yazaki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</si>
  <si>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Harshad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Chawla</t>
    </r>
  </si>
  <si>
    <t>SCM</t>
  </si>
  <si>
    <r>
      <t>Shree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Rajlaxmi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Logistics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</si>
  <si>
    <r>
      <t>ABI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Showatech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</si>
  <si>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TIS05</t>
  </si>
  <si>
    <t>TIS2515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</si>
  <si>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Azhagesan</t>
    </r>
  </si>
  <si>
    <r>
      <t>Ranipet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(Via)</t>
    </r>
  </si>
  <si>
    <r>
      <t>Teklight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</si>
  <si>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Lakshmipathy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</si>
  <si>
    <r>
      <t>West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Pharmaceutical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</si>
  <si>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Reddy</t>
    </r>
  </si>
  <si>
    <r>
      <t>Sector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36</t>
    </r>
  </si>
  <si>
    <r>
      <t>Sri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</si>
  <si>
    <t>Satyavedu</t>
  </si>
  <si>
    <t>Sricity</t>
  </si>
  <si>
    <t>Siddhant Engg Services</t>
  </si>
  <si>
    <r>
      <t>Mr.Tushar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Tambat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Ms.Shwetha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Tam</t>
    </r>
  </si>
  <si>
    <r>
      <t>0253-2357231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098814</t>
    </r>
  </si>
  <si>
    <r>
      <t>Tata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Consultancy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</si>
  <si>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 Paresh</t>
  </si>
  <si>
    <t>Karaswada</t>
  </si>
  <si>
    <t>Mapusa</t>
  </si>
  <si>
    <t>Goa</t>
  </si>
  <si>
    <t>GA</t>
  </si>
  <si>
    <r>
      <t>Honeywell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International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</si>
  <si>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Kakkar</t>
    </r>
  </si>
  <si>
    <t>0124-6722700</t>
  </si>
  <si>
    <r>
      <t>Delhi-Gurgaon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Highway</t>
    </r>
  </si>
  <si>
    <r>
      <t>Oerlikon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Balzers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Coating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</si>
  <si>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Nair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Shreekumar</t>
    </r>
  </si>
  <si>
    <r>
      <t>Agile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Subassembly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</si>
  <si>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</si>
  <si>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t>044-22628199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</si>
  <si>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</si>
  <si>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Maraimalai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</t>
    </r>
  </si>
  <si>
    <t>Machroplast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</si>
  <si>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Shrinivasan</t>
    </r>
  </si>
  <si>
    <t>044-42852025</t>
  </si>
  <si>
    <t>Thirumudivaka</t>
  </si>
  <si>
    <r>
      <t>HPL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Eletric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</si>
  <si>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Chand</t>
    </r>
  </si>
  <si>
    <r>
      <t>011-23236811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4411</t>
    </r>
  </si>
  <si>
    <r>
      <t>PO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Jabli</t>
    </r>
  </si>
  <si>
    <r>
      <t>Parle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Elizabeth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</si>
  <si>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Sativali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</si>
  <si>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Vasai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East</t>
    </r>
  </si>
  <si>
    <r>
      <t>Metec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OU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</si>
  <si>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Kareel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Tamul</t>
    </r>
  </si>
  <si>
    <r>
      <t>372-50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50067</t>
    </r>
  </si>
  <si>
    <t>Estonia</t>
  </si>
  <si>
    <r>
      <t>CMBF Trading &amp; Manufacturing India Pvt Ltd (Carlisle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Trading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 Ltd) (CMM)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</si>
  <si>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MohanKumar</t>
    </r>
  </si>
  <si>
    <r>
      <t>044-2376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1806</t>
    </r>
  </si>
  <si>
    <r>
      <t>Sengadu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</si>
  <si>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r>
      <t>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Fenner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(India)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</si>
  <si>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Narayanan</t>
    </r>
  </si>
  <si>
    <t>0452-4283810</t>
  </si>
  <si>
    <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</si>
  <si>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Kuber</t>
    </r>
  </si>
  <si>
    <t>044-23636048</t>
  </si>
  <si>
    <r>
      <t>Ambattur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</si>
  <si>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Punch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Ratna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Fasteners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</si>
  <si>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Hemant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Dhingra</t>
    </r>
  </si>
  <si>
    <r>
      <t>Vill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P.O.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Titoli</t>
    </r>
  </si>
  <si>
    <t>Toyota Industries Engine India Pvt Ltd (KTTM)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</si>
  <si>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Dayanand</t>
    </r>
  </si>
  <si>
    <t>91-8110419555</t>
  </si>
  <si>
    <r>
      <t>08455-242636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50</t>
    </r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</si>
  <si>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Development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</si>
  <si>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Patancheru</t>
  </si>
  <si>
    <t>Patancheruvu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</si>
  <si>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Bhaskar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Reddy</t>
    </r>
  </si>
  <si>
    <t>0257-2272401/2/3/4</t>
  </si>
  <si>
    <r>
      <t>Pavna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Zadi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Security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</si>
  <si>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Binnami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Sharma</t>
    </r>
  </si>
  <si>
    <t>0-8006409320</t>
  </si>
  <si>
    <t>Bhankari</t>
  </si>
  <si>
    <r>
      <t>G.T.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</si>
  <si>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Aligarh</t>
  </si>
  <si>
    <r>
      <t>Numann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</si>
  <si>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Ravindran</t>
    </r>
  </si>
  <si>
    <r>
      <t>04344-278688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934431</t>
    </r>
  </si>
  <si>
    <r>
      <t>Begapalli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</si>
  <si>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Raviraj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Hi-Tech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</si>
  <si>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Rajendra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Pawar</t>
    </r>
  </si>
  <si>
    <t>0-9325077177</t>
  </si>
  <si>
    <r>
      <t>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Mulshi</t>
    </r>
  </si>
  <si>
    <r>
      <t>Indian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(Bombay)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</si>
  <si>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Mote</t>
    </r>
  </si>
  <si>
    <t>022-25768800</t>
  </si>
  <si>
    <r>
      <t>Micron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</si>
  <si>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Malhotra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</si>
  <si>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Mngr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Project</t>
    </r>
  </si>
  <si>
    <r>
      <t>0172-2650223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265577</t>
    </r>
  </si>
  <si>
    <r>
      <t>P.O.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657</t>
    </r>
  </si>
  <si>
    <t>Chandigarh</t>
  </si>
  <si>
    <r>
      <t>Indian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(BHU)</t>
    </r>
  </si>
  <si>
    <r>
      <t>Dr.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Santosh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</si>
  <si>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r>
      <t>Proff.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</t>
    </r>
  </si>
  <si>
    <t>0542-2368428</t>
  </si>
  <si>
    <t>Varanasi</t>
  </si>
  <si>
    <r>
      <t>ACG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Metalcrafts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Private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</si>
  <si>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Anthony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Nadar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Samrat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Roy</t>
    </r>
  </si>
  <si>
    <t>022-30780728</t>
  </si>
  <si>
    <r>
      <t>Kandivali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West</t>
    </r>
  </si>
  <si>
    <r>
      <t>Ganesh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</si>
  <si>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Dikonda</t>
    </r>
  </si>
  <si>
    <r>
      <t>020-2590199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7720075</t>
    </r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</si>
  <si>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Agarwal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Godown</t>
    </r>
  </si>
  <si>
    <r>
      <t>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Shiv</t>
    </r>
  </si>
  <si>
    <t>Aquasub Engg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</si>
  <si>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Vivek</t>
    </r>
  </si>
  <si>
    <t>QC</t>
  </si>
  <si>
    <t>0422-2461926</t>
  </si>
  <si>
    <r>
      <t>Vadamadurai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</si>
  <si>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r>
      <t>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High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Vaccum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</si>
  <si>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Shivaswamy</t>
    </r>
  </si>
  <si>
    <t>080-41931000</t>
  </si>
  <si>
    <r>
      <t>Kairish Innotech Pvt Ltd (Schott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Kaisha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Private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</si>
  <si>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Reddy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</t>
    </r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</si>
  <si>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Purchase</t>
    </r>
  </si>
  <si>
    <t>0260-2221192</t>
  </si>
  <si>
    <r>
      <t>Daman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Diu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</si>
  <si>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Bhatia</t>
    </r>
  </si>
  <si>
    <t>0-9873307109</t>
  </si>
  <si>
    <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Dhumaspur</t>
    </r>
  </si>
  <si>
    <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Leyland Ltd (Candid Micron)</t>
    </r>
  </si>
  <si>
    <r>
      <t>Ace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Multi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Axes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</si>
  <si>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Mahabaleshwara</t>
    </r>
  </si>
  <si>
    <t>080-28362651</t>
  </si>
  <si>
    <r>
      <t>2nd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</si>
  <si>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Anshuman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Duggal</t>
    </r>
  </si>
  <si>
    <r>
      <t>01276-267253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325887</t>
    </r>
  </si>
  <si>
    <r>
      <t>Part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</si>
  <si>
    <r>
      <t>Micro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Measures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</si>
  <si>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Sandip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Deshmu</t>
    </r>
  </si>
  <si>
    <r>
      <t>0253-2338143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0-9822</t>
    </r>
  </si>
  <si>
    <r>
      <t>Behind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Hotel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Apurwai</t>
    </r>
  </si>
  <si>
    <r>
      <t>Serene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Meadow</t>
    </r>
  </si>
  <si>
    <r>
      <t>SML Mahindra Ltd (SML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ISUZU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</si>
  <si>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Tara</t>
    </r>
  </si>
  <si>
    <t>0-7087971308</t>
  </si>
  <si>
    <r>
      <t>Distt.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</si>
  <si>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Nawanshahar</t>
  </si>
  <si>
    <t>PB</t>
  </si>
  <si>
    <r>
      <t>Orient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</si>
  <si>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Subramaniam</t>
    </r>
  </si>
  <si>
    <r>
      <t>044-26533537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2700</t>
    </r>
  </si>
  <si>
    <t>Ayanambakkam</t>
  </si>
  <si>
    <r>
      <t>G.M.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</si>
  <si>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Ullaganathan</t>
    </r>
  </si>
  <si>
    <r>
      <t>080-28364535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/994597</t>
    </r>
  </si>
  <si>
    <r>
      <t>Mathurusree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</si>
  <si>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Vishwaneedam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</si>
  <si>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Rajdeep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</si>
  <si>
    <r>
      <t>0175-2381343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398049</t>
    </r>
  </si>
  <si>
    <t>Patiala</t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</si>
  <si>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</si>
  <si>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Dhruv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</si>
  <si>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</si>
  <si>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0124-4236407/4236408</t>
  </si>
  <si>
    <t>Sector-34</t>
  </si>
  <si>
    <t>Jaicom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</si>
  <si>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Hersh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Mahajan</t>
    </r>
  </si>
  <si>
    <r>
      <t>011-32910299/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981008</t>
    </r>
  </si>
  <si>
    <t>Pitampura</t>
  </si>
  <si>
    <r>
      <t>V3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Mouldings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</si>
  <si>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Rahul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Panol/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</si>
  <si>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28367486</t>
    </r>
  </si>
  <si>
    <t>Phase-1</t>
  </si>
  <si>
    <r>
      <t>Mysore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</si>
  <si>
    <r>
      <t>Sona Speed Pvt Ltd (Superchem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Finishers)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</si>
  <si>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Ponnian</t>
    </r>
  </si>
  <si>
    <t>080-23253568</t>
  </si>
  <si>
    <t>MbEngg GmbH &amp; Co. KG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</si>
  <si>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Stephan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Bayer</t>
    </r>
  </si>
  <si>
    <t>+49282292707</t>
  </si>
  <si>
    <t>Emmerich</t>
  </si>
  <si>
    <r>
      <t>Rishab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</si>
  <si>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Narendra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Goliya</t>
    </r>
  </si>
  <si>
    <t>0253-2202142</t>
  </si>
  <si>
    <r>
      <t>Surelia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Wire-Cut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</si>
  <si>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Miney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Surelia</t>
    </r>
  </si>
  <si>
    <t>0281-2468332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</si>
  <si>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Krishnan</t>
    </r>
  </si>
  <si>
    <t>0-8970650603</t>
  </si>
  <si>
    <t>Multilink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</si>
  <si>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H.G.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</t>
    </r>
  </si>
  <si>
    <r>
      <t>Divisional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</t>
    </r>
  </si>
  <si>
    <t>0821-4280362</t>
  </si>
  <si>
    <r>
      <t>Doctor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</si>
  <si>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Dinakaran</t>
    </r>
  </si>
  <si>
    <t>080-27839535</t>
  </si>
  <si>
    <r>
      <t>Bommasandra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Link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</si>
  <si>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Velankani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Electronics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</si>
  <si>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Dubey</t>
    </r>
  </si>
  <si>
    <r>
      <t>BRS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Manufacturing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</si>
  <si>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Sandip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</si>
  <si>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Elite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</si>
  <si>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Avinash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Rao</t>
    </r>
  </si>
  <si>
    <t>040-23170805</t>
  </si>
  <si>
    <t>TS</t>
  </si>
  <si>
    <r>
      <t>Impex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Works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</si>
  <si>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Hans</t>
    </r>
  </si>
  <si>
    <r>
      <t>0129-4039630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0-9910</t>
    </r>
  </si>
  <si>
    <t>NIT</t>
  </si>
  <si>
    <r>
      <t>Schneider Electric India Pvt Ltd (Larsen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Toubro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 (H090)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</si>
  <si>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Sonavane</t>
    </r>
  </si>
  <si>
    <r>
      <t>0241-6606164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382</t>
    </r>
  </si>
  <si>
    <r>
      <t>A-9,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MIDC</t>
    </r>
  </si>
  <si>
    <r>
      <t>Rohit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Springforms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</si>
  <si>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Raghavan</t>
    </r>
  </si>
  <si>
    <t>020-27120605</t>
  </si>
  <si>
    <r>
      <t>Wipro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</si>
  <si>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Darpan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Mehta</t>
    </r>
  </si>
  <si>
    <t>080-39291800</t>
  </si>
  <si>
    <r>
      <t>Bangalore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North</t>
    </r>
  </si>
  <si>
    <r>
      <t>Prem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</si>
  <si>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Vethanayagam</t>
    </r>
  </si>
  <si>
    <t>0821-4280150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</si>
  <si>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Raghwendra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</t>
    </r>
  </si>
  <si>
    <r>
      <t>09927363370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098370</t>
    </r>
  </si>
  <si>
    <r>
      <t>IIE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Pantnagar</t>
    </r>
  </si>
  <si>
    <r>
      <t>Tube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Investments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</si>
  <si>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Srivatsan</t>
    </r>
  </si>
  <si>
    <t>AGM</t>
  </si>
  <si>
    <t>044-42291999</t>
  </si>
  <si>
    <r>
      <t>KPSV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</si>
  <si>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Mani</t>
    </r>
  </si>
  <si>
    <r>
      <t>Sunrays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</si>
  <si>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Pradeep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Tripathi</t>
    </r>
  </si>
  <si>
    <t>0124-4368172</t>
  </si>
  <si>
    <t>Manesar,</t>
  </si>
  <si>
    <r>
      <t>Fine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Blanking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</si>
  <si>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Rahul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Khobare</t>
    </r>
  </si>
  <si>
    <t>0836-2330446</t>
  </si>
  <si>
    <r>
      <t>Gokul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</si>
  <si>
    <t>Hubli</t>
  </si>
  <si>
    <r>
      <t>Roca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Bathroom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</si>
  <si>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Alagappan</t>
    </r>
  </si>
  <si>
    <t>044-47113232</t>
  </si>
  <si>
    <r>
      <t>Mambakkam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</si>
  <si>
    <t>Sriperumbudur,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</si>
  <si>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Vivekanandan</t>
    </r>
  </si>
  <si>
    <r>
      <t>Multiples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</si>
  <si>
    <r>
      <t>MMDA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Colony,</t>
    </r>
  </si>
  <si>
    <r>
      <t>Schneider Electric India Pvt Ltd (Larsen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Toubro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</si>
  <si>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Nitin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</si>
  <si>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r>
      <t>Technology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Behind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</si>
  <si>
    <r>
      <t>Between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Ajwa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</si>
  <si>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</si>
  <si>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B.M.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Aravind</t>
    </r>
  </si>
  <si>
    <t>080-41170235</t>
  </si>
  <si>
    <t>Phoenix Engg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</si>
  <si>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</si>
  <si>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t>0240-564966</t>
  </si>
  <si>
    <r>
      <t>LM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Moppes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</si>
  <si>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</si>
  <si>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t>044-25375668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</si>
  <si>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Devdas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Pardas</t>
    </r>
  </si>
  <si>
    <t>022-25487138</t>
  </si>
  <si>
    <r>
      <t>BARC,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Trombay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</si>
  <si>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Madhusudhanra</t>
    </r>
  </si>
  <si>
    <r>
      <t>Senior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</si>
  <si>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080-40724700</t>
  </si>
  <si>
    <r>
      <t>Akshar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Brass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</si>
  <si>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Limbasiya</t>
    </r>
  </si>
  <si>
    <t>0288-2730587</t>
  </si>
  <si>
    <r>
      <t>Fortune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Plastech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</si>
  <si>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Hemant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</si>
  <si>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080-32560888</t>
  </si>
  <si>
    <t>Bhattrahalli,</t>
  </si>
  <si>
    <r>
      <t>Virgonagar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</si>
  <si>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049</t>
    </r>
  </si>
  <si>
    <t>JJG Machining Pvt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</si>
  <si>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Vinayak</t>
    </r>
  </si>
  <si>
    <t>080-28520421</t>
  </si>
  <si>
    <r>
      <t>Epitome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</si>
  <si>
    <t>4030J lX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</si>
  <si>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Anurag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Dhoot</t>
    </r>
  </si>
  <si>
    <t>02488-243133</t>
  </si>
  <si>
    <t>Tal-Pamer,</t>
  </si>
  <si>
    <r>
      <t>Derewala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</si>
  <si>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Vijesj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</t>
    </r>
  </si>
  <si>
    <r>
      <t>0141-5151444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969408</t>
    </r>
  </si>
  <si>
    <r>
      <t>Tonk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</si>
  <si>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Nagabushanam</t>
    </r>
  </si>
  <si>
    <r>
      <t>Taluk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Sriperumpudur</t>
    </r>
  </si>
  <si>
    <t>Nextech Engg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</si>
  <si>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Mayur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Hansali</t>
    </r>
  </si>
  <si>
    <t>Accountant</t>
  </si>
  <si>
    <t>02827-296051</t>
  </si>
  <si>
    <r>
      <t>Milacron India Pvt Ltd (Ferromatik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Milacron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</si>
  <si>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Jiten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Mehta</t>
    </r>
  </si>
  <si>
    <t>079-25890081</t>
  </si>
  <si>
    <r>
      <t>GIDC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Vatva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</si>
  <si>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</si>
  <si>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r>
      <t>022-25007324/7588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</t>
    </r>
  </si>
  <si>
    <r>
      <t>Mahalunge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Dist-Khed</t>
    </r>
  </si>
  <si>
    <r>
      <t>Marelli Motherson Automotive Lighting India Pvt Ltd (Magneti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Marelli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</si>
  <si>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Kotanur</t>
    </r>
  </si>
  <si>
    <t>0124-2291674</t>
  </si>
  <si>
    <t>Hirapur,</t>
  </si>
  <si>
    <r>
      <t>382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110</t>
    </r>
  </si>
  <si>
    <r>
      <t>Gilbarco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Veeder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Root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</si>
  <si>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</si>
  <si>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Proc</t>
    </r>
  </si>
  <si>
    <t>0422-6680515</t>
  </si>
  <si>
    <r>
      <t>PDP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Coimbatore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Campus</t>
    </r>
  </si>
  <si>
    <r>
      <t>K-Max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</si>
  <si>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044-26255230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420775</t>
    </r>
  </si>
  <si>
    <r>
      <t>Numann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</si>
  <si>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Murugan</t>
    </r>
  </si>
  <si>
    <r>
      <t>Mayur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</si>
  <si>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Mayur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Bhagat</t>
    </r>
  </si>
  <si>
    <r>
      <t>020-27128896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988121</t>
    </r>
  </si>
  <si>
    <r>
      <t>TopFlite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</si>
  <si>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Rachin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Bhasi</t>
    </r>
  </si>
  <si>
    <r>
      <t>0821-4245555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81059</t>
    </r>
  </si>
  <si>
    <t>Hebbal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</si>
  <si>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Prasanna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</si>
  <si>
    <r>
      <t>080-27287141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43</t>
    </r>
  </si>
  <si>
    <r>
      <t>Ramanagaram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District</t>
    </r>
  </si>
  <si>
    <t>533 / E177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</si>
  <si>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Kamireddy</t>
    </r>
  </si>
  <si>
    <r>
      <t>Satyavedu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(P.O)</t>
    </r>
  </si>
  <si>
    <t>AndhraPradesh</t>
  </si>
  <si>
    <t>Rupa Engg Industries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</si>
  <si>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Srinivas</t>
    </r>
  </si>
  <si>
    <r>
      <t>0422-2562844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256384</t>
    </r>
  </si>
  <si>
    <r>
      <t>BG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LI-IN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Electricals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</si>
  <si>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Sonawa</t>
    </r>
  </si>
  <si>
    <t>240-3250408-12</t>
  </si>
  <si>
    <r>
      <t>Schneider Electric India Pvt Ltd (Larsen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Toubro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Limited) (H099)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</si>
  <si>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Ravikiran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Mali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Rishikesh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Dar</t>
    </r>
  </si>
  <si>
    <r>
      <t>241-6606164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382</t>
    </r>
  </si>
  <si>
    <t>CG Power &amp; Industrial soln Ltd (Crompton Greaves Ltd)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</si>
  <si>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shinde</t>
    </r>
  </si>
  <si>
    <t>253-2382273</t>
  </si>
  <si>
    <r>
      <t>Sandhar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</si>
  <si>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Dalal</t>
    </r>
  </si>
  <si>
    <t>0124-4352932</t>
  </si>
  <si>
    <r>
      <t>Reammac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</si>
  <si>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Thiruneela</t>
    </r>
  </si>
  <si>
    <r>
      <t>9003065004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9042983</t>
    </r>
  </si>
  <si>
    <r>
      <t>Balaji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Aluminium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Extrusions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</si>
  <si>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Ankur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Aggarwal</t>
    </r>
  </si>
  <si>
    <t>HSIIDC</t>
  </si>
  <si>
    <r>
      <t>Kalgidhar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</si>
  <si>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Manjit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</si>
  <si>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r>
      <t>0161-5011140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</t>
    </r>
  </si>
  <si>
    <t>Ludhiana</t>
  </si>
  <si>
    <t>Punjab</t>
  </si>
  <si>
    <r>
      <t>Standard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Pressing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Works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</si>
  <si>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Vora</t>
    </r>
  </si>
  <si>
    <t>022-27606477</t>
  </si>
  <si>
    <r>
      <t>Off.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Belapur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</si>
  <si>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Shankare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Gowda</t>
    </r>
  </si>
  <si>
    <t>080-66189629</t>
  </si>
  <si>
    <t>Accurate Engg Enterprises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</si>
  <si>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Vinay</t>
    </r>
  </si>
  <si>
    <r>
      <t>080-28367633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/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944907</t>
    </r>
  </si>
  <si>
    <r>
      <rPr>
        <sz val="6"/>
        <rFont val="Calibri"/>
        <family val="2"/>
      </rPr>
      <t>Kramski Stamping &amp; Molding India Pvt Ltd</t>
    </r>
  </si>
  <si>
    <r>
      <rPr>
        <sz val="6"/>
        <rFont val="Calibri"/>
        <family val="2"/>
      </rPr>
      <t>Mr. J Vetrivel</t>
    </r>
  </si>
  <si>
    <r>
      <rPr>
        <sz val="6"/>
        <rFont val="Calibri"/>
        <family val="2"/>
      </rPr>
      <t>Purchase Officer</t>
    </r>
  </si>
  <si>
    <r>
      <rPr>
        <sz val="6"/>
        <rFont val="Calibri"/>
        <family val="2"/>
      </rPr>
      <t>0416-2206001-15</t>
    </r>
  </si>
  <si>
    <r>
      <rPr>
        <sz val="6"/>
        <rFont val="Calibri"/>
        <family val="2"/>
      </rPr>
      <t>(Via) Virinchipuram</t>
    </r>
  </si>
  <si>
    <r>
      <rPr>
        <sz val="6"/>
        <rFont val="Calibri"/>
        <family val="2"/>
      </rPr>
      <t>Vellore</t>
    </r>
  </si>
  <si>
    <r>
      <rPr>
        <sz val="6"/>
        <rFont val="Calibri"/>
        <family val="2"/>
      </rPr>
      <t>TN</t>
    </r>
  </si>
  <si>
    <r>
      <rPr>
        <sz val="6"/>
        <rFont val="Calibri"/>
        <family val="2"/>
      </rPr>
      <t>India</t>
    </r>
  </si>
  <si>
    <r>
      <rPr>
        <sz val="6"/>
        <rFont val="Calibri"/>
        <family val="2"/>
      </rPr>
      <t>Ramesh Brass Products</t>
    </r>
  </si>
  <si>
    <r>
      <rPr>
        <sz val="6"/>
        <rFont val="Calibri"/>
        <family val="2"/>
      </rPr>
      <t>Mr. Dipak Harwara</t>
    </r>
  </si>
  <si>
    <r>
      <rPr>
        <sz val="6"/>
        <rFont val="Calibri"/>
        <family val="2"/>
      </rPr>
      <t>0288-2730730 / 9033426</t>
    </r>
  </si>
  <si>
    <r>
      <rPr>
        <sz val="6"/>
        <rFont val="Calibri"/>
        <family val="2"/>
      </rPr>
      <t>Dared</t>
    </r>
  </si>
  <si>
    <r>
      <rPr>
        <sz val="6"/>
        <rFont val="Calibri"/>
        <family val="2"/>
      </rPr>
      <t>GJ</t>
    </r>
  </si>
  <si>
    <t>CNC Autocom (Auto Com Engineers)</t>
  </si>
  <si>
    <r>
      <rPr>
        <sz val="6"/>
        <rFont val="Calibri"/>
        <family val="2"/>
      </rPr>
      <t>Mr. Vivekanand V Nay</t>
    </r>
  </si>
  <si>
    <r>
      <rPr>
        <sz val="6"/>
        <rFont val="Calibri"/>
        <family val="2"/>
      </rPr>
      <t>General Manage</t>
    </r>
  </si>
  <si>
    <r>
      <rPr>
        <sz val="6"/>
        <rFont val="Calibri"/>
        <family val="2"/>
      </rPr>
      <t>080-41648586</t>
    </r>
  </si>
  <si>
    <r>
      <rPr>
        <sz val="6"/>
        <rFont val="Calibri"/>
        <family val="2"/>
      </rPr>
      <t>Bommanahalli</t>
    </r>
  </si>
  <si>
    <r>
      <rPr>
        <sz val="6"/>
        <rFont val="Calibri"/>
        <family val="2"/>
      </rPr>
      <t>KA</t>
    </r>
  </si>
  <si>
    <r>
      <rPr>
        <sz val="6"/>
        <rFont val="Calibri"/>
        <family val="2"/>
      </rPr>
      <t>Interface Microsystems</t>
    </r>
  </si>
  <si>
    <r>
      <rPr>
        <sz val="6"/>
        <rFont val="Calibri"/>
        <family val="2"/>
      </rPr>
      <t>Mr. Gaurishankar Uniyal / Mr. Rakesh Ku</t>
    </r>
  </si>
  <si>
    <r>
      <rPr>
        <sz val="6"/>
        <rFont val="Calibri"/>
        <family val="2"/>
      </rPr>
      <t>0124-4736964</t>
    </r>
  </si>
  <si>
    <r>
      <rPr>
        <sz val="6"/>
        <rFont val="Calibri"/>
        <family val="2"/>
      </rPr>
      <t>Phase II</t>
    </r>
  </si>
  <si>
    <r>
      <rPr>
        <sz val="6"/>
        <rFont val="Calibri"/>
        <family val="2"/>
      </rPr>
      <t>Gurgaon</t>
    </r>
  </si>
  <si>
    <r>
      <rPr>
        <sz val="6"/>
        <rFont val="Calibri"/>
        <family val="2"/>
      </rPr>
      <t>HR</t>
    </r>
  </si>
  <si>
    <r>
      <rPr>
        <sz val="6"/>
        <rFont val="Calibri"/>
        <family val="2"/>
      </rPr>
      <t>Future Technologies</t>
    </r>
  </si>
  <si>
    <r>
      <rPr>
        <sz val="6"/>
        <rFont val="Calibri"/>
        <family val="2"/>
      </rPr>
      <t>Mr. Saravanan</t>
    </r>
  </si>
  <si>
    <r>
      <rPr>
        <sz val="6"/>
        <rFont val="Calibri"/>
        <family val="2"/>
      </rPr>
      <t>Kamakshipalya</t>
    </r>
  </si>
  <si>
    <r>
      <rPr>
        <sz val="6"/>
        <rFont val="Calibri"/>
        <family val="2"/>
      </rPr>
      <t>Automat Irrigation Pvt Ltd</t>
    </r>
  </si>
  <si>
    <r>
      <rPr>
        <sz val="6"/>
        <rFont val="Calibri"/>
        <family val="2"/>
      </rPr>
      <t>Mr. Kapil Saxena</t>
    </r>
  </si>
  <si>
    <r>
      <rPr>
        <sz val="6"/>
        <rFont val="Calibri"/>
        <family val="2"/>
      </rPr>
      <t>01334-239468</t>
    </r>
  </si>
  <si>
    <r>
      <rPr>
        <sz val="6"/>
        <rFont val="Calibri"/>
        <family val="2"/>
      </rPr>
      <t>UK</t>
    </r>
  </si>
  <si>
    <r>
      <rPr>
        <sz val="6"/>
        <rFont val="Calibri"/>
        <family val="2"/>
      </rPr>
      <t>Mindarika Pvt Ltd</t>
    </r>
  </si>
  <si>
    <r>
      <rPr>
        <sz val="6"/>
        <rFont val="Calibri"/>
        <family val="2"/>
      </rPr>
      <t>Mr. Rahul Yeole</t>
    </r>
  </si>
  <si>
    <r>
      <rPr>
        <sz val="6"/>
        <rFont val="Calibri"/>
        <family val="2"/>
      </rPr>
      <t>Director</t>
    </r>
  </si>
  <si>
    <r>
      <rPr>
        <sz val="6"/>
        <rFont val="Calibri"/>
        <family val="2"/>
      </rPr>
      <t>Village Mahalunge</t>
    </r>
  </si>
  <si>
    <r>
      <rPr>
        <sz val="6"/>
        <rFont val="Calibri"/>
        <family val="2"/>
      </rPr>
      <t>MH</t>
    </r>
  </si>
  <si>
    <t>TopFlite Components Pvt Ltd</t>
  </si>
  <si>
    <r>
      <rPr>
        <sz val="6"/>
        <rFont val="Calibri"/>
        <family val="2"/>
      </rPr>
      <t>Bhullar Industries</t>
    </r>
  </si>
  <si>
    <r>
      <rPr>
        <sz val="6"/>
        <rFont val="Calibri"/>
        <family val="2"/>
      </rPr>
      <t>Mr. Gurucharan Singh Bhullar</t>
    </r>
  </si>
  <si>
    <r>
      <rPr>
        <sz val="6"/>
        <rFont val="Calibri"/>
        <family val="2"/>
      </rPr>
      <t>0129-2276757</t>
    </r>
  </si>
  <si>
    <r>
      <rPr>
        <sz val="6"/>
        <rFont val="Calibri"/>
        <family val="2"/>
      </rPr>
      <t>Recaero India Ltd</t>
    </r>
  </si>
  <si>
    <r>
      <rPr>
        <sz val="6"/>
        <rFont val="Calibri"/>
        <family val="2"/>
      </rPr>
      <t>Mr. Srinath</t>
    </r>
  </si>
  <si>
    <r>
      <rPr>
        <sz val="6"/>
        <rFont val="Calibri"/>
        <family val="2"/>
      </rPr>
      <t>Abbanakuppe</t>
    </r>
  </si>
  <si>
    <r>
      <rPr>
        <sz val="6"/>
        <rFont val="Calibri"/>
        <family val="2"/>
      </rPr>
      <t>Ajanta Ltd.</t>
    </r>
  </si>
  <si>
    <r>
      <rPr>
        <sz val="6"/>
        <rFont val="Calibri"/>
        <family val="2"/>
      </rPr>
      <t>Mr. Vinayak Hegde</t>
    </r>
  </si>
  <si>
    <r>
      <rPr>
        <sz val="6"/>
        <rFont val="Calibri"/>
        <family val="2"/>
      </rPr>
      <t>02822-391111</t>
    </r>
  </si>
  <si>
    <t>Morbi</t>
  </si>
  <si>
    <r>
      <rPr>
        <sz val="6"/>
        <rFont val="Calibri"/>
        <family val="2"/>
      </rPr>
      <t>Yoshama and Company Pvt Ltd.</t>
    </r>
  </si>
  <si>
    <r>
      <rPr>
        <sz val="6"/>
        <rFont val="Calibri"/>
        <family val="2"/>
      </rPr>
      <t>Mr.Vivek Bhat</t>
    </r>
  </si>
  <si>
    <r>
      <rPr>
        <sz val="6"/>
        <rFont val="Calibri"/>
        <family val="2"/>
      </rPr>
      <t>080-23350025</t>
    </r>
  </si>
  <si>
    <r>
      <rPr>
        <sz val="6"/>
        <rFont val="Calibri"/>
        <family val="2"/>
      </rPr>
      <t>Rajajinagar</t>
    </r>
  </si>
  <si>
    <r>
      <rPr>
        <sz val="6"/>
        <rFont val="Calibri"/>
        <family val="2"/>
      </rPr>
      <t>Bangalore</t>
    </r>
  </si>
  <si>
    <r>
      <rPr>
        <sz val="6"/>
        <rFont val="Calibri"/>
        <family val="2"/>
      </rPr>
      <t>JJ Glastronics Pvt Ltd</t>
    </r>
  </si>
  <si>
    <r>
      <rPr>
        <sz val="6"/>
        <rFont val="Calibri"/>
        <family val="2"/>
      </rPr>
      <t>Mr. Prakash</t>
    </r>
  </si>
  <si>
    <r>
      <rPr>
        <sz val="6"/>
        <rFont val="Calibri"/>
        <family val="2"/>
      </rPr>
      <t>9731264612 / 080-28520</t>
    </r>
  </si>
  <si>
    <t>Muviq India Power Transmission Pvt Ltd (Dayco Power Transmission Pvt Ltd)</t>
  </si>
  <si>
    <r>
      <rPr>
        <sz val="6"/>
        <rFont val="Calibri"/>
        <family val="2"/>
      </rPr>
      <t>Mr. Naveen Kumar</t>
    </r>
  </si>
  <si>
    <r>
      <rPr>
        <sz val="6"/>
        <rFont val="Calibri"/>
        <family val="2"/>
      </rPr>
      <t>Purchasing</t>
    </r>
  </si>
  <si>
    <r>
      <rPr>
        <sz val="6"/>
        <rFont val="Calibri"/>
        <family val="2"/>
      </rPr>
      <t>0124-4845000 /  880089</t>
    </r>
  </si>
  <si>
    <r>
      <rPr>
        <sz val="6"/>
        <rFont val="Calibri"/>
        <family val="2"/>
      </rPr>
      <t>IMT Manesar</t>
    </r>
  </si>
  <si>
    <t>Panasonic Life Solns India Pvt Ltd (Anchor Electricals Pvt Ltd)</t>
  </si>
  <si>
    <r>
      <rPr>
        <sz val="6"/>
        <rFont val="Calibri"/>
        <family val="2"/>
      </rPr>
      <t>Mr. Basant Prajapati</t>
    </r>
  </si>
  <si>
    <r>
      <rPr>
        <sz val="6"/>
        <rFont val="Calibri"/>
        <family val="2"/>
      </rPr>
      <t>01334-325991 / 92 /93</t>
    </r>
  </si>
  <si>
    <r>
      <rPr>
        <sz val="6"/>
        <rFont val="Calibri"/>
        <family val="2"/>
      </rPr>
      <t>SIDCUL, Ranipur</t>
    </r>
  </si>
  <si>
    <r>
      <rPr>
        <sz val="6"/>
        <rFont val="Calibri"/>
        <family val="2"/>
      </rPr>
      <t>Haridwar</t>
    </r>
  </si>
  <si>
    <r>
      <rPr>
        <sz val="6"/>
        <rFont val="Calibri"/>
        <family val="2"/>
      </rPr>
      <t>Falcon Toolings</t>
    </r>
  </si>
  <si>
    <r>
      <rPr>
        <sz val="6"/>
        <rFont val="Calibri"/>
        <family val="2"/>
      </rPr>
      <t>Mr. Rajasekaran</t>
    </r>
  </si>
  <si>
    <r>
      <rPr>
        <sz val="6"/>
        <rFont val="Calibri"/>
        <family val="2"/>
      </rPr>
      <t>COO</t>
    </r>
  </si>
  <si>
    <r>
      <rPr>
        <sz val="6"/>
        <rFont val="Calibri"/>
        <family val="2"/>
      </rPr>
      <t>0422-6579614</t>
    </r>
  </si>
  <si>
    <r>
      <rPr>
        <sz val="6"/>
        <rFont val="Calibri"/>
        <family val="2"/>
      </rPr>
      <t>Kalapatti</t>
    </r>
  </si>
  <si>
    <r>
      <rPr>
        <sz val="6"/>
        <rFont val="Calibri"/>
        <family val="2"/>
      </rPr>
      <t>Coimbatore</t>
    </r>
  </si>
  <si>
    <r>
      <rPr>
        <sz val="6"/>
        <rFont val="Calibri"/>
        <family val="2"/>
      </rPr>
      <t>Bharat Electronics Ltd</t>
    </r>
  </si>
  <si>
    <r>
      <rPr>
        <sz val="6"/>
        <rFont val="Calibri"/>
        <family val="2"/>
      </rPr>
      <t>Mr. Vijayabaskar M</t>
    </r>
  </si>
  <si>
    <r>
      <rPr>
        <sz val="6"/>
        <rFont val="Calibri"/>
        <family val="2"/>
      </rPr>
      <t>Head ET Purchas</t>
    </r>
  </si>
  <si>
    <r>
      <rPr>
        <sz val="6"/>
        <rFont val="Calibri"/>
        <family val="2"/>
      </rPr>
      <t>080-28384167</t>
    </r>
  </si>
  <si>
    <r>
      <rPr>
        <sz val="6"/>
        <rFont val="Calibri"/>
        <family val="2"/>
      </rPr>
      <t>Vasantha Tool Crafts Pvt Ltd</t>
    </r>
  </si>
  <si>
    <t>4030J LX</t>
  </si>
  <si>
    <r>
      <rPr>
        <sz val="6"/>
        <rFont val="Calibri"/>
        <family val="2"/>
      </rPr>
      <t>Mr.V Mahesh</t>
    </r>
  </si>
  <si>
    <r>
      <rPr>
        <sz val="6"/>
        <rFont val="Calibri"/>
        <family val="2"/>
      </rPr>
      <t>Asst.Manager-Pu</t>
    </r>
  </si>
  <si>
    <r>
      <rPr>
        <sz val="6"/>
        <rFont val="Calibri"/>
        <family val="2"/>
      </rPr>
      <t>040-44613333</t>
    </r>
  </si>
  <si>
    <r>
      <rPr>
        <sz val="6"/>
        <rFont val="Calibri"/>
        <family val="2"/>
      </rPr>
      <t>Jeedimetla</t>
    </r>
  </si>
  <si>
    <r>
      <rPr>
        <sz val="6"/>
        <rFont val="Calibri"/>
        <family val="2"/>
      </rPr>
      <t>Hyderabad,Telan</t>
    </r>
  </si>
  <si>
    <r>
      <rPr>
        <sz val="6"/>
        <rFont val="Calibri"/>
        <family val="2"/>
      </rPr>
      <t>AP</t>
    </r>
  </si>
  <si>
    <r>
      <rPr>
        <sz val="6"/>
        <rFont val="Calibri"/>
        <family val="2"/>
      </rPr>
      <t>Ripple Technologies</t>
    </r>
  </si>
  <si>
    <r>
      <rPr>
        <sz val="6"/>
        <rFont val="Calibri"/>
        <family val="2"/>
      </rPr>
      <t>Mr. Harish</t>
    </r>
  </si>
  <si>
    <r>
      <rPr>
        <sz val="6"/>
        <rFont val="Calibri"/>
        <family val="2"/>
      </rPr>
      <t>Peenya 4th Phase</t>
    </r>
  </si>
  <si>
    <t>Minda Corporation Ltd</t>
  </si>
  <si>
    <r>
      <rPr>
        <sz val="6"/>
        <rFont val="Calibri"/>
        <family val="2"/>
      </rPr>
      <t>Mr. Yogesh Dharurkar / Mr. Saurabh Aga</t>
    </r>
  </si>
  <si>
    <r>
      <rPr>
        <sz val="6"/>
        <rFont val="Calibri"/>
        <family val="2"/>
      </rPr>
      <t>02135-661500 / 661400</t>
    </r>
  </si>
  <si>
    <t>Taluka khed</t>
  </si>
  <si>
    <r>
      <rPr>
        <sz val="6"/>
        <rFont val="Calibri"/>
        <family val="2"/>
      </rPr>
      <t>Pune</t>
    </r>
  </si>
  <si>
    <r>
      <rPr>
        <sz val="6"/>
        <rFont val="Calibri"/>
        <family val="2"/>
      </rPr>
      <t>Ravi Plast Mold Pvt Ltd</t>
    </r>
  </si>
  <si>
    <r>
      <rPr>
        <sz val="6"/>
        <rFont val="Calibri"/>
        <family val="2"/>
      </rPr>
      <t>Mr. Jatin Shah</t>
    </r>
  </si>
  <si>
    <r>
      <rPr>
        <sz val="6"/>
        <rFont val="Calibri"/>
        <family val="2"/>
      </rPr>
      <t>079-25840863/ 9327000</t>
    </r>
  </si>
  <si>
    <r>
      <rPr>
        <sz val="6"/>
        <rFont val="Calibri"/>
        <family val="2"/>
      </rPr>
      <t>Ahmedabad</t>
    </r>
  </si>
  <si>
    <r>
      <rPr>
        <sz val="6"/>
        <rFont val="Calibri"/>
        <family val="2"/>
      </rPr>
      <t>Star Fabricators</t>
    </r>
  </si>
  <si>
    <t>20154J LX</t>
  </si>
  <si>
    <r>
      <rPr>
        <sz val="6"/>
        <rFont val="Calibri"/>
        <family val="2"/>
      </rPr>
      <t>0257-2210054</t>
    </r>
  </si>
  <si>
    <r>
      <rPr>
        <sz val="6"/>
        <rFont val="Calibri"/>
        <family val="2"/>
      </rPr>
      <t>Jalgaon</t>
    </r>
  </si>
  <si>
    <r>
      <rPr>
        <sz val="6"/>
        <rFont val="Calibri"/>
        <family val="2"/>
      </rPr>
      <t>JSS Automotives</t>
    </r>
  </si>
  <si>
    <r>
      <rPr>
        <sz val="6"/>
        <rFont val="Calibri"/>
        <family val="2"/>
      </rPr>
      <t>Mr. Shashank Verma / Mr.Narinder Ver</t>
    </r>
  </si>
  <si>
    <r>
      <rPr>
        <sz val="6"/>
        <rFont val="Calibri"/>
        <family val="2"/>
      </rPr>
      <t>m09990702000 / 0987157</t>
    </r>
  </si>
  <si>
    <r>
      <rPr>
        <sz val="6"/>
        <rFont val="Calibri"/>
        <family val="2"/>
      </rPr>
      <t>Part II</t>
    </r>
  </si>
  <si>
    <r>
      <rPr>
        <sz val="6"/>
        <rFont val="Calibri"/>
        <family val="2"/>
      </rPr>
      <t>JSS Automotive</t>
    </r>
  </si>
  <si>
    <r>
      <rPr>
        <sz val="6"/>
        <rFont val="Calibri"/>
        <family val="2"/>
      </rPr>
      <t>Alwar</t>
    </r>
  </si>
  <si>
    <r>
      <rPr>
        <sz val="6"/>
        <rFont val="Calibri"/>
        <family val="2"/>
      </rPr>
      <t>RJ</t>
    </r>
  </si>
  <si>
    <t>Sundaram Industries Pvt Ltd</t>
  </si>
  <si>
    <r>
      <rPr>
        <sz val="6"/>
        <rFont val="Calibri"/>
        <family val="2"/>
      </rPr>
      <t>Mr. Suriyakumar</t>
    </r>
  </si>
  <si>
    <r>
      <rPr>
        <sz val="6"/>
        <rFont val="Calibri"/>
        <family val="2"/>
      </rPr>
      <t>0452-4348888/ 2381531</t>
    </r>
  </si>
  <si>
    <r>
      <rPr>
        <sz val="6"/>
        <rFont val="Calibri"/>
        <family val="2"/>
      </rPr>
      <t>Kochadai</t>
    </r>
  </si>
  <si>
    <r>
      <rPr>
        <sz val="6"/>
        <rFont val="Calibri"/>
        <family val="2"/>
      </rPr>
      <t>Madurai</t>
    </r>
  </si>
  <si>
    <r>
      <rPr>
        <sz val="6"/>
        <rFont val="Calibri"/>
        <family val="2"/>
      </rPr>
      <t>Pharma Tools</t>
    </r>
  </si>
  <si>
    <r>
      <rPr>
        <sz val="6"/>
        <rFont val="Calibri"/>
        <family val="2"/>
      </rPr>
      <t>Mr. Ratan Singhania</t>
    </r>
  </si>
  <si>
    <r>
      <rPr>
        <sz val="6"/>
        <rFont val="Calibri"/>
        <family val="2"/>
      </rPr>
      <t>022-25786007</t>
    </r>
  </si>
  <si>
    <t>Vikhroli West</t>
  </si>
  <si>
    <r>
      <rPr>
        <sz val="6"/>
        <rFont val="Calibri"/>
        <family val="2"/>
      </rPr>
      <t>Mumbai</t>
    </r>
  </si>
  <si>
    <t>Vikhroli</t>
  </si>
  <si>
    <t>Image Labels Pvt Ltd</t>
  </si>
  <si>
    <t xml:space="preserve">Mr. Sujan Nailady </t>
  </si>
  <si>
    <t>080-2842 5555</t>
  </si>
  <si>
    <t>Opp. Kanakapura Road</t>
  </si>
  <si>
    <t>Haryana Plastics &amp; Engg Works</t>
  </si>
  <si>
    <t>Mr. R.K. Gupta/ Mr.Anish Gupta</t>
  </si>
  <si>
    <t>Munshi Ram Gupta Marg</t>
  </si>
  <si>
    <t>ND</t>
  </si>
  <si>
    <t>Poineer Tooling Services</t>
  </si>
  <si>
    <t>Mr. Anil Sangwan/ Mr. Ravi Mehta</t>
  </si>
  <si>
    <t>0120-4212583</t>
  </si>
  <si>
    <t>Phase-II Extension</t>
  </si>
  <si>
    <t>Mr.Pradeep Ramakrishnan</t>
  </si>
  <si>
    <t>044-26246523/ 26248323</t>
  </si>
  <si>
    <t>Laxmi Remote (India) Private Limited</t>
  </si>
  <si>
    <t>Mr. K.K.Tewary/ Mr.Dharmapal Bajaj</t>
  </si>
  <si>
    <t>Terminal Technologies P Ltd</t>
  </si>
  <si>
    <t>Mr. C.A Anto</t>
  </si>
  <si>
    <t>Merchant Industrial Complex</t>
  </si>
  <si>
    <t>Valiv, Dist:Palghar</t>
  </si>
  <si>
    <t>Vasai East</t>
  </si>
  <si>
    <t>Mr.Prashanth Bhosale</t>
  </si>
  <si>
    <t>Plant-Head</t>
  </si>
  <si>
    <t>Mnanekarwadi Industrial area</t>
  </si>
  <si>
    <t>Chakan, Taq:Khed</t>
  </si>
  <si>
    <t>Texmo Blank India Pvt Ltd (Texmo Precision Casting)</t>
  </si>
  <si>
    <t xml:space="preserve">Mr.Robert M Rozario </t>
  </si>
  <si>
    <t>Manager Purchase</t>
  </si>
  <si>
    <t>04259-660171/ 660146</t>
  </si>
  <si>
    <t>Prettl Electronics India Pvt Ltd</t>
  </si>
  <si>
    <t>Mr. Amit Pawar/ Mr.Sagar Giram</t>
  </si>
  <si>
    <t>Purchase Dept</t>
  </si>
  <si>
    <t>Near Weik Field, Village Lonikand</t>
  </si>
  <si>
    <t>Taluk Haveli</t>
  </si>
  <si>
    <t>Mr. Sagar M</t>
  </si>
  <si>
    <t>0240-2554662</t>
  </si>
  <si>
    <t>Mold-Masters Technologies Pvt Ltd</t>
  </si>
  <si>
    <t>Mr. Mobindas Mohandas</t>
  </si>
  <si>
    <t>0422-4234888</t>
  </si>
  <si>
    <t>Nallampalayam</t>
  </si>
  <si>
    <t>Rathinapuri P.O</t>
  </si>
  <si>
    <t>Mega Rubber Technologies Pvt Ltd</t>
  </si>
  <si>
    <t>Mr. Arun Wankhede</t>
  </si>
  <si>
    <t>Dy.Manager Quality</t>
  </si>
  <si>
    <t>0250-6057500</t>
  </si>
  <si>
    <t>Waliv</t>
  </si>
  <si>
    <t>Vasai Road East</t>
  </si>
  <si>
    <t>Precision Electricals</t>
  </si>
  <si>
    <t>Mr.Ravindra Pandey</t>
  </si>
  <si>
    <t>Navghar Road</t>
  </si>
  <si>
    <t>Elvee Springs Pvt Ltd</t>
  </si>
  <si>
    <t>Mr. Prakash</t>
  </si>
  <si>
    <t>Managing Directortor</t>
  </si>
  <si>
    <t>080-23108193/ 23158131</t>
  </si>
  <si>
    <t>Vasantha Tool Crafts Pvt Ltd</t>
  </si>
  <si>
    <t>Mr. V Mahesh</t>
  </si>
  <si>
    <t>Asst Mgr-Purchase</t>
  </si>
  <si>
    <t>040-44693344</t>
  </si>
  <si>
    <t>Fair Field Engineers</t>
  </si>
  <si>
    <t>Mr. Divas Thakur</t>
  </si>
  <si>
    <t>Vivid Tool Crafts</t>
  </si>
  <si>
    <t>Mr. N. Ramesh</t>
  </si>
  <si>
    <t>9493287497/ 9010202571</t>
  </si>
  <si>
    <t>IDA</t>
  </si>
  <si>
    <t>The Suncad Training &amp; Designers</t>
  </si>
  <si>
    <t>Mr. Sandip Patel</t>
  </si>
  <si>
    <t>Nr.Krishnabaug Cross Road</t>
  </si>
  <si>
    <t>Maninagar</t>
  </si>
  <si>
    <t>Schneider Electric India Pvt Ltd (Larsen &amp; Toubro Limited) (H106)</t>
  </si>
  <si>
    <t>Mr. Ravikiran Mali / Mr. Asif Yusuf Mohammed</t>
  </si>
  <si>
    <t>0241-6606164/ 2776221</t>
  </si>
  <si>
    <t>Mudra Engineers</t>
  </si>
  <si>
    <t>Mr. Karthik Patel</t>
  </si>
  <si>
    <t>4th Phase</t>
  </si>
  <si>
    <t>Wdhwan</t>
  </si>
  <si>
    <t>Surendranagar</t>
  </si>
  <si>
    <t>SEKISUI DLJM Molding Pvt Ltd</t>
  </si>
  <si>
    <t>Mr. Kamalesh Sendri</t>
  </si>
  <si>
    <t>Greater Noida</t>
  </si>
  <si>
    <t>Gr Noida</t>
  </si>
  <si>
    <t>Precision Technoplast Pvt Ltd</t>
  </si>
  <si>
    <t>Mr. Kamalesh Nawab</t>
  </si>
  <si>
    <t>Near Amarapali Cinema</t>
  </si>
  <si>
    <t>O/s. Gomitpur Gate</t>
  </si>
  <si>
    <t>Maini Precision Products (P) Ltd.</t>
  </si>
  <si>
    <t>Mr. Gopakumar G</t>
  </si>
  <si>
    <t>Bommasandra Industrial Area</t>
  </si>
  <si>
    <t>ABB Power products &amp; Systems India Ltd (ABB India Limited)</t>
  </si>
  <si>
    <t>Mr. Harisha PV</t>
  </si>
  <si>
    <t>Supply Chain Management</t>
  </si>
  <si>
    <t>080-22949435</t>
  </si>
  <si>
    <t>2nd Phase</t>
  </si>
  <si>
    <t>Peenya Industrial area</t>
  </si>
  <si>
    <t>CIM Tools Pvt Ltd</t>
  </si>
  <si>
    <t>Mr. Avinash R J</t>
  </si>
  <si>
    <t>K.I.A.D.B Industrial Area</t>
  </si>
  <si>
    <t>Devanahalli Taluk</t>
  </si>
  <si>
    <t>Dong Ah Electric India Pvt Ltd (Candid Micron)</t>
  </si>
  <si>
    <t>Mr. Vishwanath / Mr. Mohan Kumar</t>
  </si>
  <si>
    <t>No.63</t>
  </si>
  <si>
    <t>Ganapathy Post</t>
  </si>
  <si>
    <t xml:space="preserve">TN </t>
  </si>
  <si>
    <t>Concord United Products Pvt Ltd</t>
  </si>
  <si>
    <t>Mr. Manjunath M.L</t>
  </si>
  <si>
    <t>080-41171317</t>
  </si>
  <si>
    <t>1st stage,</t>
  </si>
  <si>
    <t>Peenya Industrial Estate</t>
  </si>
  <si>
    <t>Brakes India Pvt Ltd</t>
  </si>
  <si>
    <t>Mr. Rane Mukesh</t>
  </si>
  <si>
    <t>8238075161/ 8238075162</t>
  </si>
  <si>
    <t>Jhagadia Industrial Estate</t>
  </si>
  <si>
    <t>Bharuch Dist</t>
  </si>
  <si>
    <t>Jhagadia</t>
  </si>
  <si>
    <t>Shoma Automation Pvt Ltd (Akuva Infotech Pvt Ltd)</t>
  </si>
  <si>
    <t>Ms. Sabitha</t>
  </si>
  <si>
    <t>2nd Stage</t>
  </si>
  <si>
    <t>Yeko Enterprises Pvt Ltd (Achutha Engg Pvt Ltd)</t>
  </si>
  <si>
    <t>Mr. G. Narayanan</t>
  </si>
  <si>
    <t>SIDCO Industrial Estate</t>
  </si>
  <si>
    <t>Kawasaki Manufacturing (I) Pvt Ltd (Arma Engg Pvt Ltd)</t>
  </si>
  <si>
    <t>Mr. S. Balasubramani</t>
  </si>
  <si>
    <t>Manager- Purchase</t>
  </si>
  <si>
    <t>080-23083700</t>
  </si>
  <si>
    <t>Harohalli Industrial Area</t>
  </si>
  <si>
    <t>Ramanagar Taluk</t>
  </si>
  <si>
    <t xml:space="preserve">RR Enterprises </t>
  </si>
  <si>
    <t>Mr. Rohit Nainani</t>
  </si>
  <si>
    <t>0251-2560636</t>
  </si>
  <si>
    <t>Vithalwadi Station Road</t>
  </si>
  <si>
    <t>Ulhasnagar</t>
  </si>
  <si>
    <t>HPL Electric &amp; Power Ltd</t>
  </si>
  <si>
    <t>Mr. Rajiv Hazarika</t>
  </si>
  <si>
    <t>Pachim Boragaon</t>
  </si>
  <si>
    <t>Dist: Kamrup</t>
  </si>
  <si>
    <t>Gawahati</t>
  </si>
  <si>
    <t>Toyota Boshoku Automotive India (P) Ltd</t>
  </si>
  <si>
    <t>Mr. Sathvik D R</t>
  </si>
  <si>
    <t>Officer Purchase</t>
  </si>
  <si>
    <t>04344-251400/ 500</t>
  </si>
  <si>
    <t>NallaganganakothapalliVillage, Shoolagiri Block</t>
  </si>
  <si>
    <t>Hosur Taluk</t>
  </si>
  <si>
    <t>Krishnagiri</t>
  </si>
  <si>
    <t>Motherson Sumi System Limited</t>
  </si>
  <si>
    <t>Mr. Rajanna</t>
  </si>
  <si>
    <t>KIADB Industrial Area</t>
  </si>
  <si>
    <t>1st Phase</t>
  </si>
  <si>
    <t>Mysore Road, Kumbalgodu</t>
  </si>
  <si>
    <t>Roots Industries (Candid Micron)</t>
  </si>
  <si>
    <t>Accurate Manufacturing Company</t>
  </si>
  <si>
    <t>Mr. Shankar.V</t>
  </si>
  <si>
    <t>080-25520076</t>
  </si>
  <si>
    <t>Madivala</t>
  </si>
  <si>
    <t>Spaco Technologies (India) Pvt Ltd</t>
  </si>
  <si>
    <t xml:space="preserve">Mr. S.P Jagtap </t>
  </si>
  <si>
    <t>Jr.Mgr Materials</t>
  </si>
  <si>
    <t>020-27476532/4633/ 2176-77</t>
  </si>
  <si>
    <t>Ashwani Metals Pvt Ltd</t>
  </si>
  <si>
    <t>Mr. Divyesh Vadi/ Mr.Pintu Sinojiya</t>
  </si>
  <si>
    <t>Hyo Seong Electric India Pvt Ltd (Candid Micron)</t>
  </si>
  <si>
    <t>Mr Vishwathan/ Mr. Mohankumar.S</t>
  </si>
  <si>
    <t>K K Precision Components</t>
  </si>
  <si>
    <t>Mr. Umamaheswaran</t>
  </si>
  <si>
    <t>044-26880049</t>
  </si>
  <si>
    <t>Nageshwararao Road</t>
  </si>
  <si>
    <t>Athipet, Ambattur</t>
  </si>
  <si>
    <t>Helvoet Rubber &amp; Plastic Technologies (I) Pvt Ltd</t>
  </si>
  <si>
    <t>Mr. Sukrit P. Shaligram/ Mr.Satish Sinde</t>
  </si>
  <si>
    <t>020-39284426/ 39284000</t>
  </si>
  <si>
    <t>Village Mouje Kadamwakwasti</t>
  </si>
  <si>
    <t>Loni Kalbhor</t>
  </si>
  <si>
    <t>Indian Air Force (3BRD) (Sesha Tools Pvt Ltd)</t>
  </si>
  <si>
    <t>CH</t>
  </si>
  <si>
    <t>Jay Jalaram Industries</t>
  </si>
  <si>
    <t>Mr. Darshan Patel/ Mr.Rakesh Patel</t>
  </si>
  <si>
    <t>02827-287825</t>
  </si>
  <si>
    <t>Plot No.G 1452 &amp; 53</t>
  </si>
  <si>
    <t>Lodhika G.I.D.C, Metoda</t>
  </si>
  <si>
    <t>Racer Tooling Industries</t>
  </si>
  <si>
    <t>Mr. Madan</t>
  </si>
  <si>
    <t>Venkatapuram</t>
  </si>
  <si>
    <t>VMX Connectors Pvt Ltd</t>
  </si>
  <si>
    <t>Mr. Dhananjaya</t>
  </si>
  <si>
    <t>Bannikuppe Road</t>
  </si>
  <si>
    <t>Addison &amp; Co. Ltd</t>
  </si>
  <si>
    <t>Mr. Mohamed Ziavudeen</t>
  </si>
  <si>
    <t>Manager-Quality</t>
  </si>
  <si>
    <t>044-37180006/9</t>
  </si>
  <si>
    <t>Maxop Engg Co. Pvt Ltd</t>
  </si>
  <si>
    <t>Mr. Naveen Sharma</t>
  </si>
  <si>
    <t>0124-2655600-03 &amp; 06</t>
  </si>
  <si>
    <t>IMT Manesar</t>
  </si>
  <si>
    <t>Gurgoan</t>
  </si>
  <si>
    <t>Napino Auto &amp; Electronics Ltd</t>
  </si>
  <si>
    <t>Mr. Vineet Thyagi</t>
  </si>
  <si>
    <t>01224-4177200/ 2290050-53</t>
  </si>
  <si>
    <t>Khuskhera</t>
  </si>
  <si>
    <t>Bhiwadi</t>
  </si>
  <si>
    <t>SLS Tools Company (Konarak Industries Pvt Ltd)</t>
  </si>
  <si>
    <t>Mr. Srinivasa Murthy</t>
  </si>
  <si>
    <t>Purchase Officer</t>
  </si>
  <si>
    <t>080-26713151/ 26714674</t>
  </si>
  <si>
    <t>Kuvempu Nagar</t>
  </si>
  <si>
    <t>Doddakallasandra</t>
  </si>
  <si>
    <t>Ferrero India Pvt Ltd (IMSOFER Division)</t>
  </si>
  <si>
    <t>Mr. Narayan Jahagirdar</t>
  </si>
  <si>
    <t>02112-662200/662330 /662100</t>
  </si>
  <si>
    <t>Baramati</t>
  </si>
  <si>
    <t>Solutec Industries (I) Pvt Ltd</t>
  </si>
  <si>
    <t>Mr. Bhaskar /Mr. Sanjay Bhapkar</t>
  </si>
  <si>
    <t>020-64107304</t>
  </si>
  <si>
    <t>Tukaram Nagar</t>
  </si>
  <si>
    <t>Lane No.4, Kharadi</t>
  </si>
  <si>
    <t>Unnathi CNC Technologies Pvt Ltd</t>
  </si>
  <si>
    <t>Mr. Madhu K S</t>
  </si>
  <si>
    <t>080-28360478</t>
  </si>
  <si>
    <t>13th Cross, 4th Phase</t>
  </si>
  <si>
    <t>Mehta Engineers Limited</t>
  </si>
  <si>
    <t>Mr.Gurmeet Singh</t>
  </si>
  <si>
    <t>Focal Point</t>
  </si>
  <si>
    <t xml:space="preserve"> JJG Aero Pvt Ltd (J.J. Glastronics Pvt Ltd)</t>
  </si>
  <si>
    <t>Electronics City</t>
  </si>
  <si>
    <t>18th K.M</t>
  </si>
  <si>
    <t>Hosur Road</t>
  </si>
  <si>
    <t>Banggalore</t>
  </si>
  <si>
    <t>Autoliv India Pvt Ltd</t>
  </si>
  <si>
    <t>Mr. Anantha Ramu</t>
  </si>
  <si>
    <t>Doddalluru Gram Panchayat</t>
  </si>
  <si>
    <t>Hoskote Industrial</t>
  </si>
  <si>
    <t>Saro Technologies</t>
  </si>
  <si>
    <t>Mr. Veeramani Elongavan</t>
  </si>
  <si>
    <t>Tass Industrial Estate</t>
  </si>
  <si>
    <t>Valli Industries</t>
  </si>
  <si>
    <t>Chinna Elasagiri</t>
  </si>
  <si>
    <t>British Engines India Pvt Ltd</t>
  </si>
  <si>
    <t>Mr. Parthasarathi. G</t>
  </si>
  <si>
    <t>Sr.Engineer (STD Room)</t>
  </si>
  <si>
    <t>Attibele Industrial Area</t>
  </si>
  <si>
    <t>Anekal Taluk</t>
  </si>
  <si>
    <t>Divine Toolings</t>
  </si>
  <si>
    <t>Bosch limited</t>
  </si>
  <si>
    <t>Mr. Hariharan.A/ Mr. Rajeev T K</t>
  </si>
  <si>
    <t>P.O Box No.6887</t>
  </si>
  <si>
    <t>Electronic City Post</t>
  </si>
  <si>
    <t>Mangal Industries Limited</t>
  </si>
  <si>
    <t>Budithireddipalle (PO).</t>
  </si>
  <si>
    <t>Yadamari (Mandal)</t>
  </si>
  <si>
    <t>Chittor</t>
  </si>
  <si>
    <t>Crescent Moulds &amp; Precision Engg</t>
  </si>
  <si>
    <t>Thirumudivakkam Main Road</t>
  </si>
  <si>
    <t>Napino Auto &amp; Electronics Ltd (Shifted from Halol to Manesar)</t>
  </si>
  <si>
    <t>Mr. Devendra Sharma</t>
  </si>
  <si>
    <t>Wioska Moldings Pvt Ltd</t>
  </si>
  <si>
    <t>Industrial Area</t>
  </si>
  <si>
    <t>Sector-63</t>
  </si>
  <si>
    <t>First Technologies (India) Pvt Ltd</t>
  </si>
  <si>
    <t>Spiral Tools Pvt Ltd</t>
  </si>
  <si>
    <t>Khed-Shivpura</t>
  </si>
  <si>
    <t>Tal-Bhor</t>
  </si>
  <si>
    <t>Durga Auto Parts Industries</t>
  </si>
  <si>
    <t>Punchkula</t>
  </si>
  <si>
    <t>Kalka</t>
  </si>
  <si>
    <t>S. S. White Technologies India Pvt Ltd</t>
  </si>
  <si>
    <t>Near Krishna Petrol Pump</t>
  </si>
  <si>
    <t>Modvak Engg (I) Pvt Ltd</t>
  </si>
  <si>
    <t xml:space="preserve">Behind Parle-G Biscuits, </t>
  </si>
  <si>
    <t>NH-10, Rohtak Road</t>
  </si>
  <si>
    <t>ELCIA Cluster</t>
  </si>
  <si>
    <t>Century Extrusions Limited</t>
  </si>
  <si>
    <t xml:space="preserve">Mr. </t>
  </si>
  <si>
    <t>Kharagpur</t>
  </si>
  <si>
    <t>Bharti Hydrofitments &amp; Engineers Pvt Ltd</t>
  </si>
  <si>
    <t>Mr. Naveen Sachdava</t>
  </si>
  <si>
    <t>Industrial Area-C</t>
  </si>
  <si>
    <t>Dhandari Kalan</t>
  </si>
  <si>
    <t>080-41107365</t>
  </si>
  <si>
    <t>Surindera Cycles Pvt. Ltd</t>
  </si>
  <si>
    <t>Dalal Plastics PvtLtd</t>
  </si>
  <si>
    <t>Mr. Murtuz Dalal</t>
  </si>
  <si>
    <t>Oswin Industries</t>
  </si>
  <si>
    <t>Hindalco Industries Ltd (Sapa Extrusion India Pvt Ltd)</t>
  </si>
  <si>
    <t>C-Block</t>
  </si>
  <si>
    <t>Kuppam</t>
  </si>
  <si>
    <t>Chittoor</t>
  </si>
  <si>
    <t>Keerthi Technocraft Pvt Ltd</t>
  </si>
  <si>
    <t>562 107</t>
  </si>
  <si>
    <t>Omni Matrix Pvt Ltd</t>
  </si>
  <si>
    <t>Mr. Krisnamurthy Bhat</t>
  </si>
  <si>
    <t>Yellapura</t>
  </si>
  <si>
    <t>Doddballapur</t>
  </si>
  <si>
    <t>561 203</t>
  </si>
  <si>
    <t>Deep Plastics Industries</t>
  </si>
  <si>
    <t>Jai Chamundeshwari Industrial Complex</t>
  </si>
  <si>
    <t>Waliv, Vasai ( E)</t>
  </si>
  <si>
    <t>Lakshmi Electrical Control Systems Limited</t>
  </si>
  <si>
    <t>Seco Tools India Pvt Ltd</t>
  </si>
  <si>
    <t>Mr. Ashutosh Patwardhan</t>
  </si>
  <si>
    <t>Manager - Indirect Procurement</t>
  </si>
  <si>
    <t>Kondayampalayam Village, Pilliar Koil Street</t>
  </si>
  <si>
    <t>Taluku-Shirur</t>
  </si>
  <si>
    <t>Polyrub Cooper Standard FTS Pvt Ltd</t>
  </si>
  <si>
    <t>Mr. Nagaraj Hulyal</t>
  </si>
  <si>
    <t>Village Mahalunge</t>
  </si>
  <si>
    <t>Chakan, Talegaon Road</t>
  </si>
  <si>
    <t>Talegaon</t>
  </si>
  <si>
    <t>Schneider Electric India Pvt Ltd (Larsen &amp; Toubro Limited)</t>
  </si>
  <si>
    <t>Block No. 205 to 208 &amp; 240, Village Ankhol</t>
  </si>
  <si>
    <t xml:space="preserve"> Between Ajwa &amp; Waghodia Junction</t>
  </si>
  <si>
    <t>Ikon Moulders Pvt Ltd</t>
  </si>
  <si>
    <t>Mr.Vinod Sandim</t>
  </si>
  <si>
    <t>Near L &amp; T</t>
  </si>
  <si>
    <t>Shivam Autotech Limited</t>
  </si>
  <si>
    <t>Mr. Shwetangi Srivastava</t>
  </si>
  <si>
    <t>Projects</t>
  </si>
  <si>
    <t>011-49242100</t>
  </si>
  <si>
    <t>Village-Binola</t>
  </si>
  <si>
    <t>Minda VAST Access Systems Pvt Ltd</t>
  </si>
  <si>
    <t>Chakan, At Nighoje</t>
  </si>
  <si>
    <t>Post Kurull, Tal. Khed</t>
  </si>
  <si>
    <t>L.G.Balakrishnan &amp; Bros Ltd (Candid Micron)</t>
  </si>
  <si>
    <t>0422- 2654 812</t>
  </si>
  <si>
    <t>Near Power House, Vaiyampalayam</t>
  </si>
  <si>
    <t>Rieke Packing India Pvt Ltd</t>
  </si>
  <si>
    <t>Bhud</t>
  </si>
  <si>
    <t>Post Office: Baddi</t>
  </si>
  <si>
    <t>Turbo India Interconnect Solutions LLP</t>
  </si>
  <si>
    <t>kamakshipalya</t>
  </si>
  <si>
    <t>Mindarika Pvt Ltd</t>
  </si>
  <si>
    <t>Titan Company Limited (Watch Division)</t>
  </si>
  <si>
    <t>Sipcot Industrial Complex</t>
  </si>
  <si>
    <t>Compaero India Pvt Ltd</t>
  </si>
  <si>
    <t>Mr. Ranjith Cyriac</t>
  </si>
  <si>
    <t>Edapally</t>
  </si>
  <si>
    <t>Kochi</t>
  </si>
  <si>
    <t>Maini Precision Products Ltd.</t>
  </si>
  <si>
    <t>Pooja Automations (Candid Micro Measurements Pvt Ltd)</t>
  </si>
  <si>
    <t>Ganapathy Pudur</t>
  </si>
  <si>
    <t>Saanvi Technologies</t>
  </si>
  <si>
    <t>Doddanna Industrial Estate</t>
  </si>
  <si>
    <t>Near Peenya 2nd Stage, Hegganahalli</t>
  </si>
  <si>
    <t>Padmini VNA Mechatronics Pvt Ltd</t>
  </si>
  <si>
    <t>0124-3207395-399</t>
  </si>
  <si>
    <t>Phase- VII</t>
  </si>
  <si>
    <t>Sector-35</t>
  </si>
  <si>
    <t>Benaka Technologies</t>
  </si>
  <si>
    <t>2015 LX</t>
  </si>
  <si>
    <t>Mr. Vinayak Hegde</t>
  </si>
  <si>
    <t>Laggere Road</t>
  </si>
  <si>
    <t>Peenya 1st Stage</t>
  </si>
  <si>
    <t>Zenith Precision Pvt Ltd</t>
  </si>
  <si>
    <t>080- 40941891/93</t>
  </si>
  <si>
    <t>Talegaon Road</t>
  </si>
  <si>
    <t>Mahalunge Village</t>
  </si>
  <si>
    <t>Vikson Spring Pvt Ltd</t>
  </si>
  <si>
    <t>Mr. Amith Shah</t>
  </si>
  <si>
    <t>Thane- Belapur Road</t>
  </si>
  <si>
    <t>Koparkhairane</t>
  </si>
  <si>
    <t>400 705</t>
  </si>
  <si>
    <t>Dhoot Transmission Pvt Ltd.</t>
  </si>
  <si>
    <t>Farola</t>
  </si>
  <si>
    <t>Taluka: Paithan</t>
  </si>
  <si>
    <t>SMIIEL (A Unit of MSSL)</t>
  </si>
  <si>
    <t>Gautam Budh Nagar</t>
  </si>
  <si>
    <t>Titan Engg &amp; Automation Limited</t>
  </si>
  <si>
    <t>Dist: Krishnagiri</t>
  </si>
  <si>
    <t>Paloma Turning Co. Pvt. Ltd</t>
  </si>
  <si>
    <t>Rajkot-Dwarka Bypass Road</t>
  </si>
  <si>
    <t>Takemoto Yohki India Pvt Ltd</t>
  </si>
  <si>
    <t>Village- BOL</t>
  </si>
  <si>
    <t>Industrial Estate, GIDC</t>
  </si>
  <si>
    <t>Festo India Pvt Ltd</t>
  </si>
  <si>
    <t>Mr. Mahesh</t>
  </si>
  <si>
    <t>Romsons International</t>
  </si>
  <si>
    <t>Noida Dadri Road</t>
  </si>
  <si>
    <t xml:space="preserve">Romsons Medicons </t>
  </si>
  <si>
    <t>0562 - 2344083</t>
  </si>
  <si>
    <t>Foundry Nagar</t>
  </si>
  <si>
    <t>Romson Group Pvt Ltd (Romsons Juniors India)</t>
  </si>
  <si>
    <t>0562 - 2340185</t>
  </si>
  <si>
    <t>044-26258161</t>
  </si>
  <si>
    <t>Mahindra World City, Natham Sub Post</t>
  </si>
  <si>
    <t>Kancheepuram</t>
  </si>
  <si>
    <t>Toyota Kirloskar Auto Parts P Ltd</t>
  </si>
  <si>
    <t>AMB Services</t>
  </si>
  <si>
    <t>Mambakkam Village</t>
  </si>
  <si>
    <t>Sriperumbudur Tk</t>
  </si>
  <si>
    <t>Sujan Cooperstandard AVS Pvt Ltd</t>
  </si>
  <si>
    <t>Chakan MIDC</t>
  </si>
  <si>
    <t>Kharabwadi, Taluk:Khed</t>
  </si>
  <si>
    <t>Kuduma Precisions</t>
  </si>
  <si>
    <t>Mr.Kantharaju</t>
  </si>
  <si>
    <t>Kaverripura</t>
  </si>
  <si>
    <t>Kamakshipalya</t>
  </si>
  <si>
    <t>Research Centre Imarat (RCI)</t>
  </si>
  <si>
    <t>Vignyana Kancha P O</t>
  </si>
  <si>
    <t>Cherlapally</t>
  </si>
  <si>
    <t>Minda Onkyo India Private Limited</t>
  </si>
  <si>
    <t>Iscon Surgicals Ltd.</t>
  </si>
  <si>
    <t>Mr.Kuldeep Sharma</t>
  </si>
  <si>
    <t>Basni</t>
  </si>
  <si>
    <t>Village: Dekavada</t>
  </si>
  <si>
    <t>Tehsil: Detroj- Rampura</t>
  </si>
  <si>
    <t>Fine Line Circuits Limited (HTMU)</t>
  </si>
  <si>
    <t>SEEPZ</t>
  </si>
  <si>
    <t>Andheri (East)</t>
  </si>
  <si>
    <t>GKM Metal Finishers</t>
  </si>
  <si>
    <t>Mr. Kishore</t>
  </si>
  <si>
    <t>3rd Phase</t>
  </si>
  <si>
    <t>SIDCO Industrial Complex</t>
  </si>
  <si>
    <t>Near IOB Bank, Sipcot</t>
  </si>
  <si>
    <t>Schwing Stetter (India) Pvt Ltd</t>
  </si>
  <si>
    <t>Irungottukottai</t>
  </si>
  <si>
    <t>Sriperumbudur Taluk</t>
  </si>
  <si>
    <t>VAP Precision Pvt Ltd (Vijaya Auto Products)</t>
  </si>
  <si>
    <t xml:space="preserve">Mr. Nagaraj </t>
  </si>
  <si>
    <t>Plant Head</t>
  </si>
  <si>
    <t>Bommasandra Jigani Link Road</t>
  </si>
  <si>
    <t>Opp HCL Technology, Jigani Industrial Area, Taluk: Anekal</t>
  </si>
  <si>
    <t>Tool Grinding Technologies Inc.</t>
  </si>
  <si>
    <t>DC002</t>
  </si>
  <si>
    <t>Mr. Santhosh Prabhu</t>
  </si>
  <si>
    <t>12th Cross, 4th Phase</t>
  </si>
  <si>
    <t>Eastman Cast &amp; Forge Limited</t>
  </si>
  <si>
    <t>SJP Industry</t>
  </si>
  <si>
    <t>Ekkatuthangal</t>
  </si>
  <si>
    <t>Spacenex Aero Pvt Ltd (Pramodaya Aerospace Solutions)</t>
  </si>
  <si>
    <t>Mr. Sreenivasalu G</t>
  </si>
  <si>
    <t>Bangalore Aerospace Park</t>
  </si>
  <si>
    <t>Johnson Electric Pvt Ltd</t>
  </si>
  <si>
    <t>Madavilagam</t>
  </si>
  <si>
    <t>Prem Industries</t>
  </si>
  <si>
    <t>Mr. R. Vethanayagam</t>
  </si>
  <si>
    <t>Henkel Anand India Pvt Ltd</t>
  </si>
  <si>
    <t>Mr. Madan Sharma</t>
  </si>
  <si>
    <t>Mr. C. A. Anto</t>
  </si>
  <si>
    <t>Valiv, Vasai (E)</t>
  </si>
  <si>
    <t>DC003</t>
  </si>
  <si>
    <t>Ananth Wiretech Tooling</t>
  </si>
  <si>
    <t>Mr. Devaraj</t>
  </si>
  <si>
    <t>9489044630 / 97906 12504</t>
  </si>
  <si>
    <t>Integrated CAD CAM Solutions Pvt Ltd</t>
  </si>
  <si>
    <t>M.I.D.C Khairane</t>
  </si>
  <si>
    <t>Thane-Belapur Road</t>
  </si>
  <si>
    <t>Mahantesh Industries Enterprises</t>
  </si>
  <si>
    <t>RHB Colony, Whitefield Road</t>
  </si>
  <si>
    <t>Mahadevapura Post</t>
  </si>
  <si>
    <t>Saini Flange Pvt Ltd</t>
  </si>
  <si>
    <t>Phase-3</t>
  </si>
  <si>
    <t>Kundli</t>
  </si>
  <si>
    <t>Sonepat</t>
  </si>
  <si>
    <t>Quality Laboratory</t>
  </si>
  <si>
    <t>Mr. Sateesha</t>
  </si>
  <si>
    <t>N.R. Colony</t>
  </si>
  <si>
    <t>Rupesh Technologies Pvt Ltd</t>
  </si>
  <si>
    <t>Mr. Lokesh</t>
  </si>
  <si>
    <t>Opp.Widia, Behind Karle International</t>
  </si>
  <si>
    <t>Tumkur Main Road</t>
  </si>
  <si>
    <t>Mark Ortho Care pvt ltd</t>
  </si>
  <si>
    <t>Mr. Manish Ruparelia/ Mr. Mrugesh</t>
  </si>
  <si>
    <t>98798 39600/ 9898598380</t>
  </si>
  <si>
    <t>Changodar Industrial Estate</t>
  </si>
  <si>
    <t>Changodar</t>
  </si>
  <si>
    <t>Acumen Tools</t>
  </si>
  <si>
    <t>Mr. Shakti</t>
  </si>
  <si>
    <t>Hosur Main Road,</t>
  </si>
  <si>
    <t>Quality Connections (Ess Cube Components)</t>
  </si>
  <si>
    <t>Mr.Jitendra Kr.</t>
  </si>
  <si>
    <t>DSIIDC</t>
  </si>
  <si>
    <t>Bawana</t>
  </si>
  <si>
    <t>Flamagas India Pvt Ltd</t>
  </si>
  <si>
    <t>Mr. T Chandra mariappan</t>
  </si>
  <si>
    <t>99403 68026/ 99401 33288</t>
  </si>
  <si>
    <t>Dilsen Autoplast</t>
  </si>
  <si>
    <t xml:space="preserve">Mr. T.Senthil </t>
  </si>
  <si>
    <t>Maganlapuri Nagar, Thirumudivakkam</t>
  </si>
  <si>
    <t>Napino Continental Vehicle Electronics Pvt Ltd</t>
  </si>
  <si>
    <t xml:space="preserve">Mr. Kumud Ranjan </t>
  </si>
  <si>
    <t>Gurugram</t>
  </si>
  <si>
    <t>Empire Machine Tools Pvt Ltd</t>
  </si>
  <si>
    <t>Mr. M.Ponnusamy</t>
  </si>
  <si>
    <t>0422-4510125 / 2577369</t>
  </si>
  <si>
    <t xml:space="preserve">Lakshmipuram </t>
  </si>
  <si>
    <t>L.G.Balakrishnan &amp; Bros Ltd (Candid Micron Measurements Pvt Ltd)</t>
  </si>
  <si>
    <t>Mr. Vishwanathan / Mr. Mohan</t>
  </si>
  <si>
    <t>Partners</t>
  </si>
  <si>
    <t>9786686610/ 9786686611</t>
  </si>
  <si>
    <t>Rank Metrology Services</t>
  </si>
  <si>
    <t>Mr.Syed Habees</t>
  </si>
  <si>
    <t>Technical Director</t>
  </si>
  <si>
    <t>94865 01522</t>
  </si>
  <si>
    <t>Sathy Road</t>
  </si>
  <si>
    <t>AVMM Technology Pvt Ltd (AVM Engg Service)</t>
  </si>
  <si>
    <t>Mr. S.Manogaran</t>
  </si>
  <si>
    <t>Pazhanthandalam</t>
  </si>
  <si>
    <t>Kcaltech System India LLP (Candid )</t>
  </si>
  <si>
    <t>Mr. D Sarvanan</t>
  </si>
  <si>
    <t>Industrial Area, Phase-III</t>
  </si>
  <si>
    <t>Chengalpattu</t>
  </si>
  <si>
    <t>Kun Aerospace Pvt Ltd</t>
  </si>
  <si>
    <t>Precision Industrial Fasteners</t>
  </si>
  <si>
    <t>Mr. Vikas Paharia</t>
  </si>
  <si>
    <t>Sahnewal Dehlon Road</t>
  </si>
  <si>
    <t>Sahnewal</t>
  </si>
  <si>
    <t>Kriya Medical Technologies Pvt Ltd</t>
  </si>
  <si>
    <t>Anna Nagar west</t>
  </si>
  <si>
    <t>Vikas Industries</t>
  </si>
  <si>
    <t>Mangalpuri Industria Area</t>
  </si>
  <si>
    <t>Sujay Industries</t>
  </si>
  <si>
    <t>Mr. Surender</t>
  </si>
  <si>
    <t>Bommasandra-Jigani Link Road</t>
  </si>
  <si>
    <t>Bhavani Industries</t>
  </si>
  <si>
    <t>Mr. Chetan Hegde</t>
  </si>
  <si>
    <t>KIADR Bidadi Industrial Area</t>
  </si>
  <si>
    <t>Ramanagara</t>
  </si>
  <si>
    <t>Vulcan Cold Forge Pvt Ltd</t>
  </si>
  <si>
    <t xml:space="preserve">Mr.Siddhant Ahuja </t>
  </si>
  <si>
    <t>General Manage</t>
  </si>
  <si>
    <t>Edge Gro Industries</t>
  </si>
  <si>
    <t>011-2748 7930</t>
  </si>
  <si>
    <t>Tronica City</t>
  </si>
  <si>
    <t>Loni Ghaziabad</t>
  </si>
  <si>
    <t>Rajshree Engineers</t>
  </si>
  <si>
    <t>Kheri Road</t>
  </si>
  <si>
    <t>Bharath Colony</t>
  </si>
  <si>
    <t>DC004</t>
  </si>
  <si>
    <t>Wirecom (India) Pvt Ltd</t>
  </si>
  <si>
    <t>Kharabwadi, Village Chakan</t>
  </si>
  <si>
    <t>Tal-Khed</t>
  </si>
  <si>
    <t>Aditek</t>
  </si>
  <si>
    <t>0231-2605648/ 2608107/195</t>
  </si>
  <si>
    <t>Tal: Karveer</t>
  </si>
  <si>
    <t>MSSL Tooling FZE</t>
  </si>
  <si>
    <t>SAIF Zone</t>
  </si>
  <si>
    <t>PO Box 8763</t>
  </si>
  <si>
    <t>Sharjah</t>
  </si>
  <si>
    <t>UAE</t>
  </si>
  <si>
    <t>Shri Sai Tools</t>
  </si>
  <si>
    <t xml:space="preserve">Mr. Santhosh   </t>
  </si>
  <si>
    <t>Devarachikkanahalli Main Road</t>
  </si>
  <si>
    <t>Bilekahalli</t>
  </si>
  <si>
    <t>Dhawan Engineers Pvt Ltd</t>
  </si>
  <si>
    <t>Mr. Abhishek Dhawan</t>
  </si>
  <si>
    <t>9999608602 / 0124-4367338</t>
  </si>
  <si>
    <t>Shiv Om Brass Industries</t>
  </si>
  <si>
    <t>Mr. Snehal Gohel</t>
  </si>
  <si>
    <t>Near Pramukhswami Circle</t>
  </si>
  <si>
    <t>G.I.D.C. Phase 3, Dared</t>
  </si>
  <si>
    <t>Vishwakarma Institute of Technology</t>
  </si>
  <si>
    <t>020-24202276  / 9021507932</t>
  </si>
  <si>
    <t>Bibwewadi</t>
  </si>
  <si>
    <t>Hivi Precision Pvt Ltd (Vijaya Auto Products)</t>
  </si>
  <si>
    <t>Mr. Praveen Jayaram</t>
  </si>
  <si>
    <t>Jigani Industrial Area</t>
  </si>
  <si>
    <t>Intessence Solutions Pvt Ltd</t>
  </si>
  <si>
    <t>Mr. Hari Prasad Rao</t>
  </si>
  <si>
    <t>1st Stage</t>
  </si>
  <si>
    <t>Vardhaman Pressure Diecastings</t>
  </si>
  <si>
    <t>Mr. R. Balamurugan</t>
  </si>
  <si>
    <t>Manager - Plant</t>
  </si>
  <si>
    <t>Bommasanadra Indl Area</t>
  </si>
  <si>
    <t>Jigani Hobli, Henagara (Post)</t>
  </si>
  <si>
    <t>PVP Techno</t>
  </si>
  <si>
    <t>Lakshman Nagar</t>
  </si>
  <si>
    <t>Kandhanchavdi</t>
  </si>
  <si>
    <t>Rialto Enterprises Pvt Ltd</t>
  </si>
  <si>
    <t>Melakottaiyur</t>
  </si>
  <si>
    <t>Aisin Automotives Haryana Pvt Ltd</t>
  </si>
  <si>
    <t xml:space="preserve">7082109603 / 03, 7082828247 </t>
  </si>
  <si>
    <t>(Japanese Industrial Zone) Vithalapura Village</t>
  </si>
  <si>
    <t>Taluk- Madala</t>
  </si>
  <si>
    <t>Natesan Synchrocones Pvt Ltd</t>
  </si>
  <si>
    <t>Mr. Vasu</t>
  </si>
  <si>
    <t>044-23450823  / 824</t>
  </si>
  <si>
    <t>Eta Aerospace Pvt Ltd (Pams Engg)</t>
  </si>
  <si>
    <t>Mr. Girish</t>
  </si>
  <si>
    <t>Quality Dept</t>
  </si>
  <si>
    <t>Hootagalli</t>
  </si>
  <si>
    <t>Saideep Moulding Industries</t>
  </si>
  <si>
    <t>Mr. Ganesh B. Hande</t>
  </si>
  <si>
    <t>Ranjanagaon</t>
  </si>
  <si>
    <t>Tal.-Shirur</t>
  </si>
  <si>
    <t>Igarashi Motors India Ltd</t>
  </si>
  <si>
    <t>Magellan Aerospace India Pvt Ltd</t>
  </si>
  <si>
    <t>Mr. Vinay Kaushik</t>
  </si>
  <si>
    <t>Hi-Tech Aerospace &amp; Defence Park</t>
  </si>
  <si>
    <t xml:space="preserve">Devanahalli    </t>
  </si>
  <si>
    <t>Accumax Lab Devices Pvt Ltd</t>
  </si>
  <si>
    <t>Mr. Kaival Bhavsar</t>
  </si>
  <si>
    <t xml:space="preserve">Sr. Product Manager - R&amp;D </t>
  </si>
  <si>
    <t>Gota-Vadsar Road</t>
  </si>
  <si>
    <t>Dantali, Tal: Kalol</t>
  </si>
  <si>
    <t>Kadi</t>
  </si>
  <si>
    <t>Ametek Instrumentts India Pvt Ltd</t>
  </si>
  <si>
    <t>Mr. Arjun.C</t>
  </si>
  <si>
    <t>Site No.1, EPIP Industrial Area</t>
  </si>
  <si>
    <t xml:space="preserve">Whitefield    </t>
  </si>
  <si>
    <t>Schilthorn Precision Engg Pvt Ltd</t>
  </si>
  <si>
    <t>Mr. Rakesh Patel</t>
  </si>
  <si>
    <t>GIDC Estate</t>
  </si>
  <si>
    <t>Chhatral</t>
  </si>
  <si>
    <t>FIEM Industries Limited</t>
  </si>
  <si>
    <t>Mr. V.K.Goel</t>
  </si>
  <si>
    <t>9991702463/ 0130-2367905/06/07/08</t>
  </si>
  <si>
    <t>Tapukara</t>
  </si>
  <si>
    <t>Shigan Quantum Technologies Pvt Ltd</t>
  </si>
  <si>
    <t>Mr.Chander Jeet</t>
  </si>
  <si>
    <t>Bhangrola, IMT Manesar</t>
  </si>
  <si>
    <t>Makar Tech</t>
  </si>
  <si>
    <t>Mr. Kanagaraj</t>
  </si>
  <si>
    <t>8754140284 / 6369943911</t>
  </si>
  <si>
    <t>Bodipalayam</t>
  </si>
  <si>
    <t>Decon India Plastics Pvt Ltd</t>
  </si>
  <si>
    <t xml:space="preserve">Mr. Dharmendra Singh </t>
  </si>
  <si>
    <t>Plant- Head</t>
  </si>
  <si>
    <t>Tal. Khed</t>
  </si>
  <si>
    <t xml:space="preserve">Ms. Pooja Saini </t>
  </si>
  <si>
    <t>01334/325991/92/93 &amp;9557233237</t>
  </si>
  <si>
    <t>Magellan Aerospace (Tumkur) Pvt Ltd (Triveni Aeronautics Pvt Ltd)</t>
  </si>
  <si>
    <t>Mr. Hanumanth Barki</t>
  </si>
  <si>
    <t>Standex Electronics India Pvt Ltd</t>
  </si>
  <si>
    <t>Mr.Dhanajayan Balaji</t>
  </si>
  <si>
    <t>9952447354 / 99402 63733</t>
  </si>
  <si>
    <t>Oragandam - Wallajabad Road</t>
  </si>
  <si>
    <t>S and P Enterprises</t>
  </si>
  <si>
    <t>044 - 2745 1182</t>
  </si>
  <si>
    <t>NH3</t>
  </si>
  <si>
    <t>Maramalai Nagar</t>
  </si>
  <si>
    <t>603 209</t>
  </si>
  <si>
    <t>A.G. Industries</t>
  </si>
  <si>
    <t>Mr. Gurudatt</t>
  </si>
  <si>
    <t>Siddapura</t>
  </si>
  <si>
    <t>Hosur Road, Wilson garden</t>
  </si>
  <si>
    <t>Motherson Techno Tools Limited</t>
  </si>
  <si>
    <t>0120-2510045 / 2500759</t>
  </si>
  <si>
    <t>Dist: Gautam Budh Nagar</t>
  </si>
  <si>
    <t>Varroc Engg Limited</t>
  </si>
  <si>
    <t>020-67329000</t>
  </si>
  <si>
    <t>Chafekar Chowk</t>
  </si>
  <si>
    <t>Chinchwadgaon</t>
  </si>
  <si>
    <t>Byraveshwara Engg Enterprises</t>
  </si>
  <si>
    <t>080- 23282209 / 2273 9677</t>
  </si>
  <si>
    <t>Srigandhakavalu</t>
  </si>
  <si>
    <t>Sunkadakatte</t>
  </si>
  <si>
    <t>Naresh Rubber Udyog</t>
  </si>
  <si>
    <t>98185 96999 / 98109 01317</t>
  </si>
  <si>
    <t>N.I.T</t>
  </si>
  <si>
    <t>Microtech Polymers</t>
  </si>
  <si>
    <t>Mr. Senthil Kumar</t>
  </si>
  <si>
    <t>Vivekanand Road</t>
  </si>
  <si>
    <t>Udayampalayam, Ganapathy</t>
  </si>
  <si>
    <t>Yagachi Technologies Pvt Ltd</t>
  </si>
  <si>
    <t>08172- 256267</t>
  </si>
  <si>
    <t>Industrial Growth Centre</t>
  </si>
  <si>
    <t>Kandali Post</t>
  </si>
  <si>
    <t>Hassan</t>
  </si>
  <si>
    <t>02135 - 6606 588/ 8550995083</t>
  </si>
  <si>
    <t>Nanekarawadi</t>
  </si>
  <si>
    <t>Micro Form Automation</t>
  </si>
  <si>
    <t>Mr. Bharath</t>
  </si>
  <si>
    <t>73388 37718 / 73388 37719</t>
  </si>
  <si>
    <t>Vellakinar Post</t>
  </si>
  <si>
    <t>Oleo Buffers India Pvt Ltd</t>
  </si>
  <si>
    <t>Mr. Umesh Joshi</t>
  </si>
  <si>
    <t>74061 38000 / 99164 84273</t>
  </si>
  <si>
    <t>Hi-Tech Hardware Park</t>
  </si>
  <si>
    <t>Mahadevakodigehalli</t>
  </si>
  <si>
    <t>MC Industrial Tools</t>
  </si>
  <si>
    <t>Mr. Eranna Gowda</t>
  </si>
  <si>
    <t>1st Stage, 3rd Cross</t>
  </si>
  <si>
    <t>Jigani, Tq: Anekal</t>
  </si>
  <si>
    <t>Mitsuba India Pvt Ltd (Mitsuba Sical India Pvt Ltd)</t>
  </si>
  <si>
    <t>Mr. Krishnamurthy</t>
  </si>
  <si>
    <t>8754009534 / 044- 27922558</t>
  </si>
  <si>
    <t>Gummidipoondi</t>
  </si>
  <si>
    <t>ABI Showatech (India) Limited</t>
  </si>
  <si>
    <t>Mr. Azhagesan</t>
  </si>
  <si>
    <t>QC- Head (Tool Room)</t>
  </si>
  <si>
    <t>9047023761 / 04172 - 278431</t>
  </si>
  <si>
    <t>Ranipet (Via)</t>
  </si>
  <si>
    <t>PLANSEE India High Performance Materials Pvt Ltd</t>
  </si>
  <si>
    <t>9880367222 / 0821- 4280293</t>
  </si>
  <si>
    <t>Metagalli Post</t>
  </si>
  <si>
    <t>Mando Automotive India Pvt Ltd</t>
  </si>
  <si>
    <t>Vengadu Village</t>
  </si>
  <si>
    <t>Pillaipakkam Post</t>
  </si>
  <si>
    <t>Romsons Scientific &amp; Surgical Industries Pvt ltd</t>
  </si>
  <si>
    <t>0562 - 2280720 / 9634295253</t>
  </si>
  <si>
    <t>DAN Plastics</t>
  </si>
  <si>
    <t>Mr. R.Vethanayagam</t>
  </si>
  <si>
    <t xml:space="preserve">9972144884 / 0821 2581170 </t>
  </si>
  <si>
    <t>Yelwal Hobli</t>
  </si>
  <si>
    <t>Mysore Taluk</t>
  </si>
  <si>
    <t>Excel Plast</t>
  </si>
  <si>
    <t>0422- 2568353</t>
  </si>
  <si>
    <t>Varatharaja Layout -1</t>
  </si>
  <si>
    <t>Continental Tools &amp; Components</t>
  </si>
  <si>
    <t>0129-4001332 / 9811057716</t>
  </si>
  <si>
    <t>Opp. Y.M.C.A</t>
  </si>
  <si>
    <t>J L Multitech (J.L Engg Industries)</t>
  </si>
  <si>
    <t>Mr. Darshan Achar</t>
  </si>
  <si>
    <t>Vishwaneedam Post</t>
  </si>
  <si>
    <t>JJG Aero Pvt Ltd (J.J. Glasstronics Pvt Ltd)</t>
  </si>
  <si>
    <t>080-28520421 / 28520676</t>
  </si>
  <si>
    <t>Bandenallasandra</t>
  </si>
  <si>
    <t>DC005</t>
  </si>
  <si>
    <t>SBCT Industries LLP</t>
  </si>
  <si>
    <t>Mr. Poornachandra</t>
  </si>
  <si>
    <t>9632506004 / 9740696216</t>
  </si>
  <si>
    <t>Hosur Road,</t>
  </si>
  <si>
    <t>Mr. Krishnamurthy Bhat</t>
  </si>
  <si>
    <t>Java Auto Components</t>
  </si>
  <si>
    <t>Mr. Vikas Bhardwaj</t>
  </si>
  <si>
    <t>98100 52058 / 88068 58588</t>
  </si>
  <si>
    <t>Ecotech-III</t>
  </si>
  <si>
    <t>Greter Noida</t>
  </si>
  <si>
    <t>Crest Metal Engg LLP</t>
  </si>
  <si>
    <t>Mr. Mohit Chhadwani</t>
  </si>
  <si>
    <t>GIDC Phase-II</t>
  </si>
  <si>
    <t>Mr.Ramnath</t>
  </si>
  <si>
    <t>Sivagangai Main Road</t>
  </si>
  <si>
    <t>Romson Group Pvt Ltd (Romson Scientific &amp; Surgical Industries Pvt Ltd)</t>
  </si>
  <si>
    <t>0562 -2280 720/ 730</t>
  </si>
  <si>
    <t>VG Engg</t>
  </si>
  <si>
    <t>Mr. Narasimhan</t>
  </si>
  <si>
    <t>KSSIDC 1st Phase,     5th Cross</t>
  </si>
  <si>
    <t>Jigani Industrial Area, Anekal Taluk</t>
  </si>
  <si>
    <t>0562 -2280 720 / 730</t>
  </si>
  <si>
    <t>Max Tools Industries</t>
  </si>
  <si>
    <t>Mr. Nirav</t>
  </si>
  <si>
    <t>02827- 254448 / 68, 9723102025</t>
  </si>
  <si>
    <t>Meena Casting Gate, 8-B National Highway</t>
  </si>
  <si>
    <t>Shapar (Veraval)</t>
  </si>
  <si>
    <t>Spectrum Electrical Industries Ltd</t>
  </si>
  <si>
    <t>Mr. Mayur Barhate</t>
  </si>
  <si>
    <t>Shree Industries</t>
  </si>
  <si>
    <t>PCNTDA, Electronic Zone</t>
  </si>
  <si>
    <t>Amphenol Interconnect India Pvt Ltd</t>
  </si>
  <si>
    <t>020 -67360329/ 331 / 384</t>
  </si>
  <si>
    <t>Bhosari Industrial Area</t>
  </si>
  <si>
    <t>Opp HP Petrol Pump, Landewadi</t>
  </si>
  <si>
    <t>Ideal Sheet Metal Stampings &amp; Pressings Pvt Ltd</t>
  </si>
  <si>
    <t>Mr. Lalwani</t>
  </si>
  <si>
    <t>9726270549 / 079 25831260</t>
  </si>
  <si>
    <t>Vatva</t>
  </si>
  <si>
    <t>AceInotec Manufacturing Pvt Ltd</t>
  </si>
  <si>
    <t>Mr. Srinivas</t>
  </si>
  <si>
    <t>87479 00333</t>
  </si>
  <si>
    <t>Larsen &amp; Toubro Limited (Electrical &amp; Automation)</t>
  </si>
  <si>
    <t>Mr. Javed Malek</t>
  </si>
  <si>
    <t>9725055660 / 0265 2457624</t>
  </si>
  <si>
    <t>Between Ajwa &amp; Waghodia Junction</t>
  </si>
  <si>
    <t>JBJ Technologies Ltd</t>
  </si>
  <si>
    <t>Mr. Rameshwar Tiwari / Mr. Jitender Kumar Sharma</t>
  </si>
  <si>
    <t>9873071686/ 9958432205</t>
  </si>
  <si>
    <t>ABDOS Labtech Pvt Ltd</t>
  </si>
  <si>
    <t>Mr. Vivek Sharma</t>
  </si>
  <si>
    <t>9205589697 / 9897855142</t>
  </si>
  <si>
    <t>Lakeshwari</t>
  </si>
  <si>
    <t>Bhagwanpur</t>
  </si>
  <si>
    <t>Roorkee</t>
  </si>
  <si>
    <t>Smith Industrial Corporation Pvt Ltd</t>
  </si>
  <si>
    <t>Mr. Radhey Shyam Sharma</t>
  </si>
  <si>
    <t>At Harsha Tractor</t>
  </si>
  <si>
    <t xml:space="preserve">Loni Road </t>
  </si>
  <si>
    <t xml:space="preserve">Ghaziabad </t>
  </si>
  <si>
    <t>Pasupaty Springs Pvt Ltd</t>
  </si>
  <si>
    <t xml:space="preserve">Mr. P K Bansal </t>
  </si>
  <si>
    <t>Candid Micron Measurements Pvt Ltd</t>
  </si>
  <si>
    <t>Salasar Terminals Pvt Ltd (Om Sai Engg)</t>
  </si>
  <si>
    <t>97665 47779</t>
  </si>
  <si>
    <t>Naik Pada, Valiv</t>
  </si>
  <si>
    <t>Devi Turnomatics Pvt Ltd</t>
  </si>
  <si>
    <t>Rajkot- Khambhaliya Highway</t>
  </si>
  <si>
    <t>Opp Swami Narayana Nagar, Near Phase-III, Kansumra Village</t>
  </si>
  <si>
    <t>C &amp; S Electric Ltd</t>
  </si>
  <si>
    <t>Hyo Seong Electric India Pvt Ltd</t>
  </si>
  <si>
    <t>Star Engineers (I) Pvt Ltd (Vietnam)</t>
  </si>
  <si>
    <t>Talwade</t>
  </si>
  <si>
    <t>Pilot Gasket &amp; Engineers</t>
  </si>
  <si>
    <t>Mr. Darshan</t>
  </si>
  <si>
    <t>80808 82868</t>
  </si>
  <si>
    <t>Krishna Complex, Valgaon, Dapoda</t>
  </si>
  <si>
    <t>Anjuru Mankoli Road, Bhiwandi</t>
  </si>
  <si>
    <t>Leo Precision Products</t>
  </si>
  <si>
    <t>Mangaing Director</t>
  </si>
  <si>
    <t>Preeti Industrial Estae</t>
  </si>
  <si>
    <t>66 KVA Road, Amli</t>
  </si>
  <si>
    <t>DNH</t>
  </si>
  <si>
    <t>Star Engineers (I) Pvt Ltd</t>
  </si>
  <si>
    <t>BC Instruments India Pvt Ltd</t>
  </si>
  <si>
    <t>Mr. Harshad Prajapati</t>
  </si>
  <si>
    <t>9979870967 / 8849218198</t>
  </si>
  <si>
    <t>Vithal Udyog Nagar</t>
  </si>
  <si>
    <t>Indo MIM  Pvt Ltd</t>
  </si>
  <si>
    <t>Mr. Ashok Kumar</t>
  </si>
  <si>
    <t>Integrated Industrial Estate</t>
  </si>
  <si>
    <t>SIDCUL, Ranipur</t>
  </si>
  <si>
    <t>Spectra Products Pvt Ltd</t>
  </si>
  <si>
    <t>99710 22496 / 9810291906</t>
  </si>
  <si>
    <t>Kavi Nagar Industrial Area</t>
  </si>
  <si>
    <t>Gowel Rubber Industries</t>
  </si>
  <si>
    <t>75034 49007</t>
  </si>
  <si>
    <t>Opp. JCB Ballabgarh</t>
  </si>
  <si>
    <t>Alpha Engineers</t>
  </si>
  <si>
    <t>98113 09816</t>
  </si>
  <si>
    <t>Near Eicher Chowk</t>
  </si>
  <si>
    <t>Kent Industries</t>
  </si>
  <si>
    <t>9842106645 / 9634031688</t>
  </si>
  <si>
    <t>Gundlav</t>
  </si>
  <si>
    <t>Valsad</t>
  </si>
  <si>
    <t>KDDL Limited</t>
  </si>
  <si>
    <t>78149 67307</t>
  </si>
  <si>
    <t>Derabassi</t>
  </si>
  <si>
    <t>Mohali</t>
  </si>
  <si>
    <t>Selec Controls Pvt Ltd</t>
  </si>
  <si>
    <t>Mr. Vishal Gaikwad</t>
  </si>
  <si>
    <t>93222 40094 / 98928 37017</t>
  </si>
  <si>
    <t>Electronic Zone</t>
  </si>
  <si>
    <t>Larsen &amp; Toubro Ltd</t>
  </si>
  <si>
    <t>Mr. Pandit</t>
  </si>
  <si>
    <t>Ahmednagar MFG Plant</t>
  </si>
  <si>
    <t>A-9/10, MIDC</t>
  </si>
  <si>
    <t>Visat Tools Pvt Ltd</t>
  </si>
  <si>
    <t>Mr. Virupax</t>
  </si>
  <si>
    <t>Peenya 3rd Phase</t>
  </si>
  <si>
    <t>Bnagalore</t>
  </si>
  <si>
    <t>Chennai Autotech Engg Pvt Ltd</t>
  </si>
  <si>
    <t>Mr. Saravanan</t>
  </si>
  <si>
    <t>IWI Stationery Pvt Ltd</t>
  </si>
  <si>
    <t>Goharganj</t>
  </si>
  <si>
    <t>Raisen</t>
  </si>
  <si>
    <t>MP</t>
  </si>
  <si>
    <t>Bhopal</t>
  </si>
  <si>
    <t>Connectwires Engg (Zeeta Electricals)</t>
  </si>
  <si>
    <t>Changodar Bavla Road</t>
  </si>
  <si>
    <t>Village Moriya, Tal: Sanand</t>
  </si>
  <si>
    <t>Napino Control Systems Pvt Ltd</t>
  </si>
  <si>
    <t>Lakshmi Cutting Tools</t>
  </si>
  <si>
    <t>Mr. Karupasamy</t>
  </si>
  <si>
    <t>6379978446/ 9944660260 / 7397421339</t>
  </si>
  <si>
    <t xml:space="preserve"> 3rd Street, Ravindranath Tagore Road</t>
  </si>
  <si>
    <t>Maniyakarampalayam</t>
  </si>
  <si>
    <t>Radeo Engineered Components LLP</t>
  </si>
  <si>
    <t>Mr. Ravikumar</t>
  </si>
  <si>
    <t>7395801037 / 9449114970</t>
  </si>
  <si>
    <t>Agaraharam, Zuzuvadi</t>
  </si>
  <si>
    <t>Thiruvalluvar Nagar Extension</t>
  </si>
  <si>
    <t>Mass Auto Components</t>
  </si>
  <si>
    <t>Mr. Sathishkumar</t>
  </si>
  <si>
    <t>Hindustan Platinum Pvt Ltd</t>
  </si>
  <si>
    <t>Mr. Sudhir Joshi</t>
  </si>
  <si>
    <t>022-6190 4000</t>
  </si>
  <si>
    <t>Gate No.6</t>
  </si>
  <si>
    <t>Pawane Village</t>
  </si>
  <si>
    <t>Electromech India Pvt Ltd (Electromech Industries)</t>
  </si>
  <si>
    <t>01334-319993/ 7618338435</t>
  </si>
  <si>
    <t>Perfect Polymers</t>
  </si>
  <si>
    <t>Mr. Arphan Vaghasia</t>
  </si>
  <si>
    <t>90997 28777/ 02827 287729</t>
  </si>
  <si>
    <t>Kishan Gate Main Road</t>
  </si>
  <si>
    <t>Metoda GIDC</t>
  </si>
  <si>
    <t>Tejas Engg</t>
  </si>
  <si>
    <t>Mr. Gurudev/        Mr. Madhukar V S</t>
  </si>
  <si>
    <t>Prtners</t>
  </si>
  <si>
    <t>Sri Gururaghavendra Nagar</t>
  </si>
  <si>
    <t>Opp. RBI Layout, JP Nagar Phase-7</t>
  </si>
  <si>
    <t>Instrument India</t>
  </si>
  <si>
    <t>Mr. Nimish Prasad /      Mr. Nitin Prasad</t>
  </si>
  <si>
    <t>9886412120 / 99007 58571</t>
  </si>
  <si>
    <t>TransCal</t>
  </si>
  <si>
    <t>Mr. Vijayakumar</t>
  </si>
  <si>
    <t>9449480817 / 9845760543</t>
  </si>
  <si>
    <t>Between sampighe Road &amp; Margosa Road</t>
  </si>
  <si>
    <t>10th Cross Malleswaram</t>
  </si>
  <si>
    <t>Rhenium Tech Rings</t>
  </si>
  <si>
    <t>Mr. Dhaval Vachhani</t>
  </si>
  <si>
    <t>Shapar Main Road</t>
  </si>
  <si>
    <t>Jayson Industries</t>
  </si>
  <si>
    <t>Mr. Suresh</t>
  </si>
  <si>
    <t>Industrial Area (Sub Layout)</t>
  </si>
  <si>
    <t>Yarandahally Village, Jigani Taluk</t>
  </si>
  <si>
    <t>Mold-Tek Packaging Ltd</t>
  </si>
  <si>
    <t>Mr. Sateesh .R</t>
  </si>
  <si>
    <t>AGM-Purchase</t>
  </si>
  <si>
    <t>96764 41333</t>
  </si>
  <si>
    <t>Annaram Village</t>
  </si>
  <si>
    <t>Gummadi Dal Mandal</t>
  </si>
  <si>
    <t>Sanga Reddy</t>
  </si>
  <si>
    <t>Mr. Rachin Bhasi</t>
  </si>
  <si>
    <t>Koorgahalli</t>
  </si>
  <si>
    <t>Sricity, Mopurupalli Village</t>
  </si>
  <si>
    <t>Varadaiahpalem Mandal</t>
  </si>
  <si>
    <t>TGT Tech Private Limited</t>
  </si>
  <si>
    <t>Pragathi Coatings Pvt Ltd</t>
  </si>
  <si>
    <t>Mr. J.D.Sharma</t>
  </si>
  <si>
    <t>8860605662 / 9999625200</t>
  </si>
  <si>
    <t>Sector-37</t>
  </si>
  <si>
    <t>Alpla India Pvt Ltd</t>
  </si>
  <si>
    <t>Mr. Shailendu Jha</t>
  </si>
  <si>
    <t>Phase-IV, Pashamylaram</t>
  </si>
  <si>
    <t>Medak Dist</t>
  </si>
  <si>
    <t>Microtek New Technologies Pvt Ltd</t>
  </si>
  <si>
    <t>Mr. Sachin Kumar</t>
  </si>
  <si>
    <t>7018463255/ 8448786071</t>
  </si>
  <si>
    <t xml:space="preserve">Mr. Mukesh   </t>
  </si>
  <si>
    <t>Brakes Division Padi</t>
  </si>
  <si>
    <t>MTH RoadPadi</t>
  </si>
  <si>
    <t>PITTI Ind Pvt Ltd (Bagadia Chaitra Industries Pvt Ltd)</t>
  </si>
  <si>
    <t>Mr. Y. Chakradhara</t>
  </si>
  <si>
    <t>9844689495 / 7349555708</t>
  </si>
  <si>
    <t>2nd Phase, KIADB</t>
  </si>
  <si>
    <t>Tal: Tumkur</t>
  </si>
  <si>
    <t>Kayens Engg Pvt Ltd (Stencil Engg)</t>
  </si>
  <si>
    <t>Mr. Tony Augustian</t>
  </si>
  <si>
    <t>Industrial Area, Jigani Hobli</t>
  </si>
  <si>
    <t>9911931852 / 9971316468</t>
  </si>
  <si>
    <t>Udyog Kendra</t>
  </si>
  <si>
    <t>Boeing India Pvt Ltd</t>
  </si>
  <si>
    <t>Mr. Ashwin Kumar</t>
  </si>
  <si>
    <t>6th Floor, Bagamane Tech Park</t>
  </si>
  <si>
    <t>Bkock-A, CV Raman Nagar</t>
  </si>
  <si>
    <t>Technotool Solutions India LLP</t>
  </si>
  <si>
    <t>Mr. Purushottam</t>
  </si>
  <si>
    <t>OPP E.T.D.C Bhavan</t>
  </si>
  <si>
    <t>P.I.A Chokkasandra 3rd Cross</t>
  </si>
  <si>
    <t xml:space="preserve">Hindustan Platinum PR </t>
  </si>
  <si>
    <t xml:space="preserve">Mr. Nestor Rios </t>
  </si>
  <si>
    <t>Sr. Plant Manager</t>
  </si>
  <si>
    <t>Humacaco</t>
  </si>
  <si>
    <t>Puerto Rico</t>
  </si>
  <si>
    <t>00791</t>
  </si>
  <si>
    <t>Terminal Technologies (I) Pvt Ltd</t>
  </si>
  <si>
    <t>Mr. Sadanand Gharat</t>
  </si>
  <si>
    <t>Deputy Mgr Purchase</t>
  </si>
  <si>
    <t>Valiv</t>
  </si>
  <si>
    <t>Mr. Prashanth Bhosale</t>
  </si>
  <si>
    <t>410510</t>
  </si>
  <si>
    <t>Capital Tool Industries</t>
  </si>
  <si>
    <t>147004</t>
  </si>
  <si>
    <t>S.R.S Tools</t>
  </si>
  <si>
    <t>Mr. Samapth</t>
  </si>
  <si>
    <t>560058</t>
  </si>
  <si>
    <t>Schneider Electric India Pvt. Ltd.</t>
  </si>
  <si>
    <t>Mr. Pravin Bhosale</t>
  </si>
  <si>
    <t>Nagapur</t>
  </si>
  <si>
    <t>414111</t>
  </si>
  <si>
    <t>Stein Seal Company (India) Pvt Ltd</t>
  </si>
  <si>
    <t>4030-Z25</t>
  </si>
  <si>
    <t>Mr. Vijay Raghavan T.S</t>
  </si>
  <si>
    <t>Head-Opern. &amp; Busi-Develop</t>
  </si>
  <si>
    <t>Peenya 2nd Stage</t>
  </si>
  <si>
    <t>Karamsar Technology Pvt ltd</t>
  </si>
  <si>
    <t>Mr. Jaswinder Singh</t>
  </si>
  <si>
    <t>Rohtak Road</t>
  </si>
  <si>
    <t>RR Precision (India) Pvt Ltd</t>
  </si>
  <si>
    <t>Mr. Praveen Jayaraj</t>
  </si>
  <si>
    <t>Mr. S. Manjunath</t>
  </si>
  <si>
    <t>Technical Plant Manager (BidP1/PT)</t>
  </si>
  <si>
    <t>Bidadi Industrial Area</t>
  </si>
  <si>
    <t>Spring Tech India</t>
  </si>
  <si>
    <t>Mujesar</t>
  </si>
  <si>
    <t>Sectpr-24</t>
  </si>
  <si>
    <t>Kirloskar Toyota Textile Machinery Pvt. Ltd</t>
  </si>
  <si>
    <t>Mr. Gururaj Chakravarthi</t>
  </si>
  <si>
    <t>Management Rep &amp; QA</t>
  </si>
  <si>
    <t>9845528406 / 7026603092</t>
  </si>
  <si>
    <t>560105</t>
  </si>
  <si>
    <t>OM Engineering</t>
  </si>
  <si>
    <t>Mr. Anil Panchal</t>
  </si>
  <si>
    <t>201301</t>
  </si>
  <si>
    <t>Rashmi Metaliks Ltd</t>
  </si>
  <si>
    <t>Mr. Partha Dey</t>
  </si>
  <si>
    <t>NH-6</t>
  </si>
  <si>
    <t>721304</t>
  </si>
  <si>
    <t>Sothern Writing Instuments Pvt Ltd (Chennai Pen Products Pvt Ltd)</t>
  </si>
  <si>
    <t>Mr. K. Gopalan</t>
  </si>
  <si>
    <t>Quality Head</t>
  </si>
  <si>
    <t>97899 68223/ 93817 37402</t>
  </si>
  <si>
    <t>Attuputhur Post</t>
  </si>
  <si>
    <t>Harinder Industries Pvt Ltd</t>
  </si>
  <si>
    <t>Mr. Somya Kumar</t>
  </si>
  <si>
    <t>ImMT Manesar</t>
  </si>
  <si>
    <t>Motion Drivetronics Pvt Ltd</t>
  </si>
  <si>
    <t>Mr. Pranav P. Javeri</t>
  </si>
  <si>
    <t>M.I.D.C, Mahape</t>
  </si>
  <si>
    <t>AGI Greenpac Ltd (HSIL Limited)</t>
  </si>
  <si>
    <t>Mr. Samir Kumar Dhir</t>
  </si>
  <si>
    <t>Deputy Manager -Quality Control</t>
  </si>
  <si>
    <t>Survey No.208 to 218, Sitarampur</t>
  </si>
  <si>
    <t>Isnapur</t>
  </si>
  <si>
    <t>PV Clean Mobility Technologies Pvt Ltd</t>
  </si>
  <si>
    <t>Mr. Shailesh. Thakare</t>
  </si>
  <si>
    <t>Alandi Phata- MIDC</t>
  </si>
  <si>
    <t>Taluk- Khed, Kurli, Chakan</t>
  </si>
  <si>
    <t>410501</t>
  </si>
  <si>
    <t>Deputy Manager- Pur</t>
  </si>
  <si>
    <t>Near Sheela Foam, Village Zaroli</t>
  </si>
  <si>
    <t>Tal- Umbergaon, Bhilad</t>
  </si>
  <si>
    <t>396105</t>
  </si>
  <si>
    <t>Yugal Precision Pvt Ltd</t>
  </si>
  <si>
    <t>Mr. Vineet Agarwal</t>
  </si>
  <si>
    <t>282006</t>
  </si>
  <si>
    <t>AH Mec</t>
  </si>
  <si>
    <t>Mr. Harish</t>
  </si>
  <si>
    <t>Vidyaranyapura Post</t>
  </si>
  <si>
    <t>560097</t>
  </si>
  <si>
    <t>DJ Manufacturing</t>
  </si>
  <si>
    <t>Mr. Suresh Kumar</t>
  </si>
  <si>
    <t>Bharati Nagar</t>
  </si>
  <si>
    <t>641006</t>
  </si>
  <si>
    <t>DJ Irrigation</t>
  </si>
  <si>
    <t>Mr. Umesh Hanswani</t>
  </si>
  <si>
    <t>NICE Area</t>
  </si>
  <si>
    <t>422007</t>
  </si>
  <si>
    <t>Electracon Paradise Ltd</t>
  </si>
  <si>
    <t>Mr. Chandan Kumar</t>
  </si>
  <si>
    <t>Admin Manager</t>
  </si>
  <si>
    <t>110064</t>
  </si>
  <si>
    <t>Bharti Enterprise</t>
  </si>
  <si>
    <t>Mr. Vijay Gori</t>
  </si>
  <si>
    <t>Shankar Tekri</t>
  </si>
  <si>
    <t>361004</t>
  </si>
  <si>
    <t>SVF Technologies</t>
  </si>
  <si>
    <t>Mr. Venu Barrath Kugan</t>
  </si>
  <si>
    <t>Poothurai</t>
  </si>
  <si>
    <t>Vanur Taluk</t>
  </si>
  <si>
    <t>605111</t>
  </si>
  <si>
    <t>IFB Automotive Pvt Ltd</t>
  </si>
  <si>
    <t>Mr. Nawal Pawar</t>
  </si>
  <si>
    <t>Soukya Road, Koralur Village</t>
  </si>
  <si>
    <t>Hoskote Taluk, kasaba Hobli</t>
  </si>
  <si>
    <t>560067</t>
  </si>
  <si>
    <t>Prime Progression Icom (India) Pvt Ltd</t>
  </si>
  <si>
    <t>Mr.Parthiban. V</t>
  </si>
  <si>
    <t>GM- Sourcing &amp; New Prod. Dev</t>
  </si>
  <si>
    <t>8th Main, 2nd Cross</t>
  </si>
  <si>
    <t>BEML Layout, Kundalahalli Main Road</t>
  </si>
  <si>
    <t>560066</t>
  </si>
  <si>
    <t>U3S Engitech Pvt Ltd</t>
  </si>
  <si>
    <t>Mr. Sandeep Singh</t>
  </si>
  <si>
    <t>Nadibandha Road</t>
  </si>
  <si>
    <t>Behind Shyamkunj Apartment</t>
  </si>
  <si>
    <t>Cuttack</t>
  </si>
  <si>
    <t>753012</t>
  </si>
  <si>
    <t>OD</t>
  </si>
  <si>
    <t>Mr. Ramnath RK</t>
  </si>
  <si>
    <t>625020</t>
  </si>
  <si>
    <t>Longman Knit Parts Mfg. Co.</t>
  </si>
  <si>
    <t>Mr. Vinay Jindal</t>
  </si>
  <si>
    <t>141003</t>
  </si>
  <si>
    <t>Kewal Engg Pvt Ltd</t>
  </si>
  <si>
    <t>Mr. Mounish / Ms. Vasudha Chawla</t>
  </si>
  <si>
    <t>8317391855/ 6366387705</t>
  </si>
  <si>
    <t>Mysore Road</t>
  </si>
  <si>
    <t>560074</t>
  </si>
  <si>
    <t>Lakshmi Machine Works Ltd</t>
  </si>
  <si>
    <t>Mr. Karthik  / Mr. Gururaj</t>
  </si>
  <si>
    <t>Purchase / QC</t>
  </si>
  <si>
    <t>8072489466 / 9686987888</t>
  </si>
  <si>
    <t>Sathy Main Road</t>
  </si>
  <si>
    <t>Nidhi Metal Auto Components Pvt Ltd</t>
  </si>
  <si>
    <t>Mr. Ramesh Joshi</t>
  </si>
  <si>
    <t>Finance &amp; Accounts</t>
  </si>
  <si>
    <t>Ballabgarh</t>
  </si>
  <si>
    <t>121004</t>
  </si>
  <si>
    <t>Varrmas Elassto Seals</t>
  </si>
  <si>
    <t xml:space="preserve">Mr. Subhash </t>
  </si>
  <si>
    <t>Vijayakumar Thottam</t>
  </si>
  <si>
    <t>SomayamPalayam</t>
  </si>
  <si>
    <t>641108</t>
  </si>
  <si>
    <t>Pamp Precision Manufacturing India Pvt Ltd</t>
  </si>
  <si>
    <t>Mr. Rohit Rawat</t>
  </si>
  <si>
    <t>District: Mewat</t>
  </si>
  <si>
    <t>Sohna</t>
  </si>
  <si>
    <t>122103</t>
  </si>
  <si>
    <t>Belz Instruments Pvt Ltd</t>
  </si>
  <si>
    <t>121001</t>
  </si>
  <si>
    <t>Accurate Industrial Machining (TopFlite Components)</t>
  </si>
  <si>
    <t>Mr. K.Boopalan</t>
  </si>
  <si>
    <t>7760460255 / 8217626256</t>
  </si>
  <si>
    <t>Doddalkallasandra</t>
  </si>
  <si>
    <t>Kanakapura Road</t>
  </si>
  <si>
    <t>560062</t>
  </si>
  <si>
    <t>Hoffen Plastics Pvt Ltd</t>
  </si>
  <si>
    <t>Mr. Pratap Reddy</t>
  </si>
  <si>
    <t>Block No.2, IDA Kukatpally</t>
  </si>
  <si>
    <t>Gandhi Nagar</t>
  </si>
  <si>
    <t>IM Gears Pvt Ltd</t>
  </si>
  <si>
    <t>Mr. S. Aruldoss</t>
  </si>
  <si>
    <t>Sr. Manager- Methods</t>
  </si>
  <si>
    <t>Mabakkam Post</t>
  </si>
  <si>
    <t>Selaiyur</t>
  </si>
  <si>
    <t>600073</t>
  </si>
  <si>
    <t>Aditya Dispomed Products Pvt Ltd</t>
  </si>
  <si>
    <t>Mr. Sandeep Kumar</t>
  </si>
  <si>
    <t>122050</t>
  </si>
  <si>
    <t>Mr. Anand Ganti</t>
  </si>
  <si>
    <t xml:space="preserve">Deputy Mgr-Purchase </t>
  </si>
  <si>
    <t>Subhash Nagar</t>
  </si>
  <si>
    <t>500055</t>
  </si>
  <si>
    <t>Matta Drawing Works</t>
  </si>
  <si>
    <t>Mr. Dheeraj Mehta</t>
  </si>
  <si>
    <t>IMT Faridabad</t>
  </si>
  <si>
    <t>RVB Shorlube Industry Pvt Ltd</t>
  </si>
  <si>
    <t>Mr. Kuldeep Tiwari</t>
  </si>
  <si>
    <t>Rania</t>
  </si>
  <si>
    <t>209304</t>
  </si>
  <si>
    <t>Unnati Engineers</t>
  </si>
  <si>
    <t>Mr. Aradhya Pundlik</t>
  </si>
  <si>
    <t>422010</t>
  </si>
  <si>
    <t>Mr. Saravanan.S</t>
  </si>
  <si>
    <t>Mrg-Surgical Blade Div</t>
  </si>
  <si>
    <t>IMAC Cables India Pvt Ltd</t>
  </si>
  <si>
    <t>Mr. D.Janarthanam</t>
  </si>
  <si>
    <t>600044</t>
  </si>
  <si>
    <t>Sri Balaji Assemblies &amp; Plastics Pvt Ltd</t>
  </si>
  <si>
    <t>Mr. Senthamizharasan</t>
  </si>
  <si>
    <t xml:space="preserve">SIDCO Industrial Estate </t>
  </si>
  <si>
    <t>600132</t>
  </si>
  <si>
    <t>Excel Metal Engg Pvt Ltd</t>
  </si>
  <si>
    <t>Mr. Vijayadevan S</t>
  </si>
  <si>
    <t>Alliance Metal India</t>
  </si>
  <si>
    <t>Mr. Keyur Patel</t>
  </si>
  <si>
    <t>General Manager</t>
  </si>
  <si>
    <t>Phase-3, Dared</t>
  </si>
  <si>
    <t>Vscon Engg Pvt Ltd</t>
  </si>
  <si>
    <t>Mr. Vineet Sharma</t>
  </si>
  <si>
    <t>Bawana Industrial Area</t>
  </si>
  <si>
    <t>110039</t>
  </si>
  <si>
    <t>Reckitt Benckiser India Pvt Ltd</t>
  </si>
  <si>
    <t>Mr. Bharti Chauhan</t>
  </si>
  <si>
    <t xml:space="preserve">6th &amp; 7th Floor, </t>
  </si>
  <si>
    <t>Sector-22, Udyog Vihar</t>
  </si>
  <si>
    <t>122008</t>
  </si>
  <si>
    <t>Shankar Moulding Pvt Ltd</t>
  </si>
  <si>
    <t>Mr. Neeraj Sharma</t>
  </si>
  <si>
    <t>Leader Purchase</t>
  </si>
  <si>
    <t>North Delhi</t>
  </si>
  <si>
    <t>110033</t>
  </si>
  <si>
    <t>Pavna Industries Ltd</t>
  </si>
  <si>
    <t xml:space="preserve">Mr. Binnami Sharma </t>
  </si>
  <si>
    <t>G.T. Road</t>
  </si>
  <si>
    <t>202001</t>
  </si>
  <si>
    <t>Vertex Auto Components</t>
  </si>
  <si>
    <t>Mr. Thirumal Balu Subburaj</t>
  </si>
  <si>
    <t>Plant Operations</t>
  </si>
  <si>
    <t>635126</t>
  </si>
  <si>
    <t>Accura Toolings</t>
  </si>
  <si>
    <t>Mr. Chandru / Mr. Anand</t>
  </si>
  <si>
    <t>7899506489 / 9611383239</t>
  </si>
  <si>
    <t>2nd Main, 2nd Stage</t>
  </si>
  <si>
    <t>Pragathi Tools and Dies</t>
  </si>
  <si>
    <t>Mr. Vijayanad</t>
  </si>
  <si>
    <t>9686794801 / 8951771944</t>
  </si>
  <si>
    <t>560093</t>
  </si>
  <si>
    <t>Lamda Components Pvt Ltd</t>
  </si>
  <si>
    <t>Mr. Razak</t>
  </si>
  <si>
    <t>560100</t>
  </si>
  <si>
    <t>Egearz Pvt Ltd</t>
  </si>
  <si>
    <t>Mr. Chetan Mane</t>
  </si>
  <si>
    <t>Village: Shindewadi, Shirwal</t>
  </si>
  <si>
    <t>Tal- Khandala</t>
  </si>
  <si>
    <t>Satara</t>
  </si>
  <si>
    <t>412801</t>
  </si>
  <si>
    <t>Gandhi Springs Pvt Ltd</t>
  </si>
  <si>
    <t>Mr. Sumit Agarwal</t>
  </si>
  <si>
    <t>Maxmould</t>
  </si>
  <si>
    <t>Mr. Mohit Rajput / Ms. Rajashree</t>
  </si>
  <si>
    <t>7983029119 / 9833304615</t>
  </si>
  <si>
    <t>Sativali Road</t>
  </si>
  <si>
    <t xml:space="preserve">Waliv Phata, Vasai (East) </t>
  </si>
  <si>
    <t>401208</t>
  </si>
  <si>
    <t>Radium Creation Ltd</t>
  </si>
  <si>
    <t>Village Tumb</t>
  </si>
  <si>
    <t>Taluk: Umeragaon</t>
  </si>
  <si>
    <t>396150</t>
  </si>
  <si>
    <t>Maraimalai Nagar</t>
  </si>
  <si>
    <t>Umiya Pharma Tech</t>
  </si>
  <si>
    <t>Zankhana Patel</t>
  </si>
  <si>
    <t>Nr. Odhav Ring Road Circle</t>
  </si>
  <si>
    <t>Odhav</t>
  </si>
  <si>
    <t>382415</t>
  </si>
  <si>
    <t>Mr. Gurudatt Chennagiri (M.S)</t>
  </si>
  <si>
    <t>Siddapura, Hosur Road</t>
  </si>
  <si>
    <t>Wilson Garden</t>
  </si>
  <si>
    <t>560027</t>
  </si>
  <si>
    <t xml:space="preserve">Polycab India Ltd </t>
  </si>
  <si>
    <t>Mr. Vinit S Dabholkar</t>
  </si>
  <si>
    <t>Daman Industrial Estate</t>
  </si>
  <si>
    <t>Somanath Road, Nani Daman</t>
  </si>
  <si>
    <t>Daman</t>
  </si>
  <si>
    <t>396215</t>
  </si>
  <si>
    <t>Nexteer Automotive India Pvt Ltd</t>
  </si>
  <si>
    <t>Mr. Ravikumar Suryavanshi</t>
  </si>
  <si>
    <t>99601 57113</t>
  </si>
  <si>
    <t>Khed</t>
  </si>
  <si>
    <t>Impact Tool Crafts Pvt Ltd</t>
  </si>
  <si>
    <t>Mr. Siddarudha Nidoni</t>
  </si>
  <si>
    <t>411026</t>
  </si>
  <si>
    <t>Integrated Industrial Estate (SIDCUL)</t>
  </si>
  <si>
    <t>249403</t>
  </si>
  <si>
    <t>Luxor International Pvt Ltd</t>
  </si>
  <si>
    <t>201305</t>
  </si>
  <si>
    <t>PMI Global Technologies Pvt Ltd</t>
  </si>
  <si>
    <t>Mr. Sivakumar R</t>
  </si>
  <si>
    <t>QC – Mgr &amp; Manag'nt Rep</t>
  </si>
  <si>
    <t>Madras Export Promotion Zone</t>
  </si>
  <si>
    <t>SEZ, Tambaram</t>
  </si>
  <si>
    <t>600045</t>
  </si>
  <si>
    <t>Mr. Amit Singh Rawat</t>
  </si>
  <si>
    <t>Bhangrola Road</t>
  </si>
  <si>
    <t>122505</t>
  </si>
  <si>
    <t>Steelman Broaches Pvt Ltd</t>
  </si>
  <si>
    <t>Mr. Amrinder Singh</t>
  </si>
  <si>
    <t>Dist: Sangrur</t>
  </si>
  <si>
    <t>Sangrur</t>
  </si>
  <si>
    <t>148026</t>
  </si>
  <si>
    <t>Mr. S.Palani</t>
  </si>
  <si>
    <t>Deputy Mgr- Maint</t>
  </si>
  <si>
    <t>9445709371 / 82483 71604</t>
  </si>
  <si>
    <t>MTH Road</t>
  </si>
  <si>
    <t>600050</t>
  </si>
  <si>
    <t xml:space="preserve">Niraj Engg </t>
  </si>
  <si>
    <t>Mr. Sunil Chabbi</t>
  </si>
  <si>
    <t>Opp. Entramond Polymers</t>
  </si>
  <si>
    <t>MIDC Area, Satpur</t>
  </si>
  <si>
    <t xml:space="preserve">Mr. Anubhav Arora </t>
  </si>
  <si>
    <t>SAS Nagar</t>
  </si>
  <si>
    <t>EL-Chico Clutch Pvt Ltd</t>
  </si>
  <si>
    <t>Mr. Aravind Rakheja</t>
  </si>
  <si>
    <t>121005</t>
  </si>
  <si>
    <t>G.N.Surgicals</t>
  </si>
  <si>
    <t>Mr. B.R Deora</t>
  </si>
  <si>
    <t>Swadeshi Politax</t>
  </si>
  <si>
    <t>Kavi Nagar</t>
  </si>
  <si>
    <t>201001</t>
  </si>
  <si>
    <t>Rapid Industries (Hydrobenz Industries Pvt Ltd)</t>
  </si>
  <si>
    <t>4030-Z25J LX</t>
  </si>
  <si>
    <t xml:space="preserve">Mr. Ashish Kiyada </t>
  </si>
  <si>
    <t>Managing Partner</t>
  </si>
  <si>
    <t>95740 19301</t>
  </si>
  <si>
    <t>GIDC, Lodhika Industrial Estate</t>
  </si>
  <si>
    <t>Kalawad Road, Vill: Matoda</t>
  </si>
  <si>
    <t>360021</t>
  </si>
  <si>
    <t>Shree Engineers</t>
  </si>
  <si>
    <t>Mr. Srinivas Shirsat</t>
  </si>
  <si>
    <t>Tal: Haveli, Near PARI</t>
  </si>
  <si>
    <t>Off, Dhayari Ambegaon Road</t>
  </si>
  <si>
    <t>411041</t>
  </si>
  <si>
    <t>S R Enterprises</t>
  </si>
  <si>
    <t>Mr. M.S. Lohith</t>
  </si>
  <si>
    <t>Anagahalli Village,
Belagola Post</t>
  </si>
  <si>
    <t>Srirangapatna Taluk</t>
  </si>
  <si>
    <t>571606</t>
  </si>
  <si>
    <t>Micro Tech</t>
  </si>
  <si>
    <t>Mr. Karthik</t>
  </si>
  <si>
    <t>Opp. Kumar Tower</t>
  </si>
  <si>
    <t xml:space="preserve">SIDCO  </t>
  </si>
  <si>
    <t>641021</t>
  </si>
  <si>
    <t>Grindstar Tools and Machinery (Shabari Impacts)</t>
  </si>
  <si>
    <t>Mr. Abhilash</t>
  </si>
  <si>
    <t>3rd Stage</t>
  </si>
  <si>
    <t>Mr. Shivakumar</t>
  </si>
  <si>
    <t>Avverahalli Industrial Area</t>
  </si>
  <si>
    <t>562111</t>
  </si>
  <si>
    <t>V.S.R. Private Limited</t>
  </si>
  <si>
    <t>Mr. Mathan</t>
  </si>
  <si>
    <t>K. Pudur</t>
  </si>
  <si>
    <t>625007</t>
  </si>
  <si>
    <t>2015-Z25J LX</t>
  </si>
  <si>
    <t>Ms. Deepshikha Kanwar</t>
  </si>
  <si>
    <t>Purchase Executive</t>
  </si>
  <si>
    <t>Mr. Sadand Gharat</t>
  </si>
  <si>
    <t>Nanekarwadi Industrial Area</t>
  </si>
  <si>
    <t>Hisar Steels Pvt Ltd</t>
  </si>
  <si>
    <t>Mr. Aman Garg</t>
  </si>
  <si>
    <t>Village Raipur</t>
  </si>
  <si>
    <t>Hisar</t>
  </si>
  <si>
    <t>125044</t>
  </si>
  <si>
    <t>Coindia Modern Tool Room</t>
  </si>
  <si>
    <t>Mr. Sathiyaraj. S</t>
  </si>
  <si>
    <t>Manager - Tool Room</t>
  </si>
  <si>
    <t>E&amp;E Industrial Estate Campus</t>
  </si>
  <si>
    <t xml:space="preserve">Sitra, Civil Aerodrome (PO) </t>
  </si>
  <si>
    <t>641014</t>
  </si>
  <si>
    <t>Future Brake Components</t>
  </si>
  <si>
    <t>Mr. Varun Sood</t>
  </si>
  <si>
    <t>Business Unit Head</t>
  </si>
  <si>
    <t>Mundka Industrial Area</t>
  </si>
  <si>
    <t>110041</t>
  </si>
  <si>
    <t>Coptec</t>
  </si>
  <si>
    <t xml:space="preserve">Mr. Milan Moulick  </t>
  </si>
  <si>
    <t>PPC</t>
  </si>
  <si>
    <t>Vadfalia</t>
  </si>
  <si>
    <t>Naroli</t>
  </si>
  <si>
    <t>396230</t>
  </si>
  <si>
    <t>D&amp;NH</t>
  </si>
  <si>
    <t>Canbus Audio International</t>
  </si>
  <si>
    <t>Mr. Murli Jha</t>
  </si>
  <si>
    <t>110083</t>
  </si>
  <si>
    <t>Indian Writing Instruments Pvt Ltd</t>
  </si>
  <si>
    <t>Mr. Govind Jangid</t>
  </si>
  <si>
    <t>QA Manager/MR</t>
  </si>
  <si>
    <t>400021</t>
  </si>
  <si>
    <t>Dynamic Transmission Ltd</t>
  </si>
  <si>
    <t>Mr. Aman Narwal</t>
  </si>
  <si>
    <t>Toshiba Transmission &amp; Distribution Systems(I) Pvt Ltd</t>
  </si>
  <si>
    <t>Mr. Jyothi Kumar Veladineni</t>
  </si>
  <si>
    <t>Deputy Manager- Procurement</t>
  </si>
  <si>
    <t>Patancheru Mandal</t>
  </si>
  <si>
    <t>Sangareddy</t>
  </si>
  <si>
    <t>Innomech Aerospace Toolings Pvt Ltd</t>
  </si>
  <si>
    <t>Mr. Girish G</t>
  </si>
  <si>
    <t>Kavadadasanahalli, Channarayapattan Hobli</t>
  </si>
  <si>
    <t>Alpro Extrusion Private Limited (GRK Tech Centre-Gurgaon)</t>
  </si>
  <si>
    <t>Mr. Rajesh Gadia/ Mr. Partho Naskar</t>
  </si>
  <si>
    <t>9830176807 /8013100812</t>
  </si>
  <si>
    <t>P.S.- Domjur</t>
  </si>
  <si>
    <t>Hawrah</t>
  </si>
  <si>
    <t>Lakshmi Butt Welders</t>
  </si>
  <si>
    <t>Mr. Ramesh</t>
  </si>
  <si>
    <t>Rayakotta Road</t>
  </si>
  <si>
    <t>Channathur Post</t>
  </si>
  <si>
    <t>NIFCO India Pvt Ltd</t>
  </si>
  <si>
    <t xml:space="preserve">Mr. Pradeep </t>
  </si>
  <si>
    <t>Asst. Engineer- Purchase</t>
  </si>
  <si>
    <t>Sanand II, Sanand</t>
  </si>
  <si>
    <t>RB Metrology (Deusch Motocomp Pvt. Ltd)</t>
  </si>
  <si>
    <t>Mr. Dinesh Ahuja</t>
  </si>
  <si>
    <t>New Nandwani Nagar</t>
  </si>
  <si>
    <t>Turbo India</t>
  </si>
  <si>
    <t>Ms. Pushpalatha.H</t>
  </si>
  <si>
    <t>Executive-Purchase</t>
  </si>
  <si>
    <t>Magadi Road</t>
  </si>
  <si>
    <t>TVS Engg Ltd</t>
  </si>
  <si>
    <t>Mr. N Nagarajan /Mr. V. Dinesh Kumar</t>
  </si>
  <si>
    <t>Central Supplier Interface/ Defence Quality</t>
  </si>
  <si>
    <t>7358666106/ 9342991973</t>
  </si>
  <si>
    <t>Excellent Hi Care Pvt Ltd</t>
  </si>
  <si>
    <t>Mr. Yasar Arafath</t>
  </si>
  <si>
    <t>Pattanam Village</t>
  </si>
  <si>
    <t>Ural Post</t>
  </si>
  <si>
    <t>Tindivanam</t>
  </si>
  <si>
    <t>KTT Pharmatech</t>
  </si>
  <si>
    <t>Mr. Anand Rai/ Mr. Kalpesh Panchal</t>
  </si>
  <si>
    <t>Team Leader-Operns./ Head-Design &amp; Develn</t>
  </si>
  <si>
    <t>7738356156/ 9307304232</t>
  </si>
  <si>
    <t>Near Saibaba Mandir</t>
  </si>
  <si>
    <t>Navghar Road, Vasai (East)</t>
  </si>
  <si>
    <t>Sandhar Automotives</t>
  </si>
  <si>
    <t>Mr. Raja Kumar</t>
  </si>
  <si>
    <t>Procurement Division</t>
  </si>
  <si>
    <t>Bommasandra-Jigani Link Road, Taluk-Anekal</t>
  </si>
  <si>
    <t>Medivation Bio Pvt ltd</t>
  </si>
  <si>
    <t>Mr. Harshit Panchal</t>
  </si>
  <si>
    <t>RIICO Chowk</t>
  </si>
  <si>
    <t>Universal Precision Screws</t>
  </si>
  <si>
    <t xml:space="preserve">Mr.Monia Uppal/ Mr. Vineet Raina    </t>
  </si>
  <si>
    <t xml:space="preserve">Executive assistant </t>
  </si>
  <si>
    <t>9729870601 /8814999226</t>
  </si>
  <si>
    <t>Teshil Sampla</t>
  </si>
  <si>
    <t>Sandhar Components</t>
  </si>
  <si>
    <t>7-A, KIADB Industrial Area</t>
  </si>
  <si>
    <t>Attibele, Taluk-Anekal</t>
  </si>
  <si>
    <t>Schneider Electric India Pvt. Ltd</t>
  </si>
  <si>
    <t>Mr. Nitin Kumar Gupta</t>
  </si>
  <si>
    <t>Manager-Engineered Tooling Solutions</t>
  </si>
  <si>
    <t>Ankhol</t>
  </si>
  <si>
    <t>Bhansali Component &amp; Fasteners</t>
  </si>
  <si>
    <t>Mr. Mukhesh Bhansali</t>
  </si>
  <si>
    <t>Opp. Nicholas Garage, Vasai (East)</t>
  </si>
  <si>
    <t>S.G.B Industries</t>
  </si>
  <si>
    <t xml:space="preserve">Mr. Gururaj   </t>
  </si>
  <si>
    <t>Taluk- Anekal</t>
  </si>
  <si>
    <t>Vishwakarma Tech</t>
  </si>
  <si>
    <t>Mr. Praveen Gopalakrishnan</t>
  </si>
  <si>
    <t>Shivapura, Nelagadaranahalli</t>
  </si>
  <si>
    <t>KL Export Pvt Ltd</t>
  </si>
  <si>
    <t>AFC Elastomers Technology Pvt Ltd</t>
  </si>
  <si>
    <t>Mr. Amrish Patel</t>
  </si>
  <si>
    <t>Tal: Savli</t>
  </si>
  <si>
    <t>Vadaodara</t>
  </si>
  <si>
    <t>391775</t>
  </si>
  <si>
    <t>Sri Vinayaka Industries</t>
  </si>
  <si>
    <t>Mr. Murugan</t>
  </si>
  <si>
    <t>Govind Agraharam</t>
  </si>
  <si>
    <t>Unitek Engineering (Garuda Aerotech)</t>
  </si>
  <si>
    <t>Mr. Akshay Nagabushan</t>
  </si>
  <si>
    <t>Dasanapura Hobli</t>
  </si>
  <si>
    <t>562130</t>
  </si>
  <si>
    <t>Advanced Cutting Tools</t>
  </si>
  <si>
    <t xml:space="preserve">Mr. Govind   </t>
  </si>
  <si>
    <t>GP Nagar</t>
  </si>
  <si>
    <t>Laggere</t>
  </si>
  <si>
    <t>Leitz Tooling System India Pvt Ltd</t>
  </si>
  <si>
    <t>Mr. R. Vasudeva Murthy</t>
  </si>
  <si>
    <t>Dy. GM, Operations</t>
  </si>
  <si>
    <t>IV Phase</t>
  </si>
  <si>
    <t>Toolcom Innovative Solutions Pvt Ltd</t>
  </si>
  <si>
    <t>Mr. Nandhakumar.L</t>
  </si>
  <si>
    <t>Kuppepalyam</t>
  </si>
  <si>
    <t>Annur Taluk</t>
  </si>
  <si>
    <t>641107</t>
  </si>
  <si>
    <t>Mr. Vinayak</t>
  </si>
  <si>
    <t>Timex Group Precision Engg Ltd</t>
  </si>
  <si>
    <t xml:space="preserve">Mr. Debasish Mitra </t>
  </si>
  <si>
    <t>201307</t>
  </si>
  <si>
    <t>Neha Engg Tools</t>
  </si>
  <si>
    <t>Mr. Pardeep Dhiman</t>
  </si>
  <si>
    <t>160002</t>
  </si>
  <si>
    <t>AGS Visions Pvt Ltd</t>
  </si>
  <si>
    <t>Mr. Karam Chand</t>
  </si>
  <si>
    <t>16/1, Tehsil- Derra Bassi, Mauja</t>
  </si>
  <si>
    <t>Kurnwala</t>
  </si>
  <si>
    <t>SAS Nagara</t>
  </si>
  <si>
    <t>140507</t>
  </si>
  <si>
    <t>JHY Techserve Pvt Ltd</t>
  </si>
  <si>
    <t>Mr. Vishweshwara Prasad</t>
  </si>
  <si>
    <t>Madivala Village</t>
  </si>
  <si>
    <t>Kasaba Hobli, Malur Taluk</t>
  </si>
  <si>
    <t>563130</t>
  </si>
  <si>
    <t>Gleason Works (India) Pvt Ltd</t>
  </si>
  <si>
    <t>Mr. S.Thiyagu</t>
  </si>
  <si>
    <t>Design Engineer</t>
  </si>
  <si>
    <t>Bhattaramarenahalli</t>
  </si>
  <si>
    <t>562129</t>
  </si>
  <si>
    <t>Patco Precision Components P Ltd</t>
  </si>
  <si>
    <t>Mr. R D Patil</t>
  </si>
  <si>
    <t>Integral Cable and Interconnect LLP</t>
  </si>
  <si>
    <t>Mr. Ajit Kshirasagar</t>
  </si>
  <si>
    <t>Narhe</t>
  </si>
  <si>
    <t>Sholinghur</t>
  </si>
  <si>
    <t>J J Glastronics Pvt. Ltd</t>
  </si>
  <si>
    <t>18th KM</t>
  </si>
  <si>
    <t xml:space="preserve">Hosur Road </t>
  </si>
  <si>
    <t>Ms. Nisha</t>
  </si>
  <si>
    <t>QC Dept</t>
  </si>
  <si>
    <t>Panruti Post</t>
  </si>
  <si>
    <t xml:space="preserve">Sriperumbudur </t>
  </si>
  <si>
    <t xml:space="preserve">Foreaxis Technology </t>
  </si>
  <si>
    <t xml:space="preserve">Bommasandra Imdustrial Area, </t>
  </si>
  <si>
    <t>Karthik Auto Components</t>
  </si>
  <si>
    <t>2015 J LX</t>
  </si>
  <si>
    <t xml:space="preserve">Bagepalli Village, </t>
  </si>
  <si>
    <t xml:space="preserve">Bagepalli Post </t>
  </si>
  <si>
    <t xml:space="preserve">Nasmyth Asia </t>
  </si>
  <si>
    <t>Efficient Plastech Pvt Ltd (Efficient Engg)</t>
  </si>
  <si>
    <t>Chandansar,Virar East</t>
  </si>
  <si>
    <t>Schneider Electric</t>
  </si>
  <si>
    <t>Process MIDC Area,</t>
  </si>
  <si>
    <t>MSK CNC Technology</t>
  </si>
  <si>
    <t>MTC Back Side, Near Lee Springs</t>
  </si>
  <si>
    <t xml:space="preserve">Bommasandra </t>
  </si>
  <si>
    <t xml:space="preserve">MARS Electronics </t>
  </si>
  <si>
    <t>Doddalkallasandra,</t>
  </si>
  <si>
    <t xml:space="preserve">Voltkon Industries </t>
  </si>
  <si>
    <t xml:space="preserve">Machohalli Forest Gate </t>
  </si>
  <si>
    <t>Magadi main Road</t>
  </si>
  <si>
    <t xml:space="preserve">Mogli labs India Pvt Ltd </t>
  </si>
  <si>
    <t>5030J LX</t>
  </si>
  <si>
    <t>Besmak Components Pvt Ltd</t>
  </si>
  <si>
    <t>Organdam,Sriperumbudur TK.</t>
  </si>
  <si>
    <t>Kancheepuram district</t>
  </si>
  <si>
    <t>Ankita Crafts</t>
  </si>
  <si>
    <t>Yoncorp Innovation Pvt Ltd (Tecnicraft Industries)</t>
  </si>
  <si>
    <t>Mr. Udayakumar</t>
  </si>
  <si>
    <t>Mahadevapura P.O.</t>
  </si>
  <si>
    <t>560 048</t>
  </si>
  <si>
    <t xml:space="preserve">Sandhar Whetron Electronics Pvt Ltd </t>
  </si>
  <si>
    <t>Sohna-Gurugram Road.</t>
  </si>
  <si>
    <t xml:space="preserve">Gurugram </t>
  </si>
  <si>
    <t>Electronic City , Phase-II (East)</t>
  </si>
  <si>
    <t>Rohit Industries group P Ltd</t>
  </si>
  <si>
    <t>Hical Technologies Pvt Ltd</t>
  </si>
  <si>
    <t xml:space="preserve">Pricol Engg Industries Pvt Ltd </t>
  </si>
  <si>
    <t>Narashimanaicken Palayam</t>
  </si>
  <si>
    <t xml:space="preserve">Twinstar Tooling Solutions </t>
  </si>
  <si>
    <t xml:space="preserve">2015J LX </t>
  </si>
  <si>
    <t>Moodramkattalai,</t>
  </si>
  <si>
    <t>Autotex Pvt Ltd ( Unit-2)</t>
  </si>
  <si>
    <t xml:space="preserve">4030J LX </t>
  </si>
  <si>
    <t xml:space="preserve">karuvallur Road,Ponnegoundenpuddhur Post </t>
  </si>
  <si>
    <t xml:space="preserve">Manastu Space Technologies </t>
  </si>
  <si>
    <t xml:space="preserve">Opp Kanjurmarg Railway Station </t>
  </si>
  <si>
    <t>Kanjurmarg(West)</t>
  </si>
  <si>
    <t xml:space="preserve">Schneider Electric India Pvt Ltd </t>
  </si>
  <si>
    <t xml:space="preserve">Nigasavi Solution </t>
  </si>
  <si>
    <t xml:space="preserve">Village Paud </t>
  </si>
  <si>
    <t xml:space="preserve">District Pune </t>
  </si>
  <si>
    <t xml:space="preserve">Engineered Components &amp; Systems India Pvt Ltd </t>
  </si>
  <si>
    <t xml:space="preserve">Yeshwanthpura </t>
  </si>
  <si>
    <t>Bright brother (Candid Milcron)</t>
  </si>
  <si>
    <t xml:space="preserve">Thirubhavanai Village </t>
  </si>
  <si>
    <t>Sandhar Technologies Ltd</t>
  </si>
  <si>
    <t>J D Industries</t>
  </si>
  <si>
    <t>Excelon Technologies</t>
  </si>
  <si>
    <t xml:space="preserve">Peenya Industrial Area </t>
  </si>
  <si>
    <t xml:space="preserve">Wise Tech precision Engg </t>
  </si>
  <si>
    <t>Attibele Hobli,</t>
  </si>
  <si>
    <t xml:space="preserve">Bangalore </t>
  </si>
  <si>
    <t>Schneider Electric IT Business India Pvt Ltd (SDI Business Service India Pvt Ltd)</t>
  </si>
  <si>
    <t>Bangalore urban (BEF)</t>
  </si>
  <si>
    <t>Accusharp Cutting Tools Pvt Ltd</t>
  </si>
  <si>
    <t>Paragon Electric Switchgears Pvt Ltd</t>
  </si>
  <si>
    <t>Patil Lane Number 2</t>
  </si>
  <si>
    <t xml:space="preserve">Canada Corner </t>
  </si>
  <si>
    <t>Bosch Ltd (Disha Enterprises)</t>
  </si>
  <si>
    <t>Next to Mico Lorr</t>
  </si>
  <si>
    <t>Romsons Group Pvt Ltd</t>
  </si>
  <si>
    <t>V4030J LX</t>
  </si>
  <si>
    <t xml:space="preserve">Balaji </t>
  </si>
  <si>
    <t>Vadakkupattu, Sripermbudure</t>
  </si>
  <si>
    <t>Creative Propack Ltd</t>
  </si>
  <si>
    <t>Nilay Maharana</t>
  </si>
  <si>
    <t>Sedarapet</t>
  </si>
  <si>
    <t>Mr. Girish Kulkarni</t>
  </si>
  <si>
    <t>Suja Shoei Industries Pvt Ltd</t>
  </si>
  <si>
    <t>Mr. A.Murugadass</t>
  </si>
  <si>
    <t>Ongur (P.O)</t>
  </si>
  <si>
    <t>Thindivanam Taluk</t>
  </si>
  <si>
    <t>604305</t>
  </si>
  <si>
    <t>Stumpp Schuel Lewis Machine Tools Pvt Ltd</t>
  </si>
  <si>
    <t>Mr. Giridhar Kumay</t>
  </si>
  <si>
    <t>Jigani Hobli, Anekal Taluk</t>
  </si>
  <si>
    <t xml:space="preserve"> Jigani</t>
  </si>
  <si>
    <t>Unique Measurement Service</t>
  </si>
  <si>
    <t xml:space="preserve">Mr. Mani   </t>
  </si>
  <si>
    <t>Plant Incharge</t>
  </si>
  <si>
    <t>Pondur, Vallam Village</t>
  </si>
  <si>
    <t>602105</t>
  </si>
  <si>
    <t>DC0006</t>
  </si>
  <si>
    <t>Mr. Ranganath</t>
  </si>
  <si>
    <t>DC0007</t>
  </si>
  <si>
    <t xml:space="preserve"> Praveen Engg Industries</t>
  </si>
  <si>
    <t>Mr. Ganapathy</t>
  </si>
  <si>
    <t>Anumepalli Agraharam Village</t>
  </si>
  <si>
    <t>Bagepalli Road, Zuzavadi</t>
  </si>
  <si>
    <t>Ms. J. Yoga Bama</t>
  </si>
  <si>
    <t>SEZ, Phase-II</t>
  </si>
  <si>
    <t>Mr. N.Varadharaju</t>
  </si>
  <si>
    <t>Near IOB Bank</t>
  </si>
  <si>
    <t>Lakshmi Machine Works Ltd (Candid Micron Measurements Pvt Ltd)</t>
  </si>
  <si>
    <t>Kaniyur Post</t>
  </si>
  <si>
    <t>Via: Karamuttampatti</t>
  </si>
  <si>
    <t>Sunshine Innovative Electronics</t>
  </si>
  <si>
    <t>Mr. Ramachandra</t>
  </si>
  <si>
    <t>Cholurpalya</t>
  </si>
  <si>
    <t>Uno Minda Limited</t>
  </si>
  <si>
    <t>5030-Z25J LX</t>
  </si>
  <si>
    <t>Mr. Ponusamy</t>
  </si>
  <si>
    <t>Phase-II, Sipcot Industrial Park</t>
  </si>
  <si>
    <t>Vision Turnomech LLP</t>
  </si>
  <si>
    <t>Mr. Paras Shah &amp; Mr. Vishal Shah</t>
  </si>
  <si>
    <t>9375392900 &amp; 7039031188</t>
  </si>
  <si>
    <t>Vision Industrial Park</t>
  </si>
  <si>
    <t>Changa</t>
  </si>
  <si>
    <t>L.G. Balakrishnan &amp; Bros Ltd (Candid Micron Measurements Pvt Ltd)</t>
  </si>
  <si>
    <t>Industrial Area MIDC</t>
  </si>
  <si>
    <t>Tarsi Village</t>
  </si>
  <si>
    <t>Nagpur</t>
  </si>
  <si>
    <t>Mr. Anand K</t>
  </si>
  <si>
    <t>KGT Auto Plast</t>
  </si>
  <si>
    <t>Mr. Malmarugan/ Mr. R.Ilayaraja</t>
  </si>
  <si>
    <t>Plant Head / Development</t>
  </si>
  <si>
    <t xml:space="preserve">9047955246 / 9003094579  </t>
  </si>
  <si>
    <t>Thirumazhisai</t>
  </si>
  <si>
    <t>Takcim Technology</t>
  </si>
  <si>
    <t>Mr. J.F.Charles</t>
  </si>
  <si>
    <t>Athappa Gounden Pudur</t>
  </si>
  <si>
    <t>Press Metal Industries</t>
  </si>
  <si>
    <t>Mr. Tushar Chaudhari</t>
  </si>
  <si>
    <t>D-Road</t>
  </si>
  <si>
    <t>Siemens Ltd</t>
  </si>
  <si>
    <t>Mr. Ajit Palkar</t>
  </si>
  <si>
    <t>Quality Management</t>
  </si>
  <si>
    <t>E-76 MIDC</t>
  </si>
  <si>
    <t>Mr. Praveen Y</t>
  </si>
  <si>
    <t>Quality Assurance</t>
  </si>
  <si>
    <t>Mr. Sreenivasan.K</t>
  </si>
  <si>
    <t>GM- Quality</t>
  </si>
  <si>
    <t>Electronics City East</t>
  </si>
  <si>
    <t>Formar CV Brakes India Pvt Ltd</t>
  </si>
  <si>
    <t>Mr. Kunal Dhiman</t>
  </si>
  <si>
    <t>Fiducia Autotech Industries</t>
  </si>
  <si>
    <t xml:space="preserve">Mr. Ashwani Tiwari </t>
  </si>
  <si>
    <t>Khushkhera</t>
  </si>
  <si>
    <t>Niva Implement LLP</t>
  </si>
  <si>
    <t xml:space="preserve">Mr. Shubham Sukhle </t>
  </si>
  <si>
    <t>Project Manager</t>
  </si>
  <si>
    <t>Plot No. 244, Village: Karvad</t>
  </si>
  <si>
    <t>Tal: Vapi</t>
  </si>
  <si>
    <t>Pricol Precision Products Pvt Ltd (Sundaram Auto Components Ltd)</t>
  </si>
  <si>
    <t>Mr. Neeraj Pathak</t>
  </si>
  <si>
    <t>QAD</t>
  </si>
  <si>
    <t>S V M Engg and Tools</t>
  </si>
  <si>
    <t>Mr. Karthick. C</t>
  </si>
  <si>
    <t>SIDCO Post</t>
  </si>
  <si>
    <t>CRK CNC Industries</t>
  </si>
  <si>
    <t>4020-Z25J LX</t>
  </si>
  <si>
    <t>Mr. Chaitanya G</t>
  </si>
  <si>
    <t>Ganapathi Nagar</t>
  </si>
  <si>
    <t>Mr. Sateesh Babu</t>
  </si>
  <si>
    <t>AGM - Purchase</t>
  </si>
  <si>
    <t>Behind AVS Concrete, Off. Hosur Road</t>
  </si>
  <si>
    <t>Mr. Shivakumar Pujar</t>
  </si>
  <si>
    <t>Quality-Head</t>
  </si>
  <si>
    <t>Bidadi, Ramnagar</t>
  </si>
  <si>
    <t>Efficient Methods</t>
  </si>
  <si>
    <t>Mr. Sunil Pawar</t>
  </si>
  <si>
    <t>Production-Head</t>
  </si>
  <si>
    <t>International Aerospace Manufacturing Pvt Ltd</t>
  </si>
  <si>
    <t>Mr. Vadivel. M</t>
  </si>
  <si>
    <t>Bagalur Road, Vishwanathapuram</t>
  </si>
  <si>
    <t>Tpac Packaging India Pvt Ltd</t>
  </si>
  <si>
    <t>Mr. Pankaj Yadav</t>
  </si>
  <si>
    <t>New Product Development</t>
  </si>
  <si>
    <t>Mr. Naveen.B.G</t>
  </si>
  <si>
    <t>MRPC</t>
  </si>
  <si>
    <t>Bangalore East Taluk</t>
  </si>
  <si>
    <t>Kempapura Village</t>
  </si>
  <si>
    <t xml:space="preserve">Mr. Arun  </t>
  </si>
  <si>
    <t>Magadi Main Road</t>
  </si>
  <si>
    <t>Seegehalli</t>
  </si>
  <si>
    <t>Sintex- BAPL Ltd</t>
  </si>
  <si>
    <t xml:space="preserve">Mr. Suresh K  </t>
  </si>
  <si>
    <t>Ezhichur Village</t>
  </si>
  <si>
    <t>Sasmos HET Technologies Ltd</t>
  </si>
  <si>
    <t>Mr. Shivakumar Prasad</t>
  </si>
  <si>
    <t xml:space="preserve">SQA </t>
  </si>
  <si>
    <t>Channarayapatna Hobli, Devanahalli</t>
  </si>
  <si>
    <t>Behind to Tata Motors</t>
  </si>
  <si>
    <t>MIDC Pimpri</t>
  </si>
  <si>
    <t>Pentagon Assembly Automation Pvt Ltd</t>
  </si>
  <si>
    <t>Mr. Anand Joshi/ Mr. Murli Shirsat</t>
  </si>
  <si>
    <t>QA Head/ Mgr- Purchase</t>
  </si>
  <si>
    <t>9309847451 / 8390223583</t>
  </si>
  <si>
    <t>Chinchwad Industrial Area</t>
  </si>
  <si>
    <t>Sakvinyal Solutions</t>
  </si>
  <si>
    <t>QC- Manager</t>
  </si>
  <si>
    <t>Kalipalayam</t>
  </si>
  <si>
    <t>Vellamadai</t>
  </si>
  <si>
    <t>Indiia</t>
  </si>
  <si>
    <t>SVP Packaging (P) Ltd.</t>
  </si>
  <si>
    <t xml:space="preserve">Mr. Kalpesh Patil </t>
  </si>
  <si>
    <t xml:space="preserve">Executive-Purchase Dept </t>
  </si>
  <si>
    <t>Village- Vasare</t>
  </si>
  <si>
    <t>Palghar East</t>
  </si>
  <si>
    <t>MBV Aerospace Pvt Ltd</t>
  </si>
  <si>
    <r>
      <t xml:space="preserve">Mr. Vinay M </t>
    </r>
    <r>
      <rPr>
        <b/>
        <sz val="6"/>
        <color rgb="FF000000"/>
        <rFont val="Calibri"/>
        <family val="2"/>
      </rPr>
      <t>B</t>
    </r>
    <r>
      <rPr>
        <sz val="6"/>
        <color rgb="FF000000"/>
        <rFont val="Calibri"/>
        <family val="2"/>
        <charset val="204"/>
      </rPr>
      <t>/     Mr. Rakshith M</t>
    </r>
  </si>
  <si>
    <t>Founder CEO/ Exe-Accounts</t>
  </si>
  <si>
    <t xml:space="preserve">9886134061 / 7899197384 </t>
  </si>
  <si>
    <t>Mysuru</t>
  </si>
  <si>
    <t>Mr. K. Sridharan</t>
  </si>
  <si>
    <t>Arakonam Road 30</t>
  </si>
  <si>
    <t>Arakonam Road</t>
  </si>
  <si>
    <t>Sholingur</t>
  </si>
  <si>
    <t>J.J Glastronics Pvt Ltd</t>
  </si>
  <si>
    <t>Mr. Basavaraj</t>
  </si>
  <si>
    <t>Newlight Art Works Pvt Ltd</t>
  </si>
  <si>
    <t>Mr. Shishu Pal Sing</t>
  </si>
  <si>
    <t>Phase-1, Opp. ACP Police Office</t>
  </si>
  <si>
    <t>Boranada</t>
  </si>
  <si>
    <t>Survey No. 158/2/2, Survey No. 157/1/1</t>
  </si>
  <si>
    <t>Village: Kaman, Taluk: Vasai</t>
  </si>
  <si>
    <t>Master Components Ltd</t>
  </si>
  <si>
    <t>Aalpha Systems and Engg Pvt Ltd</t>
  </si>
  <si>
    <t>Mr. Ganesh Mallya</t>
  </si>
  <si>
    <t>Bashettalli</t>
  </si>
  <si>
    <t>Vform Technopack Pvt Ltd</t>
  </si>
  <si>
    <t>Mr. Mukesh Kumar</t>
  </si>
  <si>
    <t>TTC Industrial Area, Indira Nagar</t>
  </si>
  <si>
    <t>MIDC Industrial Area, Turbhe</t>
  </si>
  <si>
    <t>Mr. Pradeep Kulkarni</t>
  </si>
  <si>
    <t>QC- Dept</t>
  </si>
  <si>
    <t>MIDC Industrial Area</t>
  </si>
  <si>
    <t>SITRA (Candid Micron)</t>
  </si>
  <si>
    <t>Ms. Babita</t>
  </si>
  <si>
    <t>04222-574367</t>
  </si>
  <si>
    <t>Coimbatore Aerodrome Post</t>
  </si>
  <si>
    <t>Mr. Vishwanathan</t>
  </si>
  <si>
    <t>Maint- Head</t>
  </si>
  <si>
    <t>Vedasanthur (TK)</t>
  </si>
  <si>
    <t>Karur Via, Dindigul (DT)</t>
  </si>
  <si>
    <t>Karur</t>
  </si>
  <si>
    <t>Elgi Equipments Ltd (Candid Micron)</t>
  </si>
  <si>
    <t xml:space="preserve">Mr. M.Dakshinamoorthy </t>
  </si>
  <si>
    <t>Sr. Engineer Metrology</t>
  </si>
  <si>
    <t>Kinathukadavu</t>
  </si>
  <si>
    <t>Yashwitha Aerotech</t>
  </si>
  <si>
    <t>Mr. Pradeeo Gowda</t>
  </si>
  <si>
    <t>Thigalarapalya Main Road</t>
  </si>
  <si>
    <t>Delta CNC Applications</t>
  </si>
  <si>
    <t>Mr. V. Natarajan</t>
  </si>
  <si>
    <t>SML Plastcrafts Pvt Ltd</t>
  </si>
  <si>
    <t>Mr. satish Swami</t>
  </si>
  <si>
    <t>Detroj</t>
  </si>
  <si>
    <t>Rampura</t>
  </si>
  <si>
    <t>Anand Engg</t>
  </si>
  <si>
    <t>Mr. Arivu Shiva</t>
  </si>
  <si>
    <t>Near Bostik India Pvt Ltd</t>
  </si>
  <si>
    <t>Go Green Overseas</t>
  </si>
  <si>
    <t>Mr. Khunal Guhagiya/ Mr. Debojit Ganguly</t>
  </si>
  <si>
    <t>8128989635 / 9327568642</t>
  </si>
  <si>
    <t>Near Shiv Weigh Bridge</t>
  </si>
  <si>
    <t>Gondal Highway Shapar</t>
  </si>
  <si>
    <t>Bharati Innovative Technocrafts Pvt Ltd</t>
  </si>
  <si>
    <t>Mr. Govardhan Reddy</t>
  </si>
  <si>
    <t>Aparna Palm Groves</t>
  </si>
  <si>
    <t>Kompally</t>
  </si>
  <si>
    <t>Mr. Ramakrishna / Manoj Babu</t>
  </si>
  <si>
    <t>Tool Room/-</t>
  </si>
  <si>
    <t>9618526655 / 7095706444</t>
  </si>
  <si>
    <t>Jinnaram</t>
  </si>
  <si>
    <t>Tarson Products Ltd</t>
  </si>
  <si>
    <t>Mr. Suresh HV</t>
  </si>
  <si>
    <t>Aashirwad Filcomps Pvt Ltd</t>
  </si>
  <si>
    <t xml:space="preserve"> </t>
  </si>
  <si>
    <t>Mr. Rakesh Rawat</t>
  </si>
  <si>
    <t xml:space="preserve">Toshee Industries Pvt Ltd </t>
  </si>
  <si>
    <t>Mr. Dinesh Sharma</t>
  </si>
  <si>
    <t>Jadavapura Cross Road</t>
  </si>
  <si>
    <t>Mehasana</t>
  </si>
  <si>
    <t xml:space="preserve">Automatic Instruments Pvt Ltd </t>
  </si>
  <si>
    <t>Mr. Chaman Dixit/ Mr. Pramod Wadhwa</t>
  </si>
  <si>
    <t>Purchase / -</t>
  </si>
  <si>
    <t>9599011244 / 9811027785</t>
  </si>
  <si>
    <t>Begumpur Khatola</t>
  </si>
  <si>
    <t>Jayashree Polymers Pvt Ltd</t>
  </si>
  <si>
    <t>Mr. Shankar (MH)/ Mr. Raman (TN)</t>
  </si>
  <si>
    <t>QC-Head/ QA</t>
  </si>
  <si>
    <t>9545239254/ 9345832002</t>
  </si>
  <si>
    <t>Sy No. 167 (Pt) &amp; 171 (P)</t>
  </si>
  <si>
    <t>VMX-Hi Connectrors Pvt Ltd</t>
  </si>
  <si>
    <t>Eureka Extrusions and Finishers</t>
  </si>
  <si>
    <t>Mr. Ramakrishna</t>
  </si>
  <si>
    <t>Kadakola</t>
  </si>
  <si>
    <t>Lumax ALPS Alpine India Pvt Ltd</t>
  </si>
  <si>
    <t>Mr. Praveen Siwach</t>
  </si>
  <si>
    <t>Infocity - II</t>
  </si>
  <si>
    <t>Sector-33</t>
  </si>
  <si>
    <t>Ennovi Mobility Solutions India Pvt Ltd</t>
  </si>
  <si>
    <t>Mr. Jaydeep</t>
  </si>
  <si>
    <t>Vennala P.O</t>
  </si>
  <si>
    <t>Cochin</t>
  </si>
  <si>
    <t>Astr Defence Pvt Ltd</t>
  </si>
  <si>
    <t>Mr. Lokesh Koravi/ Ankush Koravi</t>
  </si>
  <si>
    <t>MD / CEO</t>
  </si>
  <si>
    <t>9448142160 / 9481731927</t>
  </si>
  <si>
    <t>Kalghatgi Taluk</t>
  </si>
  <si>
    <t>Dharwad</t>
  </si>
  <si>
    <t>Wipro Enterprises Pvt Ltd</t>
  </si>
  <si>
    <t>Mr. Shivraj Patil</t>
  </si>
  <si>
    <t>Asst. Engineer- QA</t>
  </si>
  <si>
    <t>Bangalore North</t>
  </si>
  <si>
    <t>Bhavani Machining Solutions Pvt Ltd</t>
  </si>
  <si>
    <t>1st Left Cross Electronics City</t>
  </si>
  <si>
    <t>Phase-2, Doddanagamangala</t>
  </si>
  <si>
    <t>Siddhatva Engg Pvt Ltd</t>
  </si>
  <si>
    <t>Mr. Dinesh</t>
  </si>
  <si>
    <t>Opp. Western Weigh Bridge</t>
  </si>
  <si>
    <t>Nanekarwadi, Chakan</t>
  </si>
  <si>
    <t>BRS Precision Manufacturing Pvt. Ltd.,</t>
  </si>
  <si>
    <t>Kanakapura Taluk</t>
  </si>
  <si>
    <t>Hulgol Aerospace Private Limited</t>
  </si>
  <si>
    <t>Doddanna Industrial Area</t>
  </si>
  <si>
    <t>Hegganahalli</t>
  </si>
  <si>
    <t>Bosch Ltd</t>
  </si>
  <si>
    <t>Mr. Jayakaran</t>
  </si>
  <si>
    <t>Oragadam, Sriperumbudur</t>
  </si>
  <si>
    <t>2015J LX-LX</t>
  </si>
  <si>
    <t>Mr. Jyotish</t>
  </si>
  <si>
    <t>Sinhal Udyog Pvt Ltd</t>
  </si>
  <si>
    <t xml:space="preserve">Mr. Nikunj Gupta/ Mr. Surender </t>
  </si>
  <si>
    <t>8860253376/ 9017403007</t>
  </si>
  <si>
    <t>Elcko Mould Centre (Kads Engg Solutions)</t>
  </si>
  <si>
    <t>Mr. Anuraj Bhasi</t>
  </si>
  <si>
    <t>Kayamkulam</t>
  </si>
  <si>
    <t>Alapuzha</t>
  </si>
  <si>
    <t>Brukar Metal Components Pvt Ltd</t>
  </si>
  <si>
    <t>Mr. Subramaniam/ Mr. Karthik</t>
  </si>
  <si>
    <t>MD/ QC-Head</t>
  </si>
  <si>
    <t>9663313186 / 9164333902</t>
  </si>
  <si>
    <t>Gottigeri Main Road</t>
  </si>
  <si>
    <t>Anjanapura Post</t>
  </si>
  <si>
    <t>Spark Engineers</t>
  </si>
  <si>
    <t>Mr. Nagaraj Karnan</t>
  </si>
  <si>
    <t>Purchase dept</t>
  </si>
  <si>
    <t>Rollon Hydraulics Pvt Ltd</t>
  </si>
  <si>
    <t>Mr. Anand Patil</t>
  </si>
  <si>
    <t>8th Cross</t>
  </si>
  <si>
    <t>Multitek Auto Parts</t>
  </si>
  <si>
    <t>Mr. Ranjit Kumar</t>
  </si>
  <si>
    <t>Obedanahalli</t>
  </si>
  <si>
    <t>Voltkon Switchgear Pvt Ltd</t>
  </si>
  <si>
    <t>Mr. Dhananjay Sinha</t>
  </si>
  <si>
    <t>Eco Tech-III</t>
  </si>
  <si>
    <t>Mr. Sanjay Chaudhary</t>
  </si>
  <si>
    <t>ESE ESP Mfg</t>
  </si>
  <si>
    <t>Process MIDC Area, Nagpur</t>
  </si>
  <si>
    <t>A.C Industries</t>
  </si>
  <si>
    <t>Mr. Sandip Hase</t>
  </si>
  <si>
    <t>Sinnar</t>
  </si>
  <si>
    <t>Connectwell Industries Pvt Ltd.</t>
  </si>
  <si>
    <t>1157/    E-1011</t>
  </si>
  <si>
    <t>Mr. Santosh Shirwalkar/ Mr. Amol Patil</t>
  </si>
  <si>
    <t>7021270051/ 9767297067</t>
  </si>
  <si>
    <t>Addl- Amberanath</t>
  </si>
  <si>
    <t>Ambernath</t>
  </si>
  <si>
    <t>Mr. Jeetinder Pareek</t>
  </si>
  <si>
    <t>PJ</t>
  </si>
  <si>
    <t>Panacea Medical Technologies Pvt Ltd</t>
  </si>
  <si>
    <t>Mr. Asif Pasha</t>
  </si>
  <si>
    <t xml:space="preserve">Malur KIADB Industrial </t>
  </si>
  <si>
    <t>Malur</t>
  </si>
  <si>
    <t>QA-Dept</t>
  </si>
  <si>
    <t>R&amp;N Techauto Industries Pvt Ltd</t>
  </si>
  <si>
    <t>Mr. Rajendra Chauhan</t>
  </si>
  <si>
    <t>Anvish Precision</t>
  </si>
  <si>
    <t>Mr. Clyde Lobo</t>
  </si>
  <si>
    <t>Jeppu, Morgan's Gate</t>
  </si>
  <si>
    <t>Marnamikatte</t>
  </si>
  <si>
    <t>Mangalore</t>
  </si>
  <si>
    <t>Prakathi Industries</t>
  </si>
  <si>
    <t xml:space="preserve">Mr. Rajendran </t>
  </si>
  <si>
    <t>Eazil Nagar main Road</t>
  </si>
  <si>
    <t>SIPCOT Post</t>
  </si>
  <si>
    <t>Aequs Consumer Products Pvt Ltd</t>
  </si>
  <si>
    <t>Mr. Pramod Mankari</t>
  </si>
  <si>
    <t>Hissa No. 8,9,10,11 &amp; 12</t>
  </si>
  <si>
    <t>Itagatti Village, Dhrwad Hobli</t>
  </si>
  <si>
    <t>Techno Springs India Pvt Ltd</t>
  </si>
  <si>
    <t>Mr. Vikas Singh</t>
  </si>
  <si>
    <t>Mersen India Pvt Ltd</t>
  </si>
  <si>
    <t>Mr. Vinayak Hebballi</t>
  </si>
  <si>
    <t>RRP S4E Innovation Pvt Ltd</t>
  </si>
  <si>
    <t>Mr. Ranjit Balan</t>
  </si>
  <si>
    <t>New Mumbai</t>
  </si>
  <si>
    <t>Kaanra Technology Inc</t>
  </si>
  <si>
    <t>Mr. Kannan Parthsarathy</t>
  </si>
  <si>
    <t>7th Link Road, Rukmani Colony</t>
  </si>
  <si>
    <t>Nehrunagar, Kottivakam</t>
  </si>
  <si>
    <t>Karur Via</t>
  </si>
  <si>
    <t>Dindigul</t>
  </si>
  <si>
    <t>Rotary Connectors P Ltd</t>
  </si>
  <si>
    <t>Mr. Shivanand</t>
  </si>
  <si>
    <t>Dobaspet</t>
  </si>
  <si>
    <t>Primaeam Solutions Pvt Ltd</t>
  </si>
  <si>
    <t xml:space="preserve">Mr. Ranjith   </t>
  </si>
  <si>
    <t>Tower C</t>
  </si>
  <si>
    <t>Nassa Polymers</t>
  </si>
  <si>
    <t>Mr. Balaraman Venkatesh</t>
  </si>
  <si>
    <t>Kakkalur</t>
  </si>
  <si>
    <t>Vision Tec</t>
  </si>
  <si>
    <t>Mr. Suhas Udupa</t>
  </si>
  <si>
    <t>Mr. Jagadeesan/ Mr. Balamurugan</t>
  </si>
  <si>
    <t>8754004892 / 8012304864</t>
  </si>
  <si>
    <t>Denkanikottai Road</t>
  </si>
  <si>
    <t>Nicomatic India Electronics Pvt Ltd</t>
  </si>
  <si>
    <t>Mr. Gajendran/ Mr. Arun Kumar</t>
  </si>
  <si>
    <t>QC/ Purchase</t>
  </si>
  <si>
    <t>9886476946 / 9916793626</t>
  </si>
  <si>
    <t xml:space="preserve">KIADB Industrial Area, Jala Hobli, </t>
  </si>
  <si>
    <t>Mahadeva Kodigehalli Village</t>
  </si>
  <si>
    <t>Indian Institute of Technology (Mumbai)</t>
  </si>
  <si>
    <t>Mr. Shashank Shukla</t>
  </si>
  <si>
    <t xml:space="preserve">R&amp;D M/c Tools Lab
</t>
  </si>
  <si>
    <t>Vignesh Polymers India Pvt Ltd</t>
  </si>
  <si>
    <t>Mr. Mohankumar</t>
  </si>
  <si>
    <t xml:space="preserve">Vadagal Village, Eachur Post, </t>
  </si>
  <si>
    <t xml:space="preserve">Kancheepuram   </t>
  </si>
  <si>
    <t xml:space="preserve">Mr. Sushil Bari </t>
  </si>
  <si>
    <t>At-Post: Umale</t>
  </si>
  <si>
    <t>Mr. Sadanad Gharat</t>
  </si>
  <si>
    <t>Pushpagiri CNC</t>
  </si>
  <si>
    <t>Mr. Halaiah A.L</t>
  </si>
  <si>
    <t>Modison Ltd</t>
  </si>
  <si>
    <t>Mr. Navnath Shirole/ Dilshad</t>
  </si>
  <si>
    <t>GM-Purchase/ QC Vapi Plant</t>
  </si>
  <si>
    <t>022-2202 6437 / 9374784651</t>
  </si>
  <si>
    <t>GIDC, Vapi</t>
  </si>
  <si>
    <t>Aimtech Toolings</t>
  </si>
  <si>
    <t>Mr. Chandru. D</t>
  </si>
  <si>
    <t>Sriganda Nagar</t>
  </si>
  <si>
    <t>Protectron Mechatronics Pvt Ltd</t>
  </si>
  <si>
    <t>Mr. Sachin Ujalambkar</t>
  </si>
  <si>
    <t>BSK Industrial Layout</t>
  </si>
  <si>
    <t>BSK Iind Stage</t>
  </si>
  <si>
    <t>SR Automats</t>
  </si>
  <si>
    <t>Mr. Ramanath</t>
  </si>
  <si>
    <t>Industrial Town</t>
  </si>
  <si>
    <t>Rajaji Nagar</t>
  </si>
  <si>
    <t>Veer-O-Metals Pvt Ltd</t>
  </si>
  <si>
    <t>Mr. Chennappa. K</t>
  </si>
  <si>
    <t>Heggadadevapura Village</t>
  </si>
  <si>
    <t>LPS Bossard Pvt Ltd</t>
  </si>
  <si>
    <t>Mr. Dravin Kumar</t>
  </si>
  <si>
    <t>QA- Asst Manager</t>
  </si>
  <si>
    <t>Kharawar Byepass</t>
  </si>
  <si>
    <t>AR Precision</t>
  </si>
  <si>
    <t>Behind Omax Auto</t>
  </si>
  <si>
    <t>Jigani Post, Anekal Taluk</t>
  </si>
  <si>
    <t>Carboloy Precision Stamping</t>
  </si>
  <si>
    <t>Chinnavedampatti PO</t>
  </si>
  <si>
    <t>Speciality Sintered Products P Ltd</t>
  </si>
  <si>
    <t>Mr. Sharad Kobal</t>
  </si>
  <si>
    <t>Sr. Manager Purchase</t>
  </si>
  <si>
    <t>Chakan-Talegaon Road,</t>
  </si>
  <si>
    <t>Elemech Engg Solution (Bhavani Industries)</t>
  </si>
  <si>
    <t>Mr. Siddegowda</t>
  </si>
  <si>
    <t xml:space="preserve">Thigalarapaly Main Road, </t>
  </si>
  <si>
    <t>Srilakshmi Industrial Estate</t>
  </si>
  <si>
    <t>Resolute Star Pvt Ltd (Skyquad Electronics &amp; Appliances Pvt Ltd)</t>
  </si>
  <si>
    <t>Mr. Anandharaja</t>
  </si>
  <si>
    <t>Qc-Dept</t>
  </si>
  <si>
    <t>Fab City</t>
  </si>
  <si>
    <t>Maheshwaram</t>
  </si>
  <si>
    <t>Mr.S. Balasubramani</t>
  </si>
  <si>
    <t>Anekal taluk</t>
  </si>
  <si>
    <t xml:space="preserve">Attibele   </t>
  </si>
  <si>
    <t>SFO Technologies Pvt Ltd</t>
  </si>
  <si>
    <t>Ms. M. Padmavathy</t>
  </si>
  <si>
    <t>Erumathala</t>
  </si>
  <si>
    <t>Aluva</t>
  </si>
  <si>
    <t>HSIIDC Alipur</t>
  </si>
  <si>
    <t>Barwala District</t>
  </si>
  <si>
    <t>Panchkula</t>
  </si>
  <si>
    <t>Shiv Shakti Presstech Pvt Ltd</t>
  </si>
  <si>
    <t>Mr. Paresh Vasaikar</t>
  </si>
  <si>
    <t>SGB Precision Tools</t>
  </si>
  <si>
    <t>Mr. Venkatesan</t>
  </si>
  <si>
    <t>Muniswamappa Layout</t>
  </si>
  <si>
    <t>Bommanahalli</t>
  </si>
  <si>
    <t>Direct</t>
  </si>
  <si>
    <t>Divinestamp Pvt Ltd</t>
  </si>
  <si>
    <t>Mr. PLR Reddy</t>
  </si>
  <si>
    <t>Industrial Area, Anumepalli Village</t>
  </si>
  <si>
    <t>Zuzuvadi Industrial Zone</t>
  </si>
  <si>
    <t>Security Gate</t>
  </si>
  <si>
    <t>Mr. Binu Gopinath</t>
  </si>
  <si>
    <t xml:space="preserve">4th Phase </t>
  </si>
  <si>
    <t>Seyal Technologies Pvt Ltd</t>
  </si>
  <si>
    <t>Mr. Sriharan Balasubramanian</t>
  </si>
  <si>
    <t>Asst. Manager- Operations</t>
  </si>
  <si>
    <t>Cheran Industrial Estate</t>
  </si>
  <si>
    <t>Sharp Nagar, Kalapatti</t>
  </si>
  <si>
    <t>Vishnu Moulds &amp; Dies</t>
  </si>
  <si>
    <t>Mr. Janakarajan</t>
  </si>
  <si>
    <t>Kappalur</t>
  </si>
  <si>
    <t>Auronex Precision Pvt ltd</t>
  </si>
  <si>
    <t>Near TVS Cross</t>
  </si>
  <si>
    <t>Metalyst Precision Pvt Ltd</t>
  </si>
  <si>
    <t>Mr. Manojkumar Boolargi</t>
  </si>
  <si>
    <t>Veerabhadreshwara Nagar</t>
  </si>
  <si>
    <t>Herohalli</t>
  </si>
  <si>
    <t>Auolab</t>
  </si>
  <si>
    <t>Mr. CH.Yatheendra Yasasvi</t>
  </si>
  <si>
    <t>Dy. Manager | SCM</t>
  </si>
  <si>
    <t xml:space="preserve">Leggett &amp; Platt Automotive (I) Pvt Ltd </t>
  </si>
  <si>
    <t>Mr. Akash/ Mr. Ravana</t>
  </si>
  <si>
    <t>7338723301/ 6379965636</t>
  </si>
  <si>
    <t xml:space="preserve">South Phase </t>
  </si>
  <si>
    <t>Ambattur Industrial Area</t>
  </si>
  <si>
    <t>ABB India Ltd</t>
  </si>
  <si>
    <t>Mr. Manoj B L</t>
  </si>
  <si>
    <t>Basavanahalli Village</t>
  </si>
  <si>
    <t>Kasaba Hobli, Nelamangala Taluk</t>
  </si>
  <si>
    <t>Work Permit</t>
  </si>
  <si>
    <t xml:space="preserve">Vitesco Technologies India Pvt Ltd </t>
  </si>
  <si>
    <t>Mr. Nilesh Khandekar</t>
  </si>
  <si>
    <t>QC Head</t>
  </si>
  <si>
    <t>Post: NavLak</t>
  </si>
  <si>
    <t>Taluk Maval</t>
  </si>
  <si>
    <t>Amar Equipments Pvt Ltd</t>
  </si>
  <si>
    <t xml:space="preserve">Mr.Tushar Rikame  </t>
  </si>
  <si>
    <t>Sr. Purchase Engineer</t>
  </si>
  <si>
    <t>Opp. ICICI Bank</t>
  </si>
  <si>
    <t>Bhandup West</t>
  </si>
  <si>
    <t>KSH International Ltd</t>
  </si>
  <si>
    <t xml:space="preserve">Mrs. Pooja Jadhav </t>
  </si>
  <si>
    <t>Palve Khurd</t>
  </si>
  <si>
    <t>Supa MIDC</t>
  </si>
  <si>
    <t>Ahilya Nagar</t>
  </si>
  <si>
    <t>AR Technoplast Pvt Ltd</t>
  </si>
  <si>
    <t>Mr. Akshay Panda</t>
  </si>
  <si>
    <t>Bangalore - 8</t>
  </si>
  <si>
    <t>Maharashtra - 2</t>
  </si>
  <si>
    <t>Gujarat - 5</t>
  </si>
  <si>
    <t>NCR - 1</t>
  </si>
  <si>
    <t>Chennai - 40</t>
  </si>
  <si>
    <t>Coimbatore - 41</t>
  </si>
  <si>
    <t>Hyderabad - 6</t>
  </si>
  <si>
    <t>Kolkata-30</t>
  </si>
  <si>
    <t>Clust</t>
  </si>
  <si>
    <t>Off</t>
  </si>
  <si>
    <t>Call Entry</t>
  </si>
  <si>
    <t>Prioty</t>
  </si>
  <si>
    <t>Sun</t>
  </si>
  <si>
    <t>Tele/ Support/Courier</t>
  </si>
  <si>
    <t>Service / Repair</t>
  </si>
  <si>
    <t>S</t>
  </si>
  <si>
    <t>Howrah</t>
  </si>
  <si>
    <t>ACSC / Calib</t>
  </si>
  <si>
    <t>Instal/Train/ Upgrade</t>
  </si>
  <si>
    <t>I</t>
  </si>
  <si>
    <t>PMV</t>
  </si>
  <si>
    <t>P</t>
  </si>
  <si>
    <t>Kalol</t>
  </si>
  <si>
    <t>Demo</t>
  </si>
  <si>
    <t>Halol</t>
  </si>
  <si>
    <t>Trichy Rd</t>
  </si>
  <si>
    <t>Future(Pending PO)</t>
  </si>
  <si>
    <t>Binola /Bawal/Nimran</t>
  </si>
  <si>
    <t>Pallakad Rd</t>
  </si>
  <si>
    <t>Wed</t>
  </si>
  <si>
    <t>Mpalyam Rd</t>
  </si>
  <si>
    <t>Fri</t>
  </si>
  <si>
    <t>Nelamangala</t>
  </si>
  <si>
    <t>Ennore</t>
  </si>
  <si>
    <t>Chiplun</t>
  </si>
  <si>
    <t>Ex Mumbai</t>
  </si>
  <si>
    <t>Tanjavur</t>
  </si>
  <si>
    <t>Ex Pune</t>
  </si>
  <si>
    <t>Same day return</t>
  </si>
  <si>
    <t>Online/Email Permit</t>
  </si>
  <si>
    <t>Police Clearnce</t>
  </si>
  <si>
    <t>Online/Emial Permit</t>
  </si>
  <si>
    <t>sun</t>
  </si>
  <si>
    <t>Sat - Sun</t>
  </si>
  <si>
    <t xml:space="preserve">Thu </t>
  </si>
  <si>
    <t>Thu</t>
  </si>
  <si>
    <t> </t>
  </si>
  <si>
    <t>Gate Entry</t>
  </si>
  <si>
    <t>#4 9th Main</t>
  </si>
  <si>
    <t>99/49, 2nd Main Industrial Town,</t>
  </si>
  <si>
    <t>TS No. 348/1 &amp; 2 (New No.1/207)</t>
  </si>
  <si>
    <t>No.10(old No.15) 1st Floor</t>
  </si>
  <si>
    <t>3A Type II</t>
  </si>
  <si>
    <t>11 M.T.H. Rd</t>
  </si>
  <si>
    <t>13/5 Singasandra</t>
  </si>
  <si>
    <t>22/4 Heavy Indl Ar</t>
  </si>
  <si>
    <t>Y-50 Industrial Area Okhla</t>
  </si>
  <si>
    <t>365/B Survey no 44/2</t>
  </si>
  <si>
    <t>#126 &amp; 127 Bommasandra Indl A</t>
  </si>
  <si>
    <t>(A Unit of GKD Cha Sangothipalayam</t>
  </si>
  <si>
    <t>238A, V.J.Complex,</t>
  </si>
  <si>
    <t>P.O.Box 6887 Naganathapura Plant</t>
  </si>
  <si>
    <t>Sub Division Plot Nn.52 Sipcot Industrial Complex</t>
  </si>
  <si>
    <t>45/7 Gubbanna Est,</t>
  </si>
  <si>
    <t>Plot No, 471-D1, 3rd Main, VI Phase,</t>
  </si>
  <si>
    <t xml:space="preserve">11 </t>
  </si>
  <si>
    <t>Plot No.PE-37 Near Rasulpura Village</t>
  </si>
  <si>
    <t>Plot No.467,68,69 Site 1/c,4th Phase</t>
  </si>
  <si>
    <t>147F 8th Main</t>
  </si>
  <si>
    <t>S.no.46/47 Hosur Road</t>
  </si>
  <si>
    <t>F2/2 Chikalthana indl Ar</t>
  </si>
  <si>
    <t>4 Prakash Mension</t>
  </si>
  <si>
    <t>A-8 sector-57</t>
  </si>
  <si>
    <t>3/551 Kundrathur Main Roa</t>
  </si>
  <si>
    <t>3A,TYPE – II, I.E. KUKATPALLY.</t>
  </si>
  <si>
    <t>#26/A II Main</t>
  </si>
  <si>
    <t>5/293 Kundrathur Main Roa</t>
  </si>
  <si>
    <t>#23 KHB Industrial Area</t>
  </si>
  <si>
    <t>T-107 M.I.D.C.,</t>
  </si>
  <si>
    <t>Nicholas Power To Ganpatrao Kadam M</t>
  </si>
  <si>
    <t>5A Bommasandra Indl A</t>
  </si>
  <si>
    <t>#3 Old Mahabalipuram</t>
  </si>
  <si>
    <t>#B-8 KSSIDC Industrial Estate</t>
  </si>
  <si>
    <t>F-44 Sector-8</t>
  </si>
  <si>
    <t xml:space="preserve">Peenya </t>
  </si>
  <si>
    <t>SHED#B1 KSSIDC Industrial Est</t>
  </si>
  <si>
    <t>Plot B-18, TTC Industrial Area</t>
  </si>
  <si>
    <t>S.No.51/1/19 Narhe Road</t>
  </si>
  <si>
    <t>No. 1 Talaghatapura</t>
  </si>
  <si>
    <t>12/A Industrial Area</t>
  </si>
  <si>
    <t>A-4 SIPCOT,Indl Growth C</t>
  </si>
  <si>
    <t>139/2 Hosur Road</t>
  </si>
  <si>
    <t>No:1178 Ghotawade Phata</t>
  </si>
  <si>
    <t>#31 Police Office Road</t>
  </si>
  <si>
    <t>18-19 2nd Cross,Santhi Nag</t>
  </si>
  <si>
    <t>107 JP Road,Rajesh Build</t>
  </si>
  <si>
    <t>Plot No.71/1B/11 Paras Co-op Indl Est</t>
  </si>
  <si>
    <t>106 Madhu Indl Est</t>
  </si>
  <si>
    <t>#29/1A Chandeney Chowk</t>
  </si>
  <si>
    <t>Plot No.5 Engine Bearing Division</t>
  </si>
  <si>
    <t># 97 &amp; 100 Petechennapa Indl Es</t>
  </si>
  <si>
    <t>147/G 10th Main 3rd Block</t>
  </si>
  <si>
    <t>T1 &amp; T2 SIPCOT Ind. Park</t>
  </si>
  <si>
    <t>Mo.133 Old M.puram Road</t>
  </si>
  <si>
    <t>OCF Division, D11/12 Industrial Estate</t>
  </si>
  <si>
    <t>DP No.73/74 SIDCO Industrial Esta</t>
  </si>
  <si>
    <t>2701 Phase IV</t>
  </si>
  <si>
    <t>#966 18B Cross,2nd Main</t>
  </si>
  <si>
    <t>Shed No C/15 Veersandra Ind. Area</t>
  </si>
  <si>
    <t>1/5 16B Vadakuthottam Salai</t>
  </si>
  <si>
    <t>2c, 4th Cross Dyavasandra Ind. Are</t>
  </si>
  <si>
    <t>#340 9th cross,4th phase</t>
  </si>
  <si>
    <t>No.20,5th Main 3rd Phase</t>
  </si>
  <si>
    <t>38/5,6 Ramtekadi Ind. Estat</t>
  </si>
  <si>
    <t>Forging Division Pillaippampalayam</t>
  </si>
  <si>
    <t>D-90 Industrial Estate</t>
  </si>
  <si>
    <t>Plot No 32 HSIDC</t>
  </si>
  <si>
    <t>Navada Village, Fathepur P.O.,</t>
  </si>
  <si>
    <t>#2 M.Geetha Bldg. G.N Ind Area,</t>
  </si>
  <si>
    <t>57/58 Milestone Binola Industrial Area</t>
  </si>
  <si>
    <t>15A / 2, FCI Road Bharathi Nagar</t>
  </si>
  <si>
    <t>14 / 3 Unit-Faridabad IP</t>
  </si>
  <si>
    <t>41, JC Ind. Estate Yelachenahalli</t>
  </si>
  <si>
    <t>3 &amp; 4, New Veoor Ind.Estat</t>
  </si>
  <si>
    <t>Plot No.B72 SIPCOT</t>
  </si>
  <si>
    <t>Bldg.No.3 Terminal House</t>
  </si>
  <si>
    <t>Bldg. No.1 Gut No.312/2</t>
  </si>
  <si>
    <t>Sub Division Plot N Sipcot Industrial Complex</t>
  </si>
  <si>
    <t>3/139 OldMahabalipuram R</t>
  </si>
  <si>
    <t>139 Karanai Village</t>
  </si>
  <si>
    <t>A 25 MIDC</t>
  </si>
  <si>
    <t>No. 25 Tamka Industrial Esta</t>
  </si>
  <si>
    <t>Mannur Koottu Roa Thodukadu (Post)</t>
  </si>
  <si>
    <t>R.S No. 74/2B Madukkarai Main Ro</t>
  </si>
  <si>
    <t>No 12, Kumar Inds Estate</t>
  </si>
  <si>
    <t>SP-25, 26&amp;27, XVII phase,</t>
  </si>
  <si>
    <t>Plot No.122 Exp Promotion Indsl</t>
  </si>
  <si>
    <t>4A, Venkatesan nagar,</t>
  </si>
  <si>
    <t>45/2,19th Cross, 9th Main</t>
  </si>
  <si>
    <t>55A Yashwant Colony</t>
  </si>
  <si>
    <t>#135/2 Maruthi Industrial Ar</t>
  </si>
  <si>
    <t>C-92 PIPDIC</t>
  </si>
  <si>
    <t>#21 Bidadi Indstrl Area</t>
  </si>
  <si>
    <t>No.241, Avadi, Kaduvetti,</t>
  </si>
  <si>
    <t>G.I.D.C. Phase - II,</t>
  </si>
  <si>
    <t>A-8, Sector 57,</t>
  </si>
  <si>
    <t xml:space="preserve">#15 Joo Koon Circle </t>
  </si>
  <si>
    <t>524-Group GramPanchayat Pimpalghar, Bhoomi Industrial Estate</t>
  </si>
  <si>
    <t>#20 SITRA - Kalapatti Roa</t>
  </si>
  <si>
    <t>ITI Industrial Estate Mahadevapura</t>
  </si>
  <si>
    <t>L. Permata Raya Lo Kawasan Industri KIIC</t>
  </si>
  <si>
    <t>PlotNo.203/9, Phase II. IDA,</t>
  </si>
  <si>
    <t>123/4 Sengothipalayam Roa</t>
  </si>
  <si>
    <t>G-6, Gee Gee Crescent</t>
  </si>
  <si>
    <t>25/A/1/5 SIDCO Indl Estate</t>
  </si>
  <si>
    <t>No.14-P Phase-II</t>
  </si>
  <si>
    <t>B 0 1/27, Shri Narayan Niwas,</t>
  </si>
  <si>
    <t>Tamaraikulam P.O.,</t>
  </si>
  <si>
    <t>236/1, Nageshwara Rao,1stC</t>
  </si>
  <si>
    <t>D-14 D-Block, New KR Roa</t>
  </si>
  <si>
    <t>107, Sidco Indl Estate</t>
  </si>
  <si>
    <t>Unit III, Plot.#8B Electronics City</t>
  </si>
  <si>
    <t>655-656 M.I.E.</t>
  </si>
  <si>
    <t>P.O.Box - 25 Dayasagar Indl Estate</t>
  </si>
  <si>
    <t>Village Bairsen (Manjholi)</t>
  </si>
  <si>
    <t>#85/A Unit II</t>
  </si>
  <si>
    <t>Gala No.8/9 Ground Floor</t>
  </si>
  <si>
    <t>#147 F.I.E</t>
  </si>
  <si>
    <t>D-1/4 MIDC</t>
  </si>
  <si>
    <t>2D Nelikuppam road,</t>
  </si>
  <si>
    <t>D 11/12 Industrial Estate</t>
  </si>
  <si>
    <t>#53B Bommasandra Indl A</t>
  </si>
  <si>
    <t># Trichy Road</t>
  </si>
  <si>
    <t>No.7    Techno Industrial Park</t>
  </si>
  <si>
    <t>#82, II Main II Block,</t>
  </si>
  <si>
    <t>Gala no.23 7-Udyog Nagar</t>
  </si>
  <si>
    <t>Gold Hill Sqare, No. 690,</t>
  </si>
  <si>
    <t>Plot No.112 Road No.4, Phase 2</t>
  </si>
  <si>
    <t>27-D V.N.Industrial Estate</t>
  </si>
  <si>
    <t>L-15 SIDCO Indl state</t>
  </si>
  <si>
    <t>Off NH-4, Gat No. 318/B/1</t>
  </si>
  <si>
    <t>Plot No.B8 to B13 + 20 Meter Road Portion +B15 to B16</t>
  </si>
  <si>
    <t>5A-5B/6A, KIADB Industrieal Are</t>
  </si>
  <si>
    <t>P.B. No.3000 Hosur Road</t>
  </si>
  <si>
    <t>SP - 663 RIICO - Indl Area</t>
  </si>
  <si>
    <t>D13 Nandanvan Indl Estat</t>
  </si>
  <si>
    <t>W 53 MIDC, Phase II</t>
  </si>
  <si>
    <t>Unit-II Plot No.10 &amp; 11</t>
  </si>
  <si>
    <t>209, A.J.C. Bose Road (71)</t>
  </si>
  <si>
    <t># 17/3, Arakere,</t>
  </si>
  <si>
    <t>Plot No.11 Sector-5</t>
  </si>
  <si>
    <t>M-6, RMD yard</t>
  </si>
  <si>
    <t>PB No. 90633/4, KRDN Trust Estate</t>
  </si>
  <si>
    <t>A-259 MIDC</t>
  </si>
  <si>
    <t>No.14 Tharatola road</t>
  </si>
  <si>
    <t>16 Visweswariah Industr</t>
  </si>
  <si>
    <t>15B Bommasandra Indl ar</t>
  </si>
  <si>
    <t>JI. Permata Raya Lo Kawasan Industri KIIC</t>
  </si>
  <si>
    <t>Survey No. 683, Industrial Estate,</t>
  </si>
  <si>
    <t>Sector No 7, Plot No.145-A,</t>
  </si>
  <si>
    <t>Plot No 4 Sector 1A</t>
  </si>
  <si>
    <t>CST No. 132 Opp. Jain Temple,</t>
  </si>
  <si>
    <t>D7, Phase 2</t>
  </si>
  <si>
    <t>#2 Raguvir Society</t>
  </si>
  <si>
    <t>Middlemarch Houe Siskin Drive</t>
  </si>
  <si>
    <t>Plot No. 20 Sector - 5</t>
  </si>
  <si>
    <t>Gat 409/1, Nanekarwadi</t>
  </si>
  <si>
    <t># Near Melmaruvathur</t>
  </si>
  <si>
    <t>SP-1 Salalsar Industrial are</t>
  </si>
  <si>
    <t>Plot No.S-54 SIPCOT Industrial Area</t>
  </si>
  <si>
    <t>41, Bhimenahalli</t>
  </si>
  <si>
    <t>260A Bommasandra Indust</t>
  </si>
  <si>
    <t>PostBox No. 6m Usilampatti Road</t>
  </si>
  <si>
    <t>354 Udyog Vihar</t>
  </si>
  <si>
    <t>Govt. of India Department of Space</t>
  </si>
  <si>
    <t>B 30/31 MIDC</t>
  </si>
  <si>
    <t>Plot 2 Bommasandra Ind Ar</t>
  </si>
  <si>
    <t># 04 2nd Cross, 4th Main</t>
  </si>
  <si>
    <t>126B/1A1 Vandalur-</t>
  </si>
  <si>
    <t>Plot No. 106 Ichalkaranji Indl.Est.</t>
  </si>
  <si>
    <t>#63, Industrial Estate</t>
  </si>
  <si>
    <t>Khasra No.1300 Village Mandhala</t>
  </si>
  <si>
    <t>C-33 MIDC</t>
  </si>
  <si>
    <t>NO. 114 Thiruneermalai Main</t>
  </si>
  <si>
    <t>C17, C Road Nice Area</t>
  </si>
  <si>
    <t>No.5/229 Padur Road,Irulapala</t>
  </si>
  <si>
    <t>S.No.123/2A1B Thiru-Vi-Ka- Street,</t>
  </si>
  <si>
    <t>Chakan Ambetan Road</t>
  </si>
  <si>
    <t>93 Survey#166</t>
  </si>
  <si>
    <t>B-70 MIDC</t>
  </si>
  <si>
    <t>F-51 MIDC</t>
  </si>
  <si>
    <t>Village Nawada Fat P O Sikanderpur Bad</t>
  </si>
  <si>
    <t>Plot no 5 Survey no 255/1</t>
  </si>
  <si>
    <t>No, 1 Sivagangai Main Roa</t>
  </si>
  <si>
    <t>S.F No. 144/1 Navamal Kapper Villa</t>
  </si>
  <si>
    <t>B 22 Dyavasandra Ind. Are</t>
  </si>
  <si>
    <t>Unit 64 Polambakkam</t>
  </si>
  <si>
    <t>423 11th cross,3rd Main</t>
  </si>
  <si>
    <t>4A Venkatesan nagar</t>
  </si>
  <si>
    <t>P O Box 301 Northern ring road</t>
  </si>
  <si>
    <t xml:space="preserve">Palam Gurgaon Road </t>
  </si>
  <si>
    <t>753 - 754 Udyog Vihar</t>
  </si>
  <si>
    <t>A-8 Sector 57</t>
  </si>
  <si>
    <t>C 29 Chakan MIDC</t>
  </si>
  <si>
    <t>H-8 MIDC Area</t>
  </si>
  <si>
    <t>A-3 MIDC Area</t>
  </si>
  <si>
    <t>243 SIDCO</t>
  </si>
  <si>
    <t>112 B Bommasandra Indust</t>
  </si>
  <si>
    <t>9-B, AKCET Tower, TSD Nagar main Road</t>
  </si>
  <si>
    <t>31 / 3 1 st A Cross</t>
  </si>
  <si>
    <t>No.71/1B/11 Next to JBM Tools</t>
  </si>
  <si>
    <t>Plant-3 P.N.No.4</t>
  </si>
  <si>
    <t>E-56 D Road</t>
  </si>
  <si>
    <t>Survey No 188 Sopara Phata</t>
  </si>
  <si>
    <t>J - 159 MIDC</t>
  </si>
  <si>
    <t>212, 2nd Floor</t>
  </si>
  <si>
    <t>173/2 Bandapura Village Rd</t>
  </si>
  <si>
    <t>No 16 (K) Attibele Industrial Ar</t>
  </si>
  <si>
    <t>SB51 4th Cross</t>
  </si>
  <si>
    <t>03-04-2011 HSIDC Industrial Area</t>
  </si>
  <si>
    <t>Plot No 76 B HSIIDC Phase-4</t>
  </si>
  <si>
    <t>Formerly Know as Indo-US MIM Tec Pvt Ltd) 45 (P)</t>
  </si>
  <si>
    <t>Plot No 17 Chithamanoor Indust</t>
  </si>
  <si>
    <t>1st Floor Adgonkar Plaza</t>
  </si>
  <si>
    <t>Plot no 36 B &amp; 37 Hirehally Industrial A</t>
  </si>
  <si>
    <t>RS No.:31/4 Thiruchitambalam</t>
  </si>
  <si>
    <t>Shreenathji Estate- Rani Industrial Area</t>
  </si>
  <si>
    <t>G-61 MIDC</t>
  </si>
  <si>
    <t>Plot No. 97-102&amp; 1 Sec-6</t>
  </si>
  <si>
    <t>5/302 Baba Street</t>
  </si>
  <si>
    <t>75 MIDC</t>
  </si>
  <si>
    <t>13 Vrundavan Ind. Estat</t>
  </si>
  <si>
    <t>A 21 SIPCOT</t>
  </si>
  <si>
    <t>No, 1 Sivagangai Main Road</t>
  </si>
  <si>
    <t>16 Sector 5</t>
  </si>
  <si>
    <t>Plot No. B2 Phase II</t>
  </si>
  <si>
    <t>Plot No 86 KIADB Industrial Area</t>
  </si>
  <si>
    <t>228/1/4 Dantali Industrial Are</t>
  </si>
  <si>
    <t>No 43 1st Main</t>
  </si>
  <si>
    <t>No 7/12 Bhaktinagar Station P</t>
  </si>
  <si>
    <t>No 2611 Lodhika GIDC Estate</t>
  </si>
  <si>
    <t>A-259 Industrial Estate</t>
  </si>
  <si>
    <t>Plot No 131 Sector - 8</t>
  </si>
  <si>
    <t>Plot No 76 B Sector - 3</t>
  </si>
  <si>
    <t>58 Motilal Gupta Road</t>
  </si>
  <si>
    <t>V S Bhavan Anushakti Nagar</t>
  </si>
  <si>
    <t>No 20 SITRA - Kalapatti Roa</t>
  </si>
  <si>
    <t>Plot No. R-77 T.T.C</t>
  </si>
  <si>
    <t>Unit No. 4/8.80/88 D L Marg Opp. Hakob</t>
  </si>
  <si>
    <t>Plot No. 105 P.B. No.1</t>
  </si>
  <si>
    <t>RNS 22 Sipcot Industrial Cent</t>
  </si>
  <si>
    <t>NSIC Campus AJI Industrial Area</t>
  </si>
  <si>
    <t>Plot No A1K CMDA Industrial com</t>
  </si>
  <si>
    <t>Plot No 40A/13 Site IV Industrial Area</t>
  </si>
  <si>
    <t>Plot No 26 Atlas Industrial Estat</t>
  </si>
  <si>
    <t>Plot No 75 MIDC Estate</t>
  </si>
  <si>
    <t>Plot No 16, Sr. No. 253/2/1</t>
  </si>
  <si>
    <t>8/9th Mile Tumkur Road</t>
  </si>
  <si>
    <t>Eripakkam Village Nettapakkam Commune</t>
  </si>
  <si>
    <t>Plot No 11 Bidadi Industrial Area</t>
  </si>
  <si>
    <t>No 2 Ondipudur Road</t>
  </si>
  <si>
    <t>No 72 3rd Cross, Singayana</t>
  </si>
  <si>
    <t>Plot No. 33 &amp; 34 Bidadi Industrial Area</t>
  </si>
  <si>
    <t># 29 13th Main E Block</t>
  </si>
  <si>
    <t>No 2 SIPCOT Industrial Complex</t>
  </si>
  <si>
    <t>E70 /30 MIDC Area</t>
  </si>
  <si>
    <t>Plot No. 2 Sector 2</t>
  </si>
  <si>
    <t>27 Dewan &amp; Sons Indl. E</t>
  </si>
  <si>
    <t># 5 N.T. Industrial estate</t>
  </si>
  <si>
    <t>Plot No 51 &amp; 52 Road No. 9</t>
  </si>
  <si>
    <t>Nokia Telecom SEZ SIPCOT Industries</t>
  </si>
  <si>
    <t>E - 22 Site - II</t>
  </si>
  <si>
    <t>449P 4th Phase</t>
  </si>
  <si>
    <t>Plot no 71 New Sidco Industrial</t>
  </si>
  <si>
    <t>Plot - 8 Sector 8A</t>
  </si>
  <si>
    <t>PO Jeke Gram Pokhran Road No1</t>
  </si>
  <si>
    <t>61 KEOINCS</t>
  </si>
  <si>
    <t>B - 34 KSSIDC ITI Industrial</t>
  </si>
  <si>
    <t>D - 240 Sector - 63</t>
  </si>
  <si>
    <t>139/B - 2 Palli Street</t>
  </si>
  <si>
    <t>Aditaypur Industria Gamhaira</t>
  </si>
  <si>
    <t>Plot 130 Kandivali Industrial E</t>
  </si>
  <si>
    <t>Keelakarranai Villag Malrosapuram Post</t>
  </si>
  <si>
    <t>B - 5 MIDC</t>
  </si>
  <si>
    <t>54 Gopalpur- Ranjani Rd</t>
  </si>
  <si>
    <t>AC 19 SIDCO Industrial Esta</t>
  </si>
  <si>
    <t>Annur Plant Ganesapuram</t>
  </si>
  <si>
    <t>CFD- K.Palayam Pla Pillayar Kovil Street</t>
  </si>
  <si>
    <t>Village Naharpur Ka P.O Nakhrola</t>
  </si>
  <si>
    <t>34 Sir M. Vishweshwara</t>
  </si>
  <si>
    <t>Alaaddin Bey Mh Otomasyon Plaza</t>
  </si>
  <si>
    <t>Binh Xuyen Industr Binh Xuyen District</t>
  </si>
  <si>
    <t>Plot No 349 Sector - 3</t>
  </si>
  <si>
    <t>Plot No V-6 3rd Main Road</t>
  </si>
  <si>
    <t>GAT no 148-150 Village Ambethan</t>
  </si>
  <si>
    <t>Krishna Group Com Post Sipcot</t>
  </si>
  <si>
    <t>Plot No 97 Sector 44</t>
  </si>
  <si>
    <t>Plot No SP2-11 RIICO</t>
  </si>
  <si>
    <t>I-1 MIDC Area</t>
  </si>
  <si>
    <t>76A &amp; 77A Sector-5</t>
  </si>
  <si>
    <t>Plot No 42 Sector-3</t>
  </si>
  <si>
    <t>G-20/6 MIDC</t>
  </si>
  <si>
    <t>21/6 Ravi Industrial Estate</t>
  </si>
  <si>
    <t>B - 51 2nd Cross, 3rd Stage</t>
  </si>
  <si>
    <t>E - 7 SIDCO. Industrial Estate Post</t>
  </si>
  <si>
    <t>4-A Bommasandra Ind Ar</t>
  </si>
  <si>
    <t>Plot No.5/21 &amp; 22 Raghavendra Layout</t>
  </si>
  <si>
    <t xml:space="preserve">Tamaka Industrial Area </t>
  </si>
  <si>
    <t>No:121/6A, Trichy Main Road</t>
  </si>
  <si>
    <t>34/2B NSC Bose Road</t>
  </si>
  <si>
    <t>SAP 4.6C TAL Mfg Solns Ltd</t>
  </si>
  <si>
    <t>No. 93 New Sidco Industrial</t>
  </si>
  <si>
    <t>B-7 Hebbal Industrial Est</t>
  </si>
  <si>
    <t>Shreeshyla Kanakapura Road</t>
  </si>
  <si>
    <t>Oragadam SIPCO Industrial park</t>
  </si>
  <si>
    <t>Plot No. 389 Sector-24</t>
  </si>
  <si>
    <t>F-168 A&amp;B, RIICO Indl Area,</t>
  </si>
  <si>
    <t>A-9 ESP A'Nagar Mfg Plan</t>
  </si>
  <si>
    <t>71/516B Vadakkuthottamsala</t>
  </si>
  <si>
    <t>No.5 Tass Industrial Estate</t>
  </si>
  <si>
    <t>NO. 11 Changi North Rise</t>
  </si>
  <si>
    <t>No. 111 Tianchen Road</t>
  </si>
  <si>
    <t>Bellary Road, Yelahanka</t>
  </si>
  <si>
    <t>11-12-2013 Walia Industrial Estat</t>
  </si>
  <si>
    <t>Plot No 526, J-Bloc MIDC</t>
  </si>
  <si>
    <t>Plot No.300 KIADB Industrial Area</t>
  </si>
  <si>
    <t>Plot No. 3/P4 Sector-10</t>
  </si>
  <si>
    <t>Site No.108B Survey No.139/2</t>
  </si>
  <si>
    <t>Hiranandani Garde Powai</t>
  </si>
  <si>
    <t>Sulur Railway Feed Kurumbapalayam</t>
  </si>
  <si>
    <t>26-A Attibele Industrial Ar</t>
  </si>
  <si>
    <t>Plot No. M14/A 7th Cross</t>
  </si>
  <si>
    <t>Gat No. 67 / 68 Jyotiba Nagar</t>
  </si>
  <si>
    <t>Plot No. 131 Roz-Ka-Meo industria</t>
  </si>
  <si>
    <t>Unit-II, Component Division</t>
  </si>
  <si>
    <t>No. 41/1 Karambakkam Main</t>
  </si>
  <si>
    <t>Plot No.C2 &amp; 1 &amp; 2 Raymondh Chowk</t>
  </si>
  <si>
    <t>Plot No.6B V195, MIDC</t>
  </si>
  <si>
    <t>No.19 Shed No.3</t>
  </si>
  <si>
    <t>Block No.310 Village Sim of Dabhas</t>
  </si>
  <si>
    <t>Unit No: 4 &amp; 5 A Building</t>
  </si>
  <si>
    <t>No.487 Venkatasamy Street</t>
  </si>
  <si>
    <t>Corporate Off &amp; W G-1033, 34, 35, D.S.I.</t>
  </si>
  <si>
    <t xml:space="preserve">Kalpakkam </t>
  </si>
  <si>
    <t>Dept of Production Shivaji Nagar</t>
  </si>
  <si>
    <t>GAT NO. 788 Khed-Shivapur</t>
  </si>
  <si>
    <t>Plot No. A25 Engineering SEZ</t>
  </si>
  <si>
    <t>298 &amp; 428 SIDCO Industrial Esta</t>
  </si>
  <si>
    <t>Survey No.70/4 Bapane Village, Opp.Naigaon Flyover</t>
  </si>
  <si>
    <t>Plot No.11 Survey No. 66</t>
  </si>
  <si>
    <t>RS NO.72/2 Kothapuri Natham Ro</t>
  </si>
  <si>
    <t>63 CIE Gandhi Nagar</t>
  </si>
  <si>
    <t>Arittapatti Road Narasingampatti</t>
  </si>
  <si>
    <t>B-444 1st Stage</t>
  </si>
  <si>
    <t>Filter Unit- Nelama Survey No 169</t>
  </si>
  <si>
    <t>Plot No. 283 SIDCO Industrial Esta</t>
  </si>
  <si>
    <t>No. 5 &amp; 5 A Ekambaram Industria</t>
  </si>
  <si>
    <t>A-477 MIDC</t>
  </si>
  <si>
    <t>Gopal Bagh No. 1065</t>
  </si>
  <si>
    <t>C-2/91 G.I.D.C</t>
  </si>
  <si>
    <t>Gat No.1122,1129, Industrial Plot No. 1/</t>
  </si>
  <si>
    <t>129/12 Sokak No. 19</t>
  </si>
  <si>
    <t>D-112 T.T.C. Industrial Area</t>
  </si>
  <si>
    <t>D-7 Phase-2</t>
  </si>
  <si>
    <t>Plot No. 6 Iyappan Nagar Extn</t>
  </si>
  <si>
    <t>S. No. 519 Shelke Wadi at Ghota</t>
  </si>
  <si>
    <t>EP15, SIDCO Industrial Esta</t>
  </si>
  <si>
    <t>Block No. 97 &amp; 98 Block #A</t>
  </si>
  <si>
    <t>Pulivalam Banavaram Post</t>
  </si>
  <si>
    <t>No. 1 Harish Nagar</t>
  </si>
  <si>
    <t>900 Peepul Boulevard</t>
  </si>
  <si>
    <t>Plot No. D-44 MIDC</t>
  </si>
  <si>
    <t>No. 17-B Tivim Indl. Estate</t>
  </si>
  <si>
    <t>Sector - 36 Pace City-2</t>
  </si>
  <si>
    <t>GP 55 Sector-18</t>
  </si>
  <si>
    <t>Plot No. 2 Industrial area 3</t>
  </si>
  <si>
    <t>DP 232 8th Main Road</t>
  </si>
  <si>
    <t>Village Siula Tehsil Kasauli</t>
  </si>
  <si>
    <t>No. 9 Rajvidesh, Prime Indu</t>
  </si>
  <si>
    <t>Ringtee 6 Tartu</t>
  </si>
  <si>
    <t>No.49 MCP Industrial Comp</t>
  </si>
  <si>
    <t>F 21 &amp; 22 Sipcot industrial Park</t>
  </si>
  <si>
    <t>K-13 New # 64, 8th Street</t>
  </si>
  <si>
    <t>7.4 Km Stone Jind Road</t>
  </si>
  <si>
    <t>Plot No. 10-13 Phase II</t>
  </si>
  <si>
    <t>No. 4 &amp; 22 Phase-IV</t>
  </si>
  <si>
    <t>D-4 MIDC Area</t>
  </si>
  <si>
    <t>9th Km Aligarh - Delhi Road</t>
  </si>
  <si>
    <t>No. 27 / 4 A Anumepalli Village</t>
  </si>
  <si>
    <t>Survey No. 5 / 1 / 1 Marunji</t>
  </si>
  <si>
    <t>Material Managem Powai</t>
  </si>
  <si>
    <t>143 - B Industrial Area Phase</t>
  </si>
  <si>
    <t>Department of Me Banaras Hindu University</t>
  </si>
  <si>
    <t>Plot No. 127, PAM Kandivali Industrial E</t>
  </si>
  <si>
    <t>Survey No. 79 / 2 Shed No. 19, Dangat</t>
  </si>
  <si>
    <t>Unit 4 Nehru Colony, JN Pal</t>
  </si>
  <si>
    <t>No. 17 Phase 1</t>
  </si>
  <si>
    <t>Sy. No. 342/3 (30) Bharat Industrial Esta</t>
  </si>
  <si>
    <t>Dhumuspur-HSCI D A Unit of Sandhar Te</t>
  </si>
  <si>
    <t>Unit - 1 A-50/49</t>
  </si>
  <si>
    <t>655 - 656 M.I.E.</t>
  </si>
  <si>
    <t>Gruhalaxmi Bunglow No. 49</t>
  </si>
  <si>
    <t>Village Asron Near Ropar</t>
  </si>
  <si>
    <t>No - 9 Ponniamman Nagar</t>
  </si>
  <si>
    <t># 55, 3rd Cross Shreegandha Nagar</t>
  </si>
  <si>
    <t>Rajpura Road Bahadurgarh</t>
  </si>
  <si>
    <t>Plot No. 17-22 E.H.T.P</t>
  </si>
  <si>
    <t>B-172 Lok Vihar</t>
  </si>
  <si>
    <t>Plot No. 17A KIADB Industrial Area</t>
  </si>
  <si>
    <t>No. 3, Sy No. 12/1B Abbigere Industrial A</t>
  </si>
  <si>
    <t>Chemnitzer Strasse 11-46446</t>
  </si>
  <si>
    <t>F-31 MIDC, Satpur</t>
  </si>
  <si>
    <t>Mahendra Industri Tagore Road</t>
  </si>
  <si>
    <t xml:space="preserve">Yelahanka </t>
  </si>
  <si>
    <t>309 Hebbal Industrial Estate</t>
  </si>
  <si>
    <t>24 Bommasandra Jigani</t>
  </si>
  <si>
    <t>43 Electronics City</t>
  </si>
  <si>
    <t>1-A, 1st Phase, Surv Harohalli Industrial Area</t>
  </si>
  <si>
    <t>Plot # 31/B, CIE, Gandhinagar</t>
  </si>
  <si>
    <t>Plot No. A-74, Gali SGM Nagar,</t>
  </si>
  <si>
    <t>ESP A Nagar Mfg Pl Ahmednagar Switchg</t>
  </si>
  <si>
    <t>T-173 MIDC</t>
  </si>
  <si>
    <t>Plot No. 21 Bangaluru Aerospace</t>
  </si>
  <si>
    <t>Plot No. 299/A Hebbal Industrial Estate</t>
  </si>
  <si>
    <t>Plot No. 58 &amp; 59 Sector - 11</t>
  </si>
  <si>
    <t>Tube Products of In Avadi</t>
  </si>
  <si>
    <t>N9 SIDCO</t>
  </si>
  <si>
    <t>Plot No. 111, Sector-3,</t>
  </si>
  <si>
    <t>Block No. 201/2, 20 Revadihal Road,</t>
  </si>
  <si>
    <t>Plot No. L-5, SIPCOT Industrial Par</t>
  </si>
  <si>
    <t>No. C-10, Razack Garden Road,</t>
  </si>
  <si>
    <t>ETS Vadodara Mfg Village-Ankhol, NH8,</t>
  </si>
  <si>
    <t>Plot No. 282 IV Main, IV Phase</t>
  </si>
  <si>
    <t>M-117 MIDC</t>
  </si>
  <si>
    <t>853 Huxur Garden</t>
  </si>
  <si>
    <t>Central Stores Unit Directorate of Purcha</t>
  </si>
  <si>
    <t>No. 77 Bommasandra Jigani</t>
  </si>
  <si>
    <t>#4027 GIDC</t>
  </si>
  <si>
    <t>Sy. No. 27, RMS Col Seegehalli Main Roa</t>
  </si>
  <si>
    <t>#25 "A", Electronic 18th KM</t>
  </si>
  <si>
    <t>A-20/1, Supa, MIDC,</t>
  </si>
  <si>
    <t>E-72, EPIP, Sitapura Industrial Ar</t>
  </si>
  <si>
    <t>RNS-22, SIPCOT Ind Oragadam Expansion</t>
  </si>
  <si>
    <t>Plot No. G-2745, GI Lodhika (Metoda)</t>
  </si>
  <si>
    <t>Plot No. 93/2 &amp; 94/ Phase 1</t>
  </si>
  <si>
    <t>C-29, Chakan MIDC Chakan Talegaon Roa</t>
  </si>
  <si>
    <t>E 15, 16 BOL (Sana GIDC Survey 209/P, 2</t>
  </si>
  <si>
    <t>100% EOU, 628/2 Sector W4-B,</t>
  </si>
  <si>
    <t>#23F (NP) SIDCO Industrial</t>
  </si>
  <si>
    <t>#63/4A, Phase 1 Sipcot Industrial Complex</t>
  </si>
  <si>
    <t>B38, Pavana Indust T204, MIDC, Bhosari</t>
  </si>
  <si>
    <t>268/B, Part 1 Hebbal Industrial are</t>
  </si>
  <si>
    <t>Plot no.21 Bidadi Industrial Area</t>
  </si>
  <si>
    <t>No.900, Peepul Bou Sector 36, Sri City SEZ</t>
  </si>
  <si>
    <t>6/1257-A Avinashi Road, Pillaged</t>
  </si>
  <si>
    <t>Plot No.M-137 MIDC Industrial area</t>
  </si>
  <si>
    <t>S3: Nashik: MFG Pl A-3, MIDC, Ambad</t>
  </si>
  <si>
    <t>(A unit of Sandhar Plot No.24-25, Sector</t>
  </si>
  <si>
    <t>B-184/2, SIDCO Ind Thirumudivakkam</t>
  </si>
  <si>
    <t>Plot No.109, Sector HSIIDC</t>
  </si>
  <si>
    <t>B-22, Focal Point Phase-II</t>
  </si>
  <si>
    <t>W-291, TTC Industr MIDC, Rabale</t>
  </si>
  <si>
    <t>Survey no.46 &amp; 47, Electronics City</t>
  </si>
  <si>
    <t>B156, 4th Main Peenya Industrial Estate</t>
  </si>
  <si>
    <t>Eraiyankadu Village Anaicut Block</t>
  </si>
  <si>
    <t>Plot No.186, Near GI GIDC - II</t>
  </si>
  <si>
    <t>No.6, Survey No.38 11th KM, Hosur Road</t>
  </si>
  <si>
    <t>341-342,  Udyog Vihar</t>
  </si>
  <si>
    <t>135/B, 9th Cross Shiva Form, Magadi M</t>
  </si>
  <si>
    <t>Plot No.94, Sector 6 IIE Sidcul</t>
  </si>
  <si>
    <t>Gat No.427/10, 427/ Chakon, Talgaon Road</t>
  </si>
  <si>
    <t>Plot no.31, Sector 27A</t>
  </si>
  <si>
    <t>28 C, Bidadi Industrial Bidadi-Harohalli Main</t>
  </si>
  <si>
    <t>Orpat Industrial Area Rajkot-Morbi Highway</t>
  </si>
  <si>
    <t>6411, 3rd Cross SSI Area</t>
  </si>
  <si>
    <t>25A, Electronics City 18th KM, Hosur Road</t>
  </si>
  <si>
    <t>Plot No.12 &amp; 13 Sector 6</t>
  </si>
  <si>
    <t>Plot No.4 Sector 11, IIE</t>
  </si>
  <si>
    <t>205/1 &amp;2, 207/1 Kuttai Thottam</t>
  </si>
  <si>
    <t>IG Stores,Micro Wav Jalahalli PO</t>
  </si>
  <si>
    <t>7-24/2, Pipe Line Ro Subhash Nagar</t>
  </si>
  <si>
    <t>19/2, Kempaiah Gar Next to 9th BMTC Bus</t>
  </si>
  <si>
    <t>E-5/2, Chakan Indust Phase III, MIDC, Nanekarwadi</t>
  </si>
  <si>
    <t>4003,Phase IV, GIDC Vatva</t>
  </si>
  <si>
    <t xml:space="preserve">F-11, MIDC </t>
  </si>
  <si>
    <t>Plot No.51/23,Gali N Basai Industrial Area</t>
  </si>
  <si>
    <t>G1-180B, Industrial Neemrana-II</t>
  </si>
  <si>
    <t>Rubber Factory, Pos Usilampatti Road</t>
  </si>
  <si>
    <t>18, Fuyog Industrial LBS Marg</t>
  </si>
  <si>
    <t>No.10 Vajrahalli</t>
  </si>
  <si>
    <t>A-72 Naraina Industrial Area</t>
  </si>
  <si>
    <t>D-89 Hosiery Complex</t>
  </si>
  <si>
    <t>Plot No. 25A/1/5 SIDCO Industrial Esta</t>
  </si>
  <si>
    <t>B-201 Phase-II</t>
  </si>
  <si>
    <t>Building No.3 Terminal house</t>
  </si>
  <si>
    <t>Building No.1 &amp; 4 Ghat No.312/2, 3 &amp; 6</t>
  </si>
  <si>
    <t>Pollachi Road Kovilpalayam</t>
  </si>
  <si>
    <t>Gat No.433 Shed No.1 &amp; 2</t>
  </si>
  <si>
    <t>S6:Aurangabad: MFG Plant D-2</t>
  </si>
  <si>
    <t>3B Gandhiji Salai</t>
  </si>
  <si>
    <t>Building No.1 Agarwal Udyog Nagar</t>
  </si>
  <si>
    <t>No.2,3&amp;4 Choudary International Industrial Estate</t>
  </si>
  <si>
    <t>Shed No. B-88/45/2 KSSIDC Industrial Estate</t>
  </si>
  <si>
    <t>#33 &amp; 34 I.D.A</t>
  </si>
  <si>
    <t>A-16/5 DLF Industrial Area</t>
  </si>
  <si>
    <t>Plot No. 74/2 Phase-III</t>
  </si>
  <si>
    <t>#301-404 Siddapura-Complex</t>
  </si>
  <si>
    <t>ESP A Nagar Mfg Plant Ahmednagar Switchgear Works</t>
  </si>
  <si>
    <t>Plot No.2713 4th Phase</t>
  </si>
  <si>
    <t>Plot No.237-240 &amp; 255-258 Ecotech-1 Extension</t>
  </si>
  <si>
    <t>23 Ambica Oil Mill Compound</t>
  </si>
  <si>
    <t>No.5A Bommasandra Industrial Area</t>
  </si>
  <si>
    <t>Plot No. 5 &amp; 6 2nd Phase</t>
  </si>
  <si>
    <t>#101, 102 &amp; 103 Bangalore Aerospace SEZ Park</t>
  </si>
  <si>
    <t>No.63 Athipalayam Road</t>
  </si>
  <si>
    <t>A-157 3rd Cross</t>
  </si>
  <si>
    <t>Plot No. 824/B GIDC</t>
  </si>
  <si>
    <t xml:space="preserve">C-28 2nd Main  </t>
  </si>
  <si>
    <t>No. B-8A SIDCO Industrial Estate</t>
  </si>
  <si>
    <t>Plot No. 276-P2 &amp; 277-P2 Harohalli Industrial Area</t>
  </si>
  <si>
    <t>Reliance Industrial Estate Gala No. 17,18, 27 &amp; 28</t>
  </si>
  <si>
    <t>Ward No.6 Jalakbari</t>
  </si>
  <si>
    <t>Survey No. 227/2M Gundukurukki Road</t>
  </si>
  <si>
    <t>14 KIADB Industrial Area</t>
  </si>
  <si>
    <t>Athipalayam Road Ganapathy Post</t>
  </si>
  <si>
    <t>#322/2 Hosur Main Road</t>
  </si>
  <si>
    <t>D-2/62 M.I.D.C</t>
  </si>
  <si>
    <t>Plot No.17 GIDC</t>
  </si>
  <si>
    <t>No.205/2 Sri Ganesh Street</t>
  </si>
  <si>
    <t>EOU Gat No.125, Hissa No.B</t>
  </si>
  <si>
    <t>3 BRD Air Force Station</t>
  </si>
  <si>
    <t>Almighty Gate-2 Road No-D</t>
  </si>
  <si>
    <t>2/630-A Perumal Kovil Thottam</t>
  </si>
  <si>
    <t>Plot No. 302/B 2nd Phase</t>
  </si>
  <si>
    <t>F65B SIPCOT Industrial Park</t>
  </si>
  <si>
    <t>Plot No.405 Sector-7</t>
  </si>
  <si>
    <t>Plot No.G1-495 RIICO Industrial Area</t>
  </si>
  <si>
    <t>Sy No.38/1, 9th Cross Vasanthpura</t>
  </si>
  <si>
    <t>Plot No. F-13 M.I.D.C</t>
  </si>
  <si>
    <t>Survey No. 10/1 Ganapathi Hsg Society</t>
  </si>
  <si>
    <t>No.487 D1 &amp; D2</t>
  </si>
  <si>
    <t>D-118-119 Phase-V</t>
  </si>
  <si>
    <t>25 'A' Electronics City</t>
  </si>
  <si>
    <t>Sy No.80/3 Chokkalli Village</t>
  </si>
  <si>
    <t>No.62A Mahatma Gandhi Main Road</t>
  </si>
  <si>
    <t>Plot No.17 Kamaraj Nagar</t>
  </si>
  <si>
    <t>#6A Attibele Industrial Area</t>
  </si>
  <si>
    <t>J-259 M.I.D.C</t>
  </si>
  <si>
    <t>Dept: RBIN/ BSV1 Naganathpura Plant</t>
  </si>
  <si>
    <t>Bangalore Road Majara Kothapalli (Village)</t>
  </si>
  <si>
    <t>No.80 Perumal Nagat</t>
  </si>
  <si>
    <t>Plot No. 7 Sector-3</t>
  </si>
  <si>
    <t>H-132 Industrial Area</t>
  </si>
  <si>
    <t>B-56 PIPDIC Industrial Estate</t>
  </si>
  <si>
    <t>Gat. No. 6 B-1, Village-Kasurdi</t>
  </si>
  <si>
    <t>#59 HSIIDC</t>
  </si>
  <si>
    <t>Survey No.2788/3 Wadhwan-Ahmedabad Highway</t>
  </si>
  <si>
    <t>24/2, Surya Nagar Industrial Area Opp. Kassar More</t>
  </si>
  <si>
    <t>Singla Cycle Road Backside Steelman Industries</t>
  </si>
  <si>
    <t>C-195, 196 Phase-VII</t>
  </si>
  <si>
    <t>Plot No. D-43 Phase-I</t>
  </si>
  <si>
    <t>127 Industrial Area -2</t>
  </si>
  <si>
    <t>255,257 &amp;279 Industrial Park</t>
  </si>
  <si>
    <t>No.22/J3 5th Cross</t>
  </si>
  <si>
    <t>Plot No. 48K1 &amp; 48K2 KIADB Industrial Area</t>
  </si>
  <si>
    <t>Unit No. 3 &amp; 6 Building No. 2</t>
  </si>
  <si>
    <t>Gat No.582 Pune-Nagar Road</t>
  </si>
  <si>
    <t>Gat No. 389 Plot No. C-43</t>
  </si>
  <si>
    <t>Electric Automation  EAIC Vadodara Manufacturing Plant</t>
  </si>
  <si>
    <t>L-129/3 MIDC</t>
  </si>
  <si>
    <t>58th KM. Stone Delhi-Jaipur Highway</t>
  </si>
  <si>
    <t>B-21 M.I.D.C</t>
  </si>
  <si>
    <t>Bosch Project SF No.195</t>
  </si>
  <si>
    <t>Khasra No.371-378 Village Dasomajra</t>
  </si>
  <si>
    <t>No.114 Pete Channappa Industrial area</t>
  </si>
  <si>
    <t>Village Nawada Fetehpur P.O. Sinkaderpur Badda</t>
  </si>
  <si>
    <t>Wtach Division- Hosur No.3</t>
  </si>
  <si>
    <t>38/445 Mother Theresa Road</t>
  </si>
  <si>
    <t>No. 16-B 1st Phase</t>
  </si>
  <si>
    <t>194C Siva sakthi Colony</t>
  </si>
  <si>
    <t>No.58, 8th Cross 1st "B" Cross</t>
  </si>
  <si>
    <t>Plot No. 100-101 HSIIDC, Udyog Vihar</t>
  </si>
  <si>
    <t>#743 2nd Block</t>
  </si>
  <si>
    <t>No.63-64 4th Phase</t>
  </si>
  <si>
    <t>Gat No. 427/ 10 427/5, Chakan</t>
  </si>
  <si>
    <t>A-138 Pawan Industrial Estate</t>
  </si>
  <si>
    <t>Gut No. 102 Paithan Road</t>
  </si>
  <si>
    <t>E-4&amp;5 Sector- 59</t>
  </si>
  <si>
    <t>Unit-1 Plot No.28</t>
  </si>
  <si>
    <t>Plot No.13 G.I.D.C, Phase-II</t>
  </si>
  <si>
    <t>Plot No. PE-99-100 &amp; 1005-106 Sanand-II</t>
  </si>
  <si>
    <t>Plot No.225 &amp; 226 Bommasandra Industrial Area</t>
  </si>
  <si>
    <t>Unit- II, 59J ( C) Noida Special Economic Zone</t>
  </si>
  <si>
    <t>E-20 Foundry Nagar</t>
  </si>
  <si>
    <t>Unit- II C-1</t>
  </si>
  <si>
    <t>Plot No. AA2, 6th Avenue Auto Ancillary SEZ</t>
  </si>
  <si>
    <t>Plot No.K-16, Phase-II Sipcot Industrial Park</t>
  </si>
  <si>
    <t>Plot No.F-11 Phase-III</t>
  </si>
  <si>
    <t>#53/2 4th Main</t>
  </si>
  <si>
    <t>Govt. of India Defence Research &amp; Development Organisation</t>
  </si>
  <si>
    <t>192-E Sector-4</t>
  </si>
  <si>
    <t>22/4 Heavy Industrial Area</t>
  </si>
  <si>
    <t>Survey No. 83,98, 121 &amp; 122 Paiki Dekavada Detroj Road</t>
  </si>
  <si>
    <t>148 SDF-V</t>
  </si>
  <si>
    <t>No.13A 3rd Phase</t>
  </si>
  <si>
    <t>F75 SIPCOT Industrial Park</t>
  </si>
  <si>
    <t>No.283/ 4 &amp; 5 K.R.P Auto Industrial Layout</t>
  </si>
  <si>
    <t>No.1-C, Plot No.467,468 &amp; 469 12th Cross, 4th Phase</t>
  </si>
  <si>
    <t>G T Road Near Airport</t>
  </si>
  <si>
    <t>TS-98 SIDCO Industrial Estate</t>
  </si>
  <si>
    <t>Plot No.13 KIADB Industrial Area</t>
  </si>
  <si>
    <t>Survey No. 88 &amp; 90 (Part) Meppur Thangal Road</t>
  </si>
  <si>
    <t>Plot No.78 B and A Hootagalli Industrial area</t>
  </si>
  <si>
    <t>19-E Sector-24</t>
  </si>
  <si>
    <t>Terminal House Building No. 3</t>
  </si>
  <si>
    <t>No.1-C, Plot No.467,468 &amp; 469 12th Cross</t>
  </si>
  <si>
    <t>C23-A 1st Phase</t>
  </si>
  <si>
    <t>Plot No.76 Sector- 4</t>
  </si>
  <si>
    <t>Plot No.A-149/3 T.T.C</t>
  </si>
  <si>
    <t>N0.135/B 2nd Main, 5th Cross</t>
  </si>
  <si>
    <t>394 Export Promotion Industrial Park</t>
  </si>
  <si>
    <t>No.10 Newpet</t>
  </si>
  <si>
    <t>No.96/1 Nagasandra (Vikasnagar)</t>
  </si>
  <si>
    <t>Plot No.16 Block No.405/1</t>
  </si>
  <si>
    <t>No.880, Sy No.173/1 Old Chandapur, Opp. R.K Dhaba</t>
  </si>
  <si>
    <t>E-130 Sector-1</t>
  </si>
  <si>
    <t>No.121/2C Mambakkam Post</t>
  </si>
  <si>
    <t>Plot No.146 1st Main Road</t>
  </si>
  <si>
    <t>Plot No.131 Sector-8</t>
  </si>
  <si>
    <t>124-A Thulasi Layout</t>
  </si>
  <si>
    <t>#1394/2C Sakthi Nagar II</t>
  </si>
  <si>
    <t>No.60, 394/2B Kalaimagal Nagar Extension</t>
  </si>
  <si>
    <t>No.11 Gudaloor Village</t>
  </si>
  <si>
    <t>No.22 &amp; 23 Ambattur Industrial Estate</t>
  </si>
  <si>
    <t>Street No.2, Ganpati Estate Opposite PSPCL Grid</t>
  </si>
  <si>
    <t>No.77 J-Block</t>
  </si>
  <si>
    <t>A-71 Phase-2</t>
  </si>
  <si>
    <t>136-B KIADB Industrial Area</t>
  </si>
  <si>
    <t>Plot No.55 Sector-2, Phase-2</t>
  </si>
  <si>
    <t>Plot No.432 Sector-8</t>
  </si>
  <si>
    <t>Plot No. E-42, Sector- A 5 &amp;6 U.P.S.I.D.C</t>
  </si>
  <si>
    <t>Gali No.7 H-Block</t>
  </si>
  <si>
    <t>Gat No.245, 246, 247 249/ 3 Plot No.3</t>
  </si>
  <si>
    <t>R.S No.364/1 At Post: Uchagaon</t>
  </si>
  <si>
    <t>Mouling Division H 3/4-6</t>
  </si>
  <si>
    <t>No.98/3-D Kuttiyappa Garden</t>
  </si>
  <si>
    <t>Plot No.165 Sector-6</t>
  </si>
  <si>
    <t>Plot No, 3690/3691 Road 7</t>
  </si>
  <si>
    <t>Plot No.666 Upper Indiranagara</t>
  </si>
  <si>
    <t>Plot No.283/ 4 &amp; 5 Jigani Link Road</t>
  </si>
  <si>
    <t>Plot No.167/1 3rd Cross</t>
  </si>
  <si>
    <t>Plot No.281 (Sy # Part of 110) Kachanayakanahalli</t>
  </si>
  <si>
    <t>No.8 Sathyamurthy Street</t>
  </si>
  <si>
    <t>69A Vandalore- Kelampakkam Road</t>
  </si>
  <si>
    <t>Plot No.28 to 45 Mandal (GIDC) Industrial Estate</t>
  </si>
  <si>
    <t>No.74 Vadakal Village</t>
  </si>
  <si>
    <t>Plot No.72/A2 Hootagalli Industrial area</t>
  </si>
  <si>
    <t>D-125 MIDC</t>
  </si>
  <si>
    <t>Plot No.D-6, II-D MEPZ</t>
  </si>
  <si>
    <t>Plot No.69 to 81 Aerospace SEZ Sector</t>
  </si>
  <si>
    <t>Block No.228/1/4 Dantali Industrial Estate</t>
  </si>
  <si>
    <t>Divyashree N R Enclave Block-A, 4th Floor</t>
  </si>
  <si>
    <t>Plot No.305 Phase-1</t>
  </si>
  <si>
    <t>SP1-C Industrial Area</t>
  </si>
  <si>
    <t>Shyam Udyog  Parisar Hall No.2, Bhangrola Road</t>
  </si>
  <si>
    <t>No. 2/196 Thannir Kenaru Thottam</t>
  </si>
  <si>
    <t>Gat # 357/92 Kharabwadi</t>
  </si>
  <si>
    <t>Plot No.4 Sector-11, Integrated Industrial Estate</t>
  </si>
  <si>
    <t>No.120 Anthrasanahalli 2nd Phase</t>
  </si>
  <si>
    <t>B300B, Indospace Industrial Park Block 'B', Panrutti Village</t>
  </si>
  <si>
    <t>Plot No.13/12 Nagavalliamman Koil Street</t>
  </si>
  <si>
    <t>Terminal House Building No.3</t>
  </si>
  <si>
    <t>Plot No.1 &amp; 2 1st Cross</t>
  </si>
  <si>
    <t>A-2 Sector-84</t>
  </si>
  <si>
    <t>C.T.S No.4270 Elpro Compound</t>
  </si>
  <si>
    <t>Gat No.427/10, 427/5 Chakan- Talegaon Road</t>
  </si>
  <si>
    <t>Plot No.108 4th Main, Chandana Layout</t>
  </si>
  <si>
    <t>Plot No.17/2 N.I.T</t>
  </si>
  <si>
    <t>Plot No. 1/52 Sukkaran Thottam</t>
  </si>
  <si>
    <t>Plot No.3,4 &amp; 5 Thimmanahally Industrial Area</t>
  </si>
  <si>
    <t>Building No.1 &amp; 4 Gat No.312/2, 3 &amp; 6</t>
  </si>
  <si>
    <t>S.F No.546/1 Saravanampatti Road</t>
  </si>
  <si>
    <t>Plot No.32 &amp; 33 KIADB</t>
  </si>
  <si>
    <t>No. DP-23 KSSIDC Industrial Area</t>
  </si>
  <si>
    <t>D-8      SIPCOT Industrial Complex</t>
  </si>
  <si>
    <t>Pulivalam Banavaram (Post)</t>
  </si>
  <si>
    <t>Plot No.311 Hebbal Industrial Area</t>
  </si>
  <si>
    <t>Plant-1: Plot No.S1A &amp; S5 SIPCOT Industrial Park</t>
  </si>
  <si>
    <t>Plot No. 62, 63 Industrial Estate</t>
  </si>
  <si>
    <t>Plot No.13-P14 Koorgalli Industrial Area</t>
  </si>
  <si>
    <t>No.53, 4B P.N.Palayam Road</t>
  </si>
  <si>
    <t>Plot No.48 &amp; 49 Sanjay Memorial Industrial Area</t>
  </si>
  <si>
    <t>No.47 Rajeev Gandhi Nagar Road</t>
  </si>
  <si>
    <t>Plot No.135 Bommasandra Jigani Link Road</t>
  </si>
  <si>
    <t>Site No.1/C Plot No.467, 468 &amp; 469</t>
  </si>
  <si>
    <t>KSSIDC  Veersandra Industrial Estate</t>
  </si>
  <si>
    <t>Plot No.B-11 Bashettyhalli, Kasaba Hobli</t>
  </si>
  <si>
    <t>#138 Toy City</t>
  </si>
  <si>
    <t>Plot No.275/4 Opp.Bhanu Weigh Bridge</t>
  </si>
  <si>
    <t>Plot No.1 Sivagangai Main Road</t>
  </si>
  <si>
    <t>#63, 64 Industrial Estate</t>
  </si>
  <si>
    <t>Plot No.EP-92 Dr. B.R.Ambedkar Industrial Estate</t>
  </si>
  <si>
    <t>Survey No.298 Plot No.10</t>
  </si>
  <si>
    <t>Gat No.139/1 &amp; 139/2 At Post: Umale</t>
  </si>
  <si>
    <t>Plot No.253 Sector-10</t>
  </si>
  <si>
    <t>Plot No.105 P.B.No.1</t>
  </si>
  <si>
    <t>Plot No. 94/2 G.I.D.C Industrial Estate</t>
  </si>
  <si>
    <t>Rehoboth Plot No.465</t>
  </si>
  <si>
    <t>EAIC Vadaodara Manufacturing Plant</t>
  </si>
  <si>
    <t>Plot No.350, 351 &amp; 352 Udyog Kendra-II</t>
  </si>
  <si>
    <t xml:space="preserve">Shiv Ganga Industrial Estate Plot No.1 </t>
  </si>
  <si>
    <t xml:space="preserve">   Site-2  Plot Shed No A</t>
  </si>
  <si>
    <t>B-76 Mayapuri Industrial Area</t>
  </si>
  <si>
    <t>Gala No.-A7 Dwaraka Industrial Estate</t>
  </si>
  <si>
    <t>Plot No.32, Survey No. 82 Near Bhavani Extrusion</t>
  </si>
  <si>
    <t>Noida Phase-II Plant C-58</t>
  </si>
  <si>
    <t>No.49 Sengadu Village</t>
  </si>
  <si>
    <t>Gat No.67 &amp; 68 Jyotiba Nagar</t>
  </si>
  <si>
    <t>1st Floor Building Gala No. 101/102, E Block</t>
  </si>
  <si>
    <t>Unit No.1 to 5, A Building Survey No.127/1</t>
  </si>
  <si>
    <t>P.B. No.59, Plot No.1802 / 4 GIDC</t>
  </si>
  <si>
    <t>Formerly Indo-MIM Tec Pvt Ltd No.45 (P)</t>
  </si>
  <si>
    <t>Plot No.2 Sector - 8C</t>
  </si>
  <si>
    <t>F-6 Sector - 17</t>
  </si>
  <si>
    <t>Plot No.B4 Sector - 59</t>
  </si>
  <si>
    <t>61/5-G Industrial Area</t>
  </si>
  <si>
    <t>Plot No. 128 Old GIDC</t>
  </si>
  <si>
    <t>Haibatpur Road Sadomajra</t>
  </si>
  <si>
    <t>EL-27/1, EL27/1PT, EL67, EL27/2 &amp; EL23/3 TTC Industrial Area</t>
  </si>
  <si>
    <t>E&amp;AETS ASW</t>
  </si>
  <si>
    <t>#198 12th Main</t>
  </si>
  <si>
    <t>Plot No.33 &amp; 34 IDA</t>
  </si>
  <si>
    <t>TS-32 A-Women Industrial Park</t>
  </si>
  <si>
    <t>B-4 Mandideep Industrial Area</t>
  </si>
  <si>
    <t>Mahagujarat Industrial Estate Near T &amp; R</t>
  </si>
  <si>
    <t>NCS IMT Manesar  Plot No.131</t>
  </si>
  <si>
    <t>No.92A/3 Kilakku Thottam,</t>
  </si>
  <si>
    <t>No.29/5 Anumepalli Village</t>
  </si>
  <si>
    <t>DP 80 Thirumudivakkam Industrial Estate</t>
  </si>
  <si>
    <t>C-154 TTC Industrial Area</t>
  </si>
  <si>
    <t>Plot No.6 Sec IIDC</t>
  </si>
  <si>
    <t>Plot No.G-1302 Road-H</t>
  </si>
  <si>
    <t>No.104 Chengamma Raju Garden</t>
  </si>
  <si>
    <t>B8 ITI Ancillary Industrial Estate</t>
  </si>
  <si>
    <t>Centenary Bldg, Ground Floor Door No. At 100, W park Road</t>
  </si>
  <si>
    <t>Survey No.15P/2 Opp. Narmada Rings Pvt Ltd</t>
  </si>
  <si>
    <t>Plot No.26 Bommasandra 4th Phase</t>
  </si>
  <si>
    <t>Unit-I, Sy.No.54,55/A, 70,71 &amp; 72 Near Airforce Academy</t>
  </si>
  <si>
    <t>Plot No:41 (Part), Koorgalli Industrial Area</t>
  </si>
  <si>
    <t>BD22 (Brake Div- Sricity) 210, Kadamba Drive</t>
  </si>
  <si>
    <t>Plot No.467-469 Site 1/C, 12th Cross</t>
  </si>
  <si>
    <t>1/5 Milestone Khansa Road</t>
  </si>
  <si>
    <t>Plot No.14 PPTP</t>
  </si>
  <si>
    <t>Village Katha Baddi</t>
  </si>
  <si>
    <t>BD01 Brakes Division Padi</t>
  </si>
  <si>
    <t>Plot No.7 &amp; 8 Vasanthanarasapura Industrial Area</t>
  </si>
  <si>
    <t>Plot No.232/3 Bommasandra-Jigani Link Road</t>
  </si>
  <si>
    <t>Componenision Division  Plot No.2D/1</t>
  </si>
  <si>
    <t>IN BIPL Bangalore-99-F64,6 Lake View Building</t>
  </si>
  <si>
    <t>No.19/20 100 Feet Road</t>
  </si>
  <si>
    <t>Industrial Park Road No.3, KM 82.0</t>
  </si>
  <si>
    <t>Terminal House Merchant Industrial Complex</t>
  </si>
  <si>
    <t>Building Nos.2,4 &amp; 5 Gat No.312/2, 3 &amp; 6</t>
  </si>
  <si>
    <t>7-A Industrial Estate</t>
  </si>
  <si>
    <t>No.M6 (A) 7th Cross</t>
  </si>
  <si>
    <t>ASW Ahmednagar Mfg Plant Mod 10 A-9/10</t>
  </si>
  <si>
    <t>B-191 5th Main Road</t>
  </si>
  <si>
    <t>K-3 Udyog Nagar</t>
  </si>
  <si>
    <t>No.25/1 Tamaka Industrial Area</t>
  </si>
  <si>
    <t>BidP, Plot No.42 2nd Phase, Sector-2</t>
  </si>
  <si>
    <t>Plot No.44,45 &amp; 46 VIC</t>
  </si>
  <si>
    <t>Plot No.10-13 Jigani Industrial Area</t>
  </si>
  <si>
    <t>A-19 Sector-57</t>
  </si>
  <si>
    <t>Gokulpur P.O. Shyamraipur</t>
  </si>
  <si>
    <t>No.201/2A Siruvedal Village</t>
  </si>
  <si>
    <t>Plot No.154-O Sector-7</t>
  </si>
  <si>
    <t>EL-108 T.T.C Industrial Area</t>
  </si>
  <si>
    <t>Packagining Product Division AGI Closure</t>
  </si>
  <si>
    <t>Gate No.624/3 Chakan Alandi Road</t>
  </si>
  <si>
    <t>Plot No.1A, Ground Floor Survey No.415, Khata No. 708</t>
  </si>
  <si>
    <t>122-123 Industrial Estate</t>
  </si>
  <si>
    <t>#11/240 Lakshmipura</t>
  </si>
  <si>
    <t>9/1 Police Quarters Road</t>
  </si>
  <si>
    <t>Plant-2: Engineering Division C-1</t>
  </si>
  <si>
    <t>A-7 (G.F) Mayapuri Industrial Area</t>
  </si>
  <si>
    <t>K-1/253 GIDC-1</t>
  </si>
  <si>
    <t>No.6, RS No.257/4 Poothurai- Gorimedu Road</t>
  </si>
  <si>
    <t>Seating Division Hoskote Survey No.49</t>
  </si>
  <si>
    <t>Regd Off: #323 Amulya Mansion</t>
  </si>
  <si>
    <t>Formerly Sandeep Traders Arundoya Nagar</t>
  </si>
  <si>
    <t>Suture Needle Division No.1</t>
  </si>
  <si>
    <t>135 Industrial Area-A</t>
  </si>
  <si>
    <t>21-A Kumbalgodu Industrial Area</t>
  </si>
  <si>
    <t>Advance Technology Centre 489-511</t>
  </si>
  <si>
    <t>Opp. Arya Vidhya Mandir School Vita Milk Plant Road</t>
  </si>
  <si>
    <t>4/139-B7, SF No.358/1, 358/2 Agarwal School Road</t>
  </si>
  <si>
    <t>Rojka Meo Industrial Estate Tehsil Nuh</t>
  </si>
  <si>
    <t>H.O: 5L-123 N.I.T</t>
  </si>
  <si>
    <t>No.51/1B, Shed No.2 Kuvempu Nagar, Near Sarvodhay School</t>
  </si>
  <si>
    <t>Plot No.F-4 B-3 Road No.4, Ground Floor</t>
  </si>
  <si>
    <t>235/1A &amp; 2C Vengai Vasal Main Road</t>
  </si>
  <si>
    <t>Plot No.19 Sector-6</t>
  </si>
  <si>
    <t>Unit-II 7-605/A</t>
  </si>
  <si>
    <t>Plot No.843 Sector-69</t>
  </si>
  <si>
    <t>781-M Chiroura Road</t>
  </si>
  <si>
    <t>Plot No.L-7 MIDC</t>
  </si>
  <si>
    <t>Surgical Blade Division No.1</t>
  </si>
  <si>
    <t>#100/2 10th Cross Street</t>
  </si>
  <si>
    <t>Unit-III Developed Plot 83</t>
  </si>
  <si>
    <t>Plot No.340 9th Cross</t>
  </si>
  <si>
    <t>Plot No.3392 Road-E</t>
  </si>
  <si>
    <t>Plot No.372 Pocket-E, Sector-5</t>
  </si>
  <si>
    <t>DLF Cyber Park-2 Tower-C</t>
  </si>
  <si>
    <t>#36-A Rajasthan Udyog Nagar</t>
  </si>
  <si>
    <t>9th Km Aligarh- Delhi Road</t>
  </si>
  <si>
    <t>Plot No. N-14 SIDCO Industrial Estate</t>
  </si>
  <si>
    <t>No. A-43 South Eastern Portion</t>
  </si>
  <si>
    <t>#434/A/41 5th Cross, Hanumanthanagara</t>
  </si>
  <si>
    <t>Plot No.30 Veerasandra Industrial Area</t>
  </si>
  <si>
    <t>Plot No.3, Gat No.457/458 Global Industrial Park</t>
  </si>
  <si>
    <t>Plot No.154-D Sector-7, Phase-II</t>
  </si>
  <si>
    <t>G20, Shailesh Industrial Estate Opp. Hyundai Showroom</t>
  </si>
  <si>
    <t>Survey No.77 &amp; 169/1/3 Near Hindustan Pencil Factory</t>
  </si>
  <si>
    <t>Plant-II No-29/3-4, Industrial Estate</t>
  </si>
  <si>
    <t>Shed No.10,11, Vishal 111 Industrial Estate B/h Grand Vishal Industrial Estate</t>
  </si>
  <si>
    <t>No.1 &amp; 2 1st Cross</t>
  </si>
  <si>
    <t>Daman EWA 01-19A Plot No.35, 35A</t>
  </si>
  <si>
    <t>Plot No.B-17/1 Chakan Industrial Area</t>
  </si>
  <si>
    <t>Works: 75A/2/1  General Block</t>
  </si>
  <si>
    <t>Plot No.1B Sector-8C</t>
  </si>
  <si>
    <t>#C-42 Phase-II</t>
  </si>
  <si>
    <t>Plot No.C 6/2 Phase-II, Zone-B</t>
  </si>
  <si>
    <t>Shyam Udyog  Parisar Hall No.2</t>
  </si>
  <si>
    <t>Patiala Sangrur Road Village: Channo</t>
  </si>
  <si>
    <t>Brakes Division Unit 28</t>
  </si>
  <si>
    <t>Plot No.35    Street No.13</t>
  </si>
  <si>
    <t>H.B No.198 Khasra No.36</t>
  </si>
  <si>
    <t>Plot No.252 Sector-24</t>
  </si>
  <si>
    <t>Plot No.A-1/256 Sector-17</t>
  </si>
  <si>
    <t>Plot No.108/B Almight Gate-2</t>
  </si>
  <si>
    <t>Sujay House Survey No.38/2, Narhe</t>
  </si>
  <si>
    <t>Survey #102/P2, Emerald Enclave Near Ram Mandir,
Behind Mysore Infosys</t>
  </si>
  <si>
    <t>#237-M LIC Colony</t>
  </si>
  <si>
    <t>P-5/A-1, 1st Cross 10th Main Road</t>
  </si>
  <si>
    <t>Plot No.8   Dobaspet 4th Phase</t>
  </si>
  <si>
    <t>C4 Industrial Estate</t>
  </si>
  <si>
    <t>Plot No.A2 Sector-84</t>
  </si>
  <si>
    <t>Building No. 2,4 &amp; 5 Gat No. 312/2, 3 &amp; 6</t>
  </si>
  <si>
    <t>Sector-19 Raipur Road</t>
  </si>
  <si>
    <t>SF No.771/8-B-Part Kalapatti Village</t>
  </si>
  <si>
    <t>Khasra No.51/15 Swarn Park</t>
  </si>
  <si>
    <t>Shed No.4 Survey No. 709/1/1/1-B</t>
  </si>
  <si>
    <t>B-331 Mangola Puri</t>
  </si>
  <si>
    <t>H-50, W-58A, W-60A, W-61A MIDC</t>
  </si>
  <si>
    <t>Plot No.265 Sector-6</t>
  </si>
  <si>
    <t>Stores: Unit-4 Rudraram Village</t>
  </si>
  <si>
    <t>Plot No.3, Sy No.21-P SEZ Sector, Hitech Defence &amp; Aerospace Park</t>
  </si>
  <si>
    <t>Village-Nimerhati P.O. - Makardah</t>
  </si>
  <si>
    <t>SF No.948 Near Luk India</t>
  </si>
  <si>
    <t>Plot No.PE 109 PE 110 &amp; PE 111</t>
  </si>
  <si>
    <t>#8 Near Chandna Property Dealer</t>
  </si>
  <si>
    <t>#114 Pete Channappa Industrial area</t>
  </si>
  <si>
    <t>No.20 SIDCO Industrial Estate</t>
  </si>
  <si>
    <t>58/5A Indira Nagar Extension</t>
  </si>
  <si>
    <t>Plot No.17, Manish Indl. Estate No.4 Opp. Tania Commercial Complex</t>
  </si>
  <si>
    <t>A Unit of Sandhar Technologies Ltd Plot No.8</t>
  </si>
  <si>
    <t>Plot No.E-127 B RIICO Industrial Area</t>
  </si>
  <si>
    <t>Khasra No. 103/2, 3/2, 8,9, 13/11 Village Kharawar</t>
  </si>
  <si>
    <t>Unit-I, Attibele A Unit of Sandhar Technologies Ltd</t>
  </si>
  <si>
    <t>ETS Vadodara Mfg Plant Block No.205 to 208, 240</t>
  </si>
  <si>
    <t>Siddarth Industrial Complex No.4 Gala No.12</t>
  </si>
  <si>
    <t>No.108, 3rd Cross Vidhyanagar</t>
  </si>
  <si>
    <t>No.12 &amp; 13, Ground Floor 1st Main, 2nd Cross</t>
  </si>
  <si>
    <t>Plot No.62 Sector-68</t>
  </si>
  <si>
    <t xml:space="preserve">Plot No.8 Savli Manjusar </t>
  </si>
  <si>
    <t>SF No.43, 2N &amp; M Plot No.234 &amp; 235</t>
  </si>
  <si>
    <t>#5/8 Byandahalli Village</t>
  </si>
  <si>
    <t>Ground Floor, 23 2nd Phase, 3rd "B" Cross</t>
  </si>
  <si>
    <t>486C 14th Cross</t>
  </si>
  <si>
    <t>930, SF No.222/2B, 222/3B Sri Subha Ganesh Industrial Estate</t>
  </si>
  <si>
    <t>107 4th Phase</t>
  </si>
  <si>
    <t>A 27 Sector-68</t>
  </si>
  <si>
    <t>Plot No.531 Industrial Area</t>
  </si>
  <si>
    <t>Khewat No.36/33 Khatoni No.11/21, 11/22, 11/23</t>
  </si>
  <si>
    <t>Khata No.13 Survey No.38/2A/2B &amp; 42</t>
  </si>
  <si>
    <t>Plot No.710A KIADB Aerospace Park, PO Budigere</t>
  </si>
  <si>
    <t>S-26 &amp; S-26/1 MIDC</t>
  </si>
  <si>
    <t>SN. 13/2/2/28 Orchid Plaza</t>
  </si>
  <si>
    <t>Plot No.467, 469  Site No.1/C</t>
  </si>
  <si>
    <t>Plot No.25A Electronics City</t>
  </si>
  <si>
    <t>Survey No.274/2 Mettupalyam Main Road</t>
  </si>
  <si>
    <t>342/1326/110,Naidu Layout Vikash Nagar 3rd Cross, Yarandahalli,</t>
  </si>
  <si>
    <t>SF.No:66/1 lakshmipathi Thottam</t>
  </si>
  <si>
    <t xml:space="preserve">Plot No.18/A. 2nd Phase 1st main road </t>
  </si>
  <si>
    <t xml:space="preserve">Plot No.49,HDIL Industrial park Virar Ahmedabad Highway Road </t>
  </si>
  <si>
    <t>ESP Ahmednagar Mfg Plant A9,A10,ESE ESP Mfg</t>
  </si>
  <si>
    <t>Sy No 50/5 Thimma Reddy Industrial Estate</t>
  </si>
  <si>
    <t>Plot No.25A/5, SIDCO Industrial Estate</t>
  </si>
  <si>
    <t>No.33,34 &amp;35 Sree Annapurneshwari Industrial Estate</t>
  </si>
  <si>
    <t xml:space="preserve">No.118/5-9, 1st Floor industrial Shed Mookambika Temple road </t>
  </si>
  <si>
    <t>B/20,MIDC, Shirur-Satara Road</t>
  </si>
  <si>
    <t xml:space="preserve">Factory No A45, SIPCOT Industrial Growth Centre </t>
  </si>
  <si>
    <t xml:space="preserve">No.11  Annaiappa Street </t>
  </si>
  <si>
    <t># C20 - GF NGEF Ancillary Industrial Estate</t>
  </si>
  <si>
    <t>Village  Dhamaspur, P.O. Badshapur,</t>
  </si>
  <si>
    <t>Unit III,  Plot No.8B</t>
  </si>
  <si>
    <t>#337, Modern Industrial Estate Part-A</t>
  </si>
  <si>
    <t>Survey No, 46 &amp; 47 Phase II, Electronics City</t>
  </si>
  <si>
    <t xml:space="preserve">SF No.455- 1B 455-2B  Poochiyur </t>
  </si>
  <si>
    <t>No.10B  Moogambigai Nagar,</t>
  </si>
  <si>
    <t>Haibatpur Road, Sadomajra, Derabassi,</t>
  </si>
  <si>
    <t>(Formerly known Associated Autotex Ancillaries Pvt Ltd) 6/97 A1 Masagoundenchettipalyam,</t>
  </si>
  <si>
    <t xml:space="preserve">Gala No.235, 2nd Floor, Hiranandani Industrial Estate </t>
  </si>
  <si>
    <t>MPS Mysore Mgf Plant 324-330, KIADB Industrial Estate</t>
  </si>
  <si>
    <t>Gut No.36/2, Property No.945 Paud-paud Highway</t>
  </si>
  <si>
    <t xml:space="preserve">Plot No.67,1st Main Industrial Suburb,2nd Stage </t>
  </si>
  <si>
    <t xml:space="preserve">Plot No-1/1 to 1/4 Mannadipet Commune </t>
  </si>
  <si>
    <t>(A unit of Sandhar technologies ltd) Plot No.B2, SIPCOT Industrial Growth Centre.</t>
  </si>
  <si>
    <t>Plot No.Q20, KSSIDC Industries Estate 3rd Main Road ,2nd Phase Jigani,</t>
  </si>
  <si>
    <t xml:space="preserve">Plot No.340 2nd Floor,9th Cross,4th Phase </t>
  </si>
  <si>
    <t xml:space="preserve">29, Balagaranahalli,  Neralur  Post, </t>
  </si>
  <si>
    <t>EHTP Unit I 187/3 7 188/3, Jigani Hobli,</t>
  </si>
  <si>
    <t xml:space="preserve">Plot No.EL  15/2, EL Block, MIDC, </t>
  </si>
  <si>
    <t>Flat No. 602, Moksh Apartment</t>
  </si>
  <si>
    <t>BanP,903A-Bosch-AA ADC-AA, N0.48/1</t>
  </si>
  <si>
    <t>R&amp;D Centre 62-63, Industrial Estate, Nunhai,</t>
  </si>
  <si>
    <t>RNS 22,SIPCOT Indl Growth Centre Orgadam Expansion Scheme</t>
  </si>
  <si>
    <t>A31 to A34 &amp; A45 to A48 4th Cross, PIPDIC Industrial Area</t>
  </si>
  <si>
    <t>RS No. 136/4,5,6, 13A,14, 15A, 15B, 16B,17B,18B,19,20 NH-32, Pathiri Village</t>
  </si>
  <si>
    <t>Plot No.283B Bom-Jigani Link Rd, KIADB Industrial Area,</t>
  </si>
  <si>
    <t>No.369/3A Oragadam-Sri'budur Bye Pass Road</t>
  </si>
  <si>
    <t>Plot No. 467-469 Site-1C, 12th Cross</t>
  </si>
  <si>
    <t>Plot No.17 SF No.27/1B2A</t>
  </si>
  <si>
    <t>Plot No.B12-B15 MEPZ</t>
  </si>
  <si>
    <t>No.13A, 3rd Phase SIDCO Industrial Complex</t>
  </si>
  <si>
    <t>Unit II NH544</t>
  </si>
  <si>
    <t>#93/2 12th Cross</t>
  </si>
  <si>
    <t>Formerly Known as Minda Industries Ltd Plot No.B3, R&amp;N Supplier Park</t>
  </si>
  <si>
    <t>Plot No.18, R.S No.706 Jamnagar- Lalpur Road</t>
  </si>
  <si>
    <t>Nagpur Plant- ICD Plot No. A-9/1, Additional Butibori</t>
  </si>
  <si>
    <t>No.309 Hebbal Industrial Area</t>
  </si>
  <si>
    <t>No.61-1A Mettuthangal Road</t>
  </si>
  <si>
    <t>No.36C, Block-ST-6 Kurumbapalayam Road</t>
  </si>
  <si>
    <t>E-47 MIDC</t>
  </si>
  <si>
    <t>SI EP IAA FIN P AW -SCM-P AW/Switchgear-MCB</t>
  </si>
  <si>
    <t>No.16-B 1st Phase</t>
  </si>
  <si>
    <t>Plot No.8B Phase-2</t>
  </si>
  <si>
    <t>No.40 Village-Kami</t>
  </si>
  <si>
    <t>Plot No. H1/827 RIICO Industrial Area</t>
  </si>
  <si>
    <t>SR No.172/91 Damanganga Estate</t>
  </si>
  <si>
    <t>#E-131 RIICO Industrial Area</t>
  </si>
  <si>
    <t>#6 Private Industrial Estate</t>
  </si>
  <si>
    <t>#117/F 9th A Cross</t>
  </si>
  <si>
    <t>#173/2 Bandapura Village Road</t>
  </si>
  <si>
    <t>F-101, 102 MIDC</t>
  </si>
  <si>
    <t>Survey No.3/1, Plot No.2, 3 &amp; 4 ELCOT SEZ</t>
  </si>
  <si>
    <t>Survey No.215/3 Piparia Village</t>
  </si>
  <si>
    <t>Survey No.3   Varthur Hobli</t>
  </si>
  <si>
    <t>#67/6 Byraveshwara Timber Behind</t>
  </si>
  <si>
    <t>Survey No.131-135  Ezhichur Main Road</t>
  </si>
  <si>
    <t>SEZ Zone, Plot No.1&amp;2 KIADB Aerospace SEZ</t>
  </si>
  <si>
    <t>Ground Floor Plot No. 74/74A/1
F 2nd Block</t>
  </si>
  <si>
    <t>Plot D1-15/A &amp; D1-15/A Part MIDC</t>
  </si>
  <si>
    <t>#6/303 South Garden</t>
  </si>
  <si>
    <t>Unit-II: Survey No.40 Hissa No. 1, 2 &amp; 3</t>
  </si>
  <si>
    <t>No.65-B Hootagalli Industrial Area</t>
  </si>
  <si>
    <t>Plnt: BD09 Apache Division 30</t>
  </si>
  <si>
    <t>No.25A Electronics City</t>
  </si>
  <si>
    <t>Plot No.F-62 RIICO Industrial Area</t>
  </si>
  <si>
    <t>Tesla Industrial Estate Gala No. 1,2 &amp; 101, 102, Survey No. 158/2/1/B</t>
  </si>
  <si>
    <t># D-10/A and D-10/B MIDC</t>
  </si>
  <si>
    <t>No.A-108 &amp; 107 KSSIDC Industrial Estate</t>
  </si>
  <si>
    <t>Unit No. B-201 Everest Nivara Infotech Park-1, Plot No.D-3</t>
  </si>
  <si>
    <t>Plant: 1400-VEL-iV M-140-141</t>
  </si>
  <si>
    <t>No. 13/37 Avinashi Road</t>
  </si>
  <si>
    <t>Rooled Steel Products Division (RSDP) D. Gudalur Post</t>
  </si>
  <si>
    <t>#17/1 &amp; 18/1 7th A Cross Road, Balaji Nagar</t>
  </si>
  <si>
    <t xml:space="preserve"> No. C-3</t>
  </si>
  <si>
    <t>Plot No.557 - 558 Village- Dekawada</t>
  </si>
  <si>
    <t>Site No.221 Kachanayakanahalli</t>
  </si>
  <si>
    <t>Shree Ram Industrial Zone Sy No.31, Plot No.114, Near Ganga Forg Gate</t>
  </si>
  <si>
    <t>H. No.7/88-P1/58A Plot No.58, Phase-1</t>
  </si>
  <si>
    <t>Works: Sy No.54 55A &amp; 71</t>
  </si>
  <si>
    <t>700B Martin Burn Business Park</t>
  </si>
  <si>
    <t>Plot No.886 Sector-69</t>
  </si>
  <si>
    <t>Shed No.E31-32 Mascot Industrial Park</t>
  </si>
  <si>
    <t>39/7 39th Mile Stone</t>
  </si>
  <si>
    <t>Unit-6 Plot No.141</t>
  </si>
  <si>
    <t>#302B 2nd Phase</t>
  </si>
  <si>
    <t>#134 Kadakola Industrial Area</t>
  </si>
  <si>
    <t>Basement Ground Floor, D-26,27</t>
  </si>
  <si>
    <t xml:space="preserve">(Interplex Electronics India Pvt Ltd) 89A, Hosur Road </t>
  </si>
  <si>
    <t>1st Floor     Adhappilly</t>
  </si>
  <si>
    <t>4/2A Kadankoppa</t>
  </si>
  <si>
    <t>Plot No.21 Bengaluru Aerospace SEZ Devanahalli</t>
  </si>
  <si>
    <t>First Floor, Survey No.16/4 Silicon Town Main Road</t>
  </si>
  <si>
    <t>Gat No.286/2 Behind Suraj Hotel</t>
  </si>
  <si>
    <t>1-A, 1st Phase   Survey No.70</t>
  </si>
  <si>
    <t>Site No.29    11th Cross Road</t>
  </si>
  <si>
    <t>ChiP, Plot No.A 45708</t>
  </si>
  <si>
    <t>Plot No.20, Block 1 &amp; 2 Knowledge Park- III</t>
  </si>
  <si>
    <t>Building No.480/KMC/41 Keerikkad South</t>
  </si>
  <si>
    <t>Survey No.179/2K Kothanur Village</t>
  </si>
  <si>
    <t>Plot No. 11 &amp; 11-A New SIDCO Industrial Estate</t>
  </si>
  <si>
    <t>No.271 4th Phase</t>
  </si>
  <si>
    <t>Plot No.95 Road No.7</t>
  </si>
  <si>
    <t>Plot No.90 Udyog Kendra-II</t>
  </si>
  <si>
    <t>ESP Ahmednagar Mfg Plant A9, A10</t>
  </si>
  <si>
    <t>Plot No.C-78 STICE</t>
  </si>
  <si>
    <t>B101/2 Anand Nagar</t>
  </si>
  <si>
    <t>Haibatpur Road, Sadomajra</t>
  </si>
  <si>
    <t>Plot No.35 4th Phase</t>
  </si>
  <si>
    <t>25A Electronics City</t>
  </si>
  <si>
    <t>A-61 Sector-64</t>
  </si>
  <si>
    <t>Door No. 22-5752ABC 753A, Techbay, P L Compound</t>
  </si>
  <si>
    <t>S No.21/A Agraharam Village</t>
  </si>
  <si>
    <t>Unit-3: EOU  Survey No. 11</t>
  </si>
  <si>
    <t>Plot No.44    Sector-68</t>
  </si>
  <si>
    <t xml:space="preserve">Plot No.19 4th Cross   </t>
  </si>
  <si>
    <t>Khasra No.36 Village Behra</t>
  </si>
  <si>
    <t>RBIN Naganathpur Plant-GS-SP</t>
  </si>
  <si>
    <t>A-396/397 TTC Industrial Area</t>
  </si>
  <si>
    <t>Door No. 111 Plot No. 1 to 3 and 16 to 18</t>
  </si>
  <si>
    <t>Rolled Steel Product Div (RSDP) D. Gudalur Post</t>
  </si>
  <si>
    <t>Plot No.291 &amp; 292 Sompura Industrial Area</t>
  </si>
  <si>
    <t>Plot No.14 3rd Street</t>
  </si>
  <si>
    <t>S-23 SIDC Industrial Area</t>
  </si>
  <si>
    <t>No.141 S. Mudaganapalli Village</t>
  </si>
  <si>
    <t>No.77, White Oaks Hi-Tech Defence &amp; Aerospace Park</t>
  </si>
  <si>
    <t>VPIPL-Chennai-U1 (HO), No.G13 &amp; 14/1 3rd Cross Road, SIPCOT Industrial Park</t>
  </si>
  <si>
    <t>Plant 17 Gat No.139/1 &amp; 139/2</t>
  </si>
  <si>
    <t>Terminal House, Building No.3 Merchant Industrial Complex</t>
  </si>
  <si>
    <t>No.199/5 12th Main</t>
  </si>
  <si>
    <t>Plot No.85/A B, D &amp; E, 'E' Road</t>
  </si>
  <si>
    <t>#10 2nd Main, 9th Cross</t>
  </si>
  <si>
    <t># 44, 29th Cross Road 7th Main Road</t>
  </si>
  <si>
    <t>No.48 2nd Main</t>
  </si>
  <si>
    <t>Shed No.02 Survey No.51/1A, Huskur Road</t>
  </si>
  <si>
    <t>NH-10 Delhi-Rohtak Road</t>
  </si>
  <si>
    <t>#5, Sy No.89-90 Jigani Bommasamdra Industrial Layout</t>
  </si>
  <si>
    <t>No.57 Athipalyam Road</t>
  </si>
  <si>
    <t>Gat No.409/1 Nanekarwadi</t>
  </si>
  <si>
    <t>No.15, Sy No.48/5 1st Main Road, 1st Cross</t>
  </si>
  <si>
    <t>S-1/Part/B, Sy No.114/1 TSIIC E-City</t>
  </si>
  <si>
    <t>No.6A Attibele Industrial Area</t>
  </si>
  <si>
    <t>Plot No.467-469 Site 1-C</t>
  </si>
  <si>
    <t>Industrial Development Area Nalam Mile</t>
  </si>
  <si>
    <t>Plot No.13 Phase 2</t>
  </si>
  <si>
    <t>Plot No. R604 TTC Industrial Area</t>
  </si>
  <si>
    <t>No. 36 Old Mangammanapalya Rd</t>
  </si>
  <si>
    <t>Sy No.21/8A1C Part &amp; Sy No.21/8A 1B</t>
  </si>
  <si>
    <t>Plot No.340 2nd Floor,9th Cross</t>
  </si>
  <si>
    <t>SF No.330/2 C3 Site No.4</t>
  </si>
  <si>
    <t>Shed No.74 SIDCO Indl Estate</t>
  </si>
  <si>
    <t>#49/A, 2nd Phase Opp. Aravind Motors</t>
  </si>
  <si>
    <t xml:space="preserve">#06 5th Cross   </t>
  </si>
  <si>
    <t>#1 Shivagangai Main Road</t>
  </si>
  <si>
    <t>#41 2nd Main Road</t>
  </si>
  <si>
    <t>LPED New MCB Nfg Line Survey No.88/3 &amp; 88/4</t>
  </si>
  <si>
    <t>Phase 2 Village Badhalwadi</t>
  </si>
  <si>
    <t>Valiram Sons, LBS Marg Near Tank Road Junction</t>
  </si>
  <si>
    <t>F-223 Supa Parner Industrial Park</t>
  </si>
  <si>
    <t>Plot No.311 Sector-8</t>
  </si>
  <si>
    <t>start_dt</t>
  </si>
  <si>
    <t>end_dt</t>
  </si>
  <si>
    <t>Contact No.</t>
  </si>
  <si>
    <t>Address1</t>
  </si>
  <si>
    <t>Address2</t>
  </si>
  <si>
    <t>Address3</t>
  </si>
  <si>
    <t xml:space="preserve">Sat </t>
  </si>
  <si>
    <t xml:space="preserve"> inv date</t>
  </si>
  <si>
    <t xml:space="preserve">  inv value</t>
  </si>
  <si>
    <t xml:space="preserve"> inv no</t>
  </si>
  <si>
    <t>Mc No</t>
  </si>
  <si>
    <t>gst no.</t>
  </si>
  <si>
    <t>Sat</t>
  </si>
  <si>
    <t>not_filled</t>
  </si>
  <si>
    <t>cz</t>
  </si>
  <si>
    <t>Row Labels</t>
  </si>
  <si>
    <t>Grand Total</t>
  </si>
  <si>
    <t xml:space="preserve"> JJG Aero Pvt Ltd (J.J. Glastronics Pvt Ltd) 8011</t>
  </si>
  <si>
    <t xml:space="preserve"> Praveen Engg Industries 8013</t>
  </si>
  <si>
    <t>40491 8071</t>
  </si>
  <si>
    <t>A.C Industries 2301</t>
  </si>
  <si>
    <t>A.G. Industries 8013</t>
  </si>
  <si>
    <t>A.G. Industries 8031</t>
  </si>
  <si>
    <t>Aalpha Systems and Engg Pvt Ltd 8061</t>
  </si>
  <si>
    <t>Aashirwad Filcomps Pvt Ltd 1161</t>
  </si>
  <si>
    <t>ABB India Ltd 8054</t>
  </si>
  <si>
    <t>ABB Power products &amp; Systems India Ltd (ABB India Limited) 8051</t>
  </si>
  <si>
    <t>ABDOS Labtech Pvt Ltd 1042</t>
  </si>
  <si>
    <t>Abhi burnishing Tools 4111</t>
  </si>
  <si>
    <t>Abhi Metals 5401</t>
  </si>
  <si>
    <t>ABI Showatech (India) Limited 4033</t>
  </si>
  <si>
    <t>Accumatch Die Casters 8004</t>
  </si>
  <si>
    <t>Accumax Lab Devices Pvt Ltd 5021</t>
  </si>
  <si>
    <t>Accura Toolings 8051</t>
  </si>
  <si>
    <t>Accurate Engg Enterprises 8051</t>
  </si>
  <si>
    <t>Accurate Industrial Machining (TopFlite Components) 8023</t>
  </si>
  <si>
    <t>Accurate Manufacturing Company 8012</t>
  </si>
  <si>
    <t>Accurate Springs Pvt Ltd 4021</t>
  </si>
  <si>
    <t>Accusharp 2411</t>
  </si>
  <si>
    <t>Accusharp Cutting Tools Pvt Ltd 2411</t>
  </si>
  <si>
    <t>Ace Multi Axes Systems Ltd., 8051</t>
  </si>
  <si>
    <t>AceInotec Manufacturing Pvt Ltd 8051</t>
  </si>
  <si>
    <t>Acetech (CNC Automotive) 8051</t>
  </si>
  <si>
    <t>ACG Metalcrafts Private Limited 2451</t>
  </si>
  <si>
    <t>ACG Pam Pharma Technologies Pvt. Ltd 2224</t>
  </si>
  <si>
    <t>Acumen Tools 8012</t>
  </si>
  <si>
    <t>Aczet Pvt Ltd (Citizen Scales India Pvt Ltd) 2112</t>
  </si>
  <si>
    <t>Addison &amp; Co. Ltd 4031</t>
  </si>
  <si>
    <t>Aditek 8004</t>
  </si>
  <si>
    <t>Aditya Dispomed Products Pvt Ltd 1111</t>
  </si>
  <si>
    <t>Advanced Cutting Tools 8051</t>
  </si>
  <si>
    <t>Aequs Consumer Products Pvt Ltd 8001</t>
  </si>
  <si>
    <t>AeroMech Technologies (P) Ltd 8051</t>
  </si>
  <si>
    <t>AFC Elastomers Technology Pvt Ltd 5112</t>
  </si>
  <si>
    <t>AG Industries 1042</t>
  </si>
  <si>
    <t>AGI Greenpac Ltd (HSIL Limited) 6011</t>
  </si>
  <si>
    <t>Agile Electric Subassembly Pvt. Ltd 4024</t>
  </si>
  <si>
    <t>AGS Visions Pvt Ltd 1334</t>
  </si>
  <si>
    <t>AH Mec 8071</t>
  </si>
  <si>
    <t>Aimtech Toolings 8051</t>
  </si>
  <si>
    <t>Aisin Automotives Haryana Pvt Ltd 1111</t>
  </si>
  <si>
    <t>Aisin Automotives Haryana Pvt Ltd 5011</t>
  </si>
  <si>
    <t>Ajanta Ltd. 1042</t>
  </si>
  <si>
    <t>Akshar Brass Industries 5401</t>
  </si>
  <si>
    <t>Alagappa Chettiar College of Engg 4013</t>
  </si>
  <si>
    <t>Alfanar Electrical System 0000</t>
  </si>
  <si>
    <t>Alliance Metal India 5401</t>
  </si>
  <si>
    <t>Allison Transmission India Pvt Ltd 4031</t>
  </si>
  <si>
    <t>Alpha Engineers 1161</t>
  </si>
  <si>
    <t>Alpla India Pvt Ltd 6011</t>
  </si>
  <si>
    <t>Alpro Extrusion Private Limited (GRK Tech Centre-Gurgaon) 8005</t>
  </si>
  <si>
    <t>Amar Equipments Pvt Ltd 2224</t>
  </si>
  <si>
    <t>AMB Services 4031</t>
  </si>
  <si>
    <t>Ametek Instrumentts India Pvt Ltd 8081</t>
  </si>
  <si>
    <t>Amphenol Interconnect India Pvt Ltd 2411</t>
  </si>
  <si>
    <t>Amphenol Interconnect India Pvt. Ltd. 8011</t>
  </si>
  <si>
    <t>Amritha Tool Crafts Pvt. Ltd. 6021</t>
  </si>
  <si>
    <t>Anand Engg 8012</t>
  </si>
  <si>
    <t>Anand Testing Machine Services 8004</t>
  </si>
  <si>
    <t>Ananth Wiretech Tooling 8013</t>
  </si>
  <si>
    <t>Anil Plastics &amp; Enterprises 2421</t>
  </si>
  <si>
    <t>Ankita Crafts 4161</t>
  </si>
  <si>
    <t>Anvish Precision 8007</t>
  </si>
  <si>
    <t>AO Smith India Water Heating Pvt Ltd 8022</t>
  </si>
  <si>
    <t>Appasamy Associates 4013</t>
  </si>
  <si>
    <t>Aquasub Engg 4131</t>
  </si>
  <si>
    <t>AR Precision 8021</t>
  </si>
  <si>
    <t>AR Technoplast Pvt Ltd 8012</t>
  </si>
  <si>
    <t>Arun Plasto Moulders (I) (P) Ltd (Haridwar) 1042</t>
  </si>
  <si>
    <t>Arun Plasto Moulders (I) (P) Ltd 4031</t>
  </si>
  <si>
    <t>Ashimori India Private Limited 1114</t>
  </si>
  <si>
    <t>Ashok Leyland Ltd (Candid Micron) 4161</t>
  </si>
  <si>
    <t>Ashvini Magnets P Ltd 2421</t>
  </si>
  <si>
    <t>Ashwani Metals Pvt Ltd 5401</t>
  </si>
  <si>
    <t>Astr Defence Pvt Ltd 8001</t>
  </si>
  <si>
    <t>AT &amp; S India (P) Ltd 8033</t>
  </si>
  <si>
    <t>AT India Auto Parts Pvt Ltd 8032</t>
  </si>
  <si>
    <t>Athereya Enterprises 8011</t>
  </si>
  <si>
    <t>Auolab 4101</t>
  </si>
  <si>
    <t>Aureate India (Old Name:Accuplast) 8051</t>
  </si>
  <si>
    <t>Aurolab (Moulding Dept) 4101</t>
  </si>
  <si>
    <t>Aurolab 4101</t>
  </si>
  <si>
    <t>Auronex Precision Pvt ltd 8051</t>
  </si>
  <si>
    <t>Auto CNC Machining Ltd., 8051</t>
  </si>
  <si>
    <t>Autoliv India Pvt Ltd 8071</t>
  </si>
  <si>
    <t>Automat Irrigation Pvt Ltd 1042</t>
  </si>
  <si>
    <t>Automatic Instruments Pvt Ltd  1111</t>
  </si>
  <si>
    <t>Autotex Pvt Ltd ( Unit-2) 4162</t>
  </si>
  <si>
    <t>AVMM Technology Pvt Ltd (AVM Engg Service) 4022</t>
  </si>
  <si>
    <t>Balaji Aluminium Extrusions Pvt Ltd 1121</t>
  </si>
  <si>
    <t>BC Instruments India Pvt Ltd 5112</t>
  </si>
  <si>
    <t>Belz Instruments Pvt Ltd 1161</t>
  </si>
  <si>
    <t>Benaka Technologies 8051</t>
  </si>
  <si>
    <t>Besmak Components P Ltd 4042</t>
  </si>
  <si>
    <t>Besmak Components Pvt Ltd 4031</t>
  </si>
  <si>
    <t>Best Tooling 4161</t>
  </si>
  <si>
    <t>BG LI-IN Electricals Ltd 2021</t>
  </si>
  <si>
    <t>Bhabha Atomic Research Centre 2115</t>
  </si>
  <si>
    <t>Bhabha Atomic Research Centre 2224</t>
  </si>
  <si>
    <t>Bhansali Component &amp; Fasteners 2112</t>
  </si>
  <si>
    <t>Bhansali Precision (Bhansali Precision Components) 2112</t>
  </si>
  <si>
    <t>Bharat Electronics Ltd 8051</t>
  </si>
  <si>
    <t>Bharati Innovative Technocrafts Pvt Ltd 6021</t>
  </si>
  <si>
    <t>Bharti Enterprise 5401</t>
  </si>
  <si>
    <t>Bharti Hydrofitments &amp; Engineers Pvt Ltd 1335</t>
  </si>
  <si>
    <t>Bhavani Industries 8011</t>
  </si>
  <si>
    <t>Bhavani Industries 8032</t>
  </si>
  <si>
    <t>Bhavani Machining Solutions Pvt Ltd 8011</t>
  </si>
  <si>
    <t>Bhogale Industries 2021</t>
  </si>
  <si>
    <t>Bhullar Industries 1161</t>
  </si>
  <si>
    <t>Bhumi Brass and Alloy 5401</t>
  </si>
  <si>
    <t>Bilva Technologies Pvt Ltd 8051</t>
  </si>
  <si>
    <t>Bit-Tul Pvt Ltd 8023</t>
  </si>
  <si>
    <t>Boeing India Pvt Ltd 8071</t>
  </si>
  <si>
    <t>Bosch Electrical Drives I P Ltd 4011</t>
  </si>
  <si>
    <t>Bosch Limited 1015</t>
  </si>
  <si>
    <t>Bosch Limited 2301</t>
  </si>
  <si>
    <t>Bosch Limited 4102</t>
  </si>
  <si>
    <t>Bosch Limited 8011</t>
  </si>
  <si>
    <t>Bosch Ltd (Disha Enterprises) 8011</t>
  </si>
  <si>
    <t>Bosch Ltd 4031</t>
  </si>
  <si>
    <t>Bosch Ltd 8011</t>
  </si>
  <si>
    <t>Brakes India Ltd 4031</t>
  </si>
  <si>
    <t>Brakes India Pvt Ltd 4024</t>
  </si>
  <si>
    <t>Brakes India Pvt Ltd 4031</t>
  </si>
  <si>
    <t>Brakes India Pvt Ltd 4034</t>
  </si>
  <si>
    <t>Brakes India Pvt Ltd 4041</t>
  </si>
  <si>
    <t>Brakes India Pvt Ltd 4052</t>
  </si>
  <si>
    <t>Brakes India Pvt Ltd 5131</t>
  </si>
  <si>
    <t>Bright brother (Candid Milcron) 4013</t>
  </si>
  <si>
    <t>British Engines India Pvt Ltd 8012</t>
  </si>
  <si>
    <t>British Engines India Pvt Ltd 8013</t>
  </si>
  <si>
    <t>Brown Diamond Tools 4021</t>
  </si>
  <si>
    <t>BRS Precision Manufacturing Pvt. Ltd., 8022</t>
  </si>
  <si>
    <t>BRS Precision Manufacturing Pvt. Ltd., 8032</t>
  </si>
  <si>
    <t>Brukar Metal Components Pvt Ltd 8023</t>
  </si>
  <si>
    <t>BSC Rubber Industries 2021</t>
  </si>
  <si>
    <t>BVGK Engg P Ltd 4041</t>
  </si>
  <si>
    <t>Byraveshwara Engg Enterprises 8041</t>
  </si>
  <si>
    <t>C &amp; S Electric Ltd 1042</t>
  </si>
  <si>
    <t>C &amp; S Electric Ltd 1151</t>
  </si>
  <si>
    <t>Cadd Pro Tooling 8051</t>
  </si>
  <si>
    <t>Canbus Audio International 1162</t>
  </si>
  <si>
    <t>Candid Micron Measurements P Ltd. 4161</t>
  </si>
  <si>
    <t>Candid Micron Measurements Pvt Ltd 4161</t>
  </si>
  <si>
    <t>Caparo Engg India Pvt. Ltd 4031</t>
  </si>
  <si>
    <t>Capital Tool Industries 1333</t>
  </si>
  <si>
    <t>Carboloy Precision Stamping 4161</t>
  </si>
  <si>
    <t>Care Group India 5112</t>
  </si>
  <si>
    <t>Central Electrochemical Research Institute 4013</t>
  </si>
  <si>
    <t>Central Manufacturing Technology Institute 5301</t>
  </si>
  <si>
    <t>Centum Industries P Ltd. 8071</t>
  </si>
  <si>
    <t>Century Extrusions Limited 3002</t>
  </si>
  <si>
    <t>Ceratizit India Pvt Ltd 8005</t>
  </si>
  <si>
    <t>CG Power &amp; Industrial soln Ltd (Crompton Greaves Ltd) 2021</t>
  </si>
  <si>
    <t>CG Power &amp; Industrial soln Ltd (Crompton Greaves Ltd) 2301</t>
  </si>
  <si>
    <t>Chakradhara Aerospace &amp; Cargo Pvt Ltd 4111</t>
  </si>
  <si>
    <t>Chamundi Die Cast (P) Ltd 4033</t>
  </si>
  <si>
    <t>Chennai Autotech Engg Pvt Ltd 4022</t>
  </si>
  <si>
    <t>CIM Tools Pvt Ltd 8051</t>
  </si>
  <si>
    <t>CIM Tools Pvt Ltd 8071</t>
  </si>
  <si>
    <t>Classic Stripes Pvt Ltd 2222</t>
  </si>
  <si>
    <t>CMBF Trading &amp; Manufacturing India Pvt Ltd (Carlisle Trading &amp; Manufacturing India Pvt Ltd) (CMM) 4031</t>
  </si>
  <si>
    <t>CNC Autocom (Auto Com Engineers) 8012</t>
  </si>
  <si>
    <t>CNC Engravers 2441</t>
  </si>
  <si>
    <t>Coindia Modern Tool Room 4161</t>
  </si>
  <si>
    <t>Colgate Palmolive India Ltd 2114</t>
  </si>
  <si>
    <t>College of Engg 2441</t>
  </si>
  <si>
    <t>College of Engg 4103</t>
  </si>
  <si>
    <t>Compaero India Pvt Ltd 4103</t>
  </si>
  <si>
    <t>Concord United Products Pvt Ltd 8051</t>
  </si>
  <si>
    <t>Connectwell Industries P Ltd. 2223</t>
  </si>
  <si>
    <t>Connectwell Industries Pvt Ltd. 0000</t>
  </si>
  <si>
    <t>Connectwires Engg (Zeeta Electricals) 5011</t>
  </si>
  <si>
    <t>Continental Automotive Components (I) P L 1111</t>
  </si>
  <si>
    <t>Continental Automotive Components (I) P L 8013</t>
  </si>
  <si>
    <t>Continental Tools &amp; Components 1161</t>
  </si>
  <si>
    <t>Coptec 2111</t>
  </si>
  <si>
    <t>Craftsman Automation Ltd 4111</t>
  </si>
  <si>
    <t>CRD Endustriyel Kontrol Sistemleri San Tic L 0000</t>
  </si>
  <si>
    <t>Creative Propack Ltd 4013</t>
  </si>
  <si>
    <t>Crescent Moulds &amp; Precision Engg 4022</t>
  </si>
  <si>
    <t>Crest Metal Engg LLP 5401</t>
  </si>
  <si>
    <t>CRK CNC Industries 8051</t>
  </si>
  <si>
    <t>CTC (India) Pvt Ltd 0000</t>
  </si>
  <si>
    <t>Cuse Metrology &amp; Quality Management Services 4161</t>
  </si>
  <si>
    <t>Dagger Master Tools (P) Ltd. 2021</t>
  </si>
  <si>
    <t>Dalal Plastic Corporation 2222</t>
  </si>
  <si>
    <t>Dalal Plastic Corporation 2224</t>
  </si>
  <si>
    <t>Dalal Plastics PvtLtd 6021</t>
  </si>
  <si>
    <t>DAN Plastics 8033</t>
  </si>
  <si>
    <t>Decon India Plastics Pvt Ltd 2421</t>
  </si>
  <si>
    <t>Deep Plastics Industries 2222</t>
  </si>
  <si>
    <t>Delphi TVS Diesel Systems Ltd (VCO Nozzle &amp; Needle Inspection) 4031</t>
  </si>
  <si>
    <t>Delphi TVS Diesel Systems Ltd. (Metring Value-with R-axis) 4031</t>
  </si>
  <si>
    <t>Delphi TVS Diesel Systems Ltd. 4031</t>
  </si>
  <si>
    <t>Delta CNC Applications 8013</t>
  </si>
  <si>
    <t>Derewala Industries Ltd., 1015</t>
  </si>
  <si>
    <t>Devi Turnomatics Pvt Ltd 5401</t>
  </si>
  <si>
    <t>Dhawan Engineers Pvt Ltd 1111</t>
  </si>
  <si>
    <t>Dhoot Transmission Pvt Ltd. 2021</t>
  </si>
  <si>
    <t>Dhruv Industries Limited 1111</t>
  </si>
  <si>
    <t>Diamond Tooling Systems 0000</t>
  </si>
  <si>
    <t>Dias-C Tools and Components 2411</t>
  </si>
  <si>
    <t>Die plast Pvt Ltd 2222</t>
  </si>
  <si>
    <t>Die-Tech India pvt Ltd 4031</t>
  </si>
  <si>
    <t>Dilsen Autoplast 4022</t>
  </si>
  <si>
    <t>Divine Toolings 2411</t>
  </si>
  <si>
    <t>Divinestamp Pvt Ltd 8013</t>
  </si>
  <si>
    <t>DJ Irrigation 2301</t>
  </si>
  <si>
    <t>DJ Manufacturing 4161</t>
  </si>
  <si>
    <t>Doctor Pack India Pvt. Ltd., 8012</t>
  </si>
  <si>
    <t>Dong Ah Electric India Pvt Ltd (Candid Micron) 4161</t>
  </si>
  <si>
    <t>DS Techno Rubber 4022</t>
  </si>
  <si>
    <t>Durga Auto Parts Industries 1312</t>
  </si>
  <si>
    <t>Dynamic Transmission Ltd 2114</t>
  </si>
  <si>
    <t>Eastman Cast &amp; Forge Limited 1335</t>
  </si>
  <si>
    <t>Easun Reyrolle Ltd 8031</t>
  </si>
  <si>
    <t>Edge Gro Industries 1141</t>
  </si>
  <si>
    <t>Efficient Methods 2301</t>
  </si>
  <si>
    <t>Efficient Plastech Pvt Ltd (Efficient Engg) 2112</t>
  </si>
  <si>
    <t>Egearz Pvt Ltd 2451</t>
  </si>
  <si>
    <t>Elan Diamond Tools Ltd 4031</t>
  </si>
  <si>
    <t>EL-Chico Clutch Pvt Ltd 1161</t>
  </si>
  <si>
    <t>ELCIA Cluster 8011</t>
  </si>
  <si>
    <t>Elcko Mould Centre (Kads Engg Solutions) 4103</t>
  </si>
  <si>
    <t>Electracon Paradise Ltd 1162</t>
  </si>
  <si>
    <t>Electromech India Pvt Ltd (Electromech Industries) 1042</t>
  </si>
  <si>
    <t>Elemech Engg Solution (Bhavani Industries) 8051</t>
  </si>
  <si>
    <t>Elgi Equipments Ltd (Candid Micron) 4131</t>
  </si>
  <si>
    <t>Elgi Equipments Ltd 4131</t>
  </si>
  <si>
    <t>Elite Technologies 6021</t>
  </si>
  <si>
    <t>Elvee Springs Pvt Ltd 8051</t>
  </si>
  <si>
    <t>Empire Machine Tools Pvt Ltd 4112</t>
  </si>
  <si>
    <t>Engineered Components &amp; Systems India Pvt Ltd  8051</t>
  </si>
  <si>
    <t>Ennovi Mobility Solutions India Pvt Ltd 8011</t>
  </si>
  <si>
    <t>Epitome Components 2431</t>
  </si>
  <si>
    <t>Esbee Industrial Combines 2411</t>
  </si>
  <si>
    <t>Ess Enn Auto CNC P Ltd 8051</t>
  </si>
  <si>
    <t>Essem Srinisons Systems Pvt Ltd (Srinisons Wiring Systems Pvt Ltd) 1111</t>
  </si>
  <si>
    <t>EssKay Corporation 0000</t>
  </si>
  <si>
    <t>Esya Engg Pvt Ltd 4041</t>
  </si>
  <si>
    <t>Eta Aerospace Pvt Ltd (Pams Engg) 8033</t>
  </si>
  <si>
    <t>Eureka Extrusions and Finishers 8033</t>
  </si>
  <si>
    <t>Exa Thermometrics India P Ltd 8011</t>
  </si>
  <si>
    <t>Excel Metal Engg Pvt Ltd 8051</t>
  </si>
  <si>
    <t>Excel Plast 4161</t>
  </si>
  <si>
    <t>Excellent Hi Care Pvt Ltd 0000</t>
  </si>
  <si>
    <t>Excelon Technologies 8051</t>
  </si>
  <si>
    <t>Fair Field Engineers 1161</t>
  </si>
  <si>
    <t>Falcon Toolings 4111</t>
  </si>
  <si>
    <t>Fastenex Pvt Ltd (Leo Fasteners) 4013</t>
  </si>
  <si>
    <t>Federal Mogul Bearings India Limited 1312</t>
  </si>
  <si>
    <t>Federal Mogul Goetze (India) Ltd 1333</t>
  </si>
  <si>
    <t>Federal Mogul Goetze (India) Ltd 8071</t>
  </si>
  <si>
    <t>Ferrero India Pvt Ltd (IMSOFER Division) 2411</t>
  </si>
  <si>
    <t>Festo India Pvt Ltd 8012</t>
  </si>
  <si>
    <t>Fiducia Autotech Industries 1114</t>
  </si>
  <si>
    <t>FIEM Industries Limited 1114</t>
  </si>
  <si>
    <t>Filcomps 8052</t>
  </si>
  <si>
    <t>Fine Blanking Pvt. Ltd., 8001</t>
  </si>
  <si>
    <t>Fine Care Biosystems 5301</t>
  </si>
  <si>
    <t>Fine Line Circuits Limited (HTMU) 2224</t>
  </si>
  <si>
    <t>Fine Tools (India) Pvt Ltd 8051</t>
  </si>
  <si>
    <t>First Engg Plastics (I) (P) Ltd 4031</t>
  </si>
  <si>
    <t>First Technologies (India) Pvt Ltd 4013</t>
  </si>
  <si>
    <t>Flamagas India Pvt Ltd 4021</t>
  </si>
  <si>
    <t>Foreaxis Technology  8021</t>
  </si>
  <si>
    <t>Formar CV Brakes India Pvt Ltd 1132</t>
  </si>
  <si>
    <t>Fortune Plastech 8051</t>
  </si>
  <si>
    <t>Future Brake Components 1162</t>
  </si>
  <si>
    <t>Future Technologies 8041</t>
  </si>
  <si>
    <t>G.M. Industries 8051</t>
  </si>
  <si>
    <t>G.N.Surgicals 1141</t>
  </si>
  <si>
    <t>Gandhi Springs Pvt Ltd 1111</t>
  </si>
  <si>
    <t>Ganesh Industries 2451</t>
  </si>
  <si>
    <t>Gautam Packaging P Ltd 1111</t>
  </si>
  <si>
    <t>GE Renewabla Energy Technologies Pvt Ltd (GE India Tech Centre) 8081</t>
  </si>
  <si>
    <t>General Industrial Controls (P) Ltd 2411</t>
  </si>
  <si>
    <t>General Mechanical Industries 2113</t>
  </si>
  <si>
    <t>Geoff Poly Technologies 4022</t>
  </si>
  <si>
    <t>GESCO Healthcare Pvt Ltd (General Surgical Company (I) PVT. Ltd) 4032</t>
  </si>
  <si>
    <t>Gilbarco Veeder Root India Pvt. Ltd., 4131</t>
  </si>
  <si>
    <t>GKDITR Tooling Centre 4111</t>
  </si>
  <si>
    <t>GKM Metal Finishers 8013</t>
  </si>
  <si>
    <t>Gleason Works (India) Pvt Ltd 8071</t>
  </si>
  <si>
    <t>Gnutti Carlo India Pvt ltd 4033</t>
  </si>
  <si>
    <t>Go Green Overseas 5301</t>
  </si>
  <si>
    <t>Goodrich Aerospace Services P Ltd 8071</t>
  </si>
  <si>
    <t>Gowel Rubber Industries 1161</t>
  </si>
  <si>
    <t>G-Plast Pvt Ltd 4112</t>
  </si>
  <si>
    <t>Grindstar Tools and Machinery (Shabari Impacts) 8051</t>
  </si>
  <si>
    <t>Hanon Automotive Systems India Pvt Ltd (Visteon Automotive Sys I Pvt Ltd) 4024</t>
  </si>
  <si>
    <t>Harinder Industries Pvt Ltd 1111</t>
  </si>
  <si>
    <t>Harkesh Rubber Industries 2301</t>
  </si>
  <si>
    <t>Haryana Plastics &amp; Engg Works 1162</t>
  </si>
  <si>
    <t>Havells india Ltd. 1161</t>
  </si>
  <si>
    <t>Headways Industries (Silcotech Bonny Products India Pvt. Ltd) 1151</t>
  </si>
  <si>
    <t>Helvoet Rubber &amp; Plastic Technologies (I) Pvt Ltd 2441</t>
  </si>
  <si>
    <t>Henkel Anand India Pvt Ltd 1312</t>
  </si>
  <si>
    <t>Hical Technologies Pvt Ltd 8011</t>
  </si>
  <si>
    <t>Hilton Engine Valves 5301</t>
  </si>
  <si>
    <t>Hind High Vaccum Co. Pvt. Ltd., 8051</t>
  </si>
  <si>
    <t>Hindalco Industries Ltd (Sapa Extrusion India Pvt Ltd) 8084</t>
  </si>
  <si>
    <t>Hindustan Platinum PR  0000</t>
  </si>
  <si>
    <t>Hindustan Platinum Pvt Ltd 2224</t>
  </si>
  <si>
    <t>Hisar Steels Pvt Ltd 0000</t>
  </si>
  <si>
    <t>Hivi Precision Pvt Ltd (Vijaya Auto Products) 8021</t>
  </si>
  <si>
    <t>Hoffen Plastics Pvt Ltd 6021</t>
  </si>
  <si>
    <t>Honeywell International (India) Pvt. Ltd 1111</t>
  </si>
  <si>
    <t>HPL Electric &amp; Power Ltd 1313</t>
  </si>
  <si>
    <t>HPL Electric &amp; Power Pvt. Ltd 1132</t>
  </si>
  <si>
    <t>HPL Eletric &amp; Power Pvt. Ltd 1313</t>
  </si>
  <si>
    <t>Hulgol Aerospace Private Limited 8051</t>
  </si>
  <si>
    <t>Hyo Seong Electric India Pvt Ltd (Candid Micron) 4161</t>
  </si>
  <si>
    <t>Hyo Seong Electric India Pvt Ltd 4031</t>
  </si>
  <si>
    <t>Ideal Sheet Metal Stampings &amp; Pressings Pvt Ltd 2431</t>
  </si>
  <si>
    <t>IFB Automotive Pvt Ltd 8082</t>
  </si>
  <si>
    <t>IFB Industries Ltd (Bangalore unit) 8082</t>
  </si>
  <si>
    <t>IFB Industries Ltd (Kolkata unit) 8005</t>
  </si>
  <si>
    <t>Igarashi Motors India Ltd 4023</t>
  </si>
  <si>
    <t>Ikon Moulders Pvt Ltd 2431</t>
  </si>
  <si>
    <t>IM Gears Pvt Ltd 4041</t>
  </si>
  <si>
    <t>IMAC Cables India Pvt Ltd 4022</t>
  </si>
  <si>
    <t>Image Labels Pvt Ltd 8023</t>
  </si>
  <si>
    <t>Impact Tool Crafts Pvt Ltd 2411</t>
  </si>
  <si>
    <t>Imperial Pharmachines Pvt Ltd 2224</t>
  </si>
  <si>
    <t>Impex Plastic Works 1161</t>
  </si>
  <si>
    <t>Indian Air Force (3BRD) (Sesha Tools Pvt Ltd) 1334</t>
  </si>
  <si>
    <t>Indian Institute of Technology (BHU) 0000</t>
  </si>
  <si>
    <t>Indian Institute of Technology (Bombay) 2114</t>
  </si>
  <si>
    <t>Indian Institute of Technology (Mumbai) 2224</t>
  </si>
  <si>
    <t>Indian Writing Instruments Pvt Ltd 2301</t>
  </si>
  <si>
    <t>Indira Gandhi Centre For Atomic Research (IGCAR) 4012</t>
  </si>
  <si>
    <t>Indo MIM  Pvt Ltd 8061</t>
  </si>
  <si>
    <t>Indo Tools &amp; Dies (India) Pvt Ltd 4041</t>
  </si>
  <si>
    <t>Indo-MIM Pvt Ltd (INDO MIM Tec Pvt Ltd) 8061</t>
  </si>
  <si>
    <t>Innomech Aerospace Toolings Pvt Ltd 8071</t>
  </si>
  <si>
    <t>Instrument India 8051</t>
  </si>
  <si>
    <t>Integra Automation P Ltd. 4041</t>
  </si>
  <si>
    <t>Integral Cable and Interconnect LLP 4034</t>
  </si>
  <si>
    <t>Integrated CAD CAM Solutions Pvt Ltd 2224</t>
  </si>
  <si>
    <t>Interface Microsystems 1111</t>
  </si>
  <si>
    <t>International Aerospace Manufacturing Pvt Ltd 8013</t>
  </si>
  <si>
    <t>Intessence Solutions Pvt Ltd 8051</t>
  </si>
  <si>
    <t>IP Rings Ltd (IP Pins Ltd) 4024</t>
  </si>
  <si>
    <t>IP Rings Ltd (OCF Division) 4031</t>
  </si>
  <si>
    <t>Iscon Surgicals Ltd. 1002</t>
  </si>
  <si>
    <t>ISRO Satellite Centre 8071</t>
  </si>
  <si>
    <t>IWI Stationery Pvt Ltd 1001</t>
  </si>
  <si>
    <t>J D Industries 8021</t>
  </si>
  <si>
    <t>J J Glastronics Pvt. Ltd 8011</t>
  </si>
  <si>
    <t>J K Fenner (India) Limited 4031</t>
  </si>
  <si>
    <t>J K Fenner (India) Limited 6011</t>
  </si>
  <si>
    <t>J L Multitech (J.L Engg Industries) 8041</t>
  </si>
  <si>
    <t>J.J Glastronics Pvt Ltd 8011</t>
  </si>
  <si>
    <t>J.J Glastronics Pvt Ltd 8013</t>
  </si>
  <si>
    <t>Jaicom 1112</t>
  </si>
  <si>
    <t>Jakap Metind Pvt Ltd 2461</t>
  </si>
  <si>
    <t>Java Auto Components 1152</t>
  </si>
  <si>
    <t>Jay Jalaram Industries 5301</t>
  </si>
  <si>
    <t>Jay Precision Products India P Ltd 2114</t>
  </si>
  <si>
    <t>Jayam Engg And Tools 4131</t>
  </si>
  <si>
    <t>Jayashree Polymers Pvt Ltd 8013</t>
  </si>
  <si>
    <t>Jayem Automotives Limited 4131</t>
  </si>
  <si>
    <t>Jayson Industries 8021</t>
  </si>
  <si>
    <t>JBJ Machine Technologies (P) Ltd. 1151</t>
  </si>
  <si>
    <t>JBJ Technologies Ltd 1152</t>
  </si>
  <si>
    <t>JetAvi Engg Private Limited 8071</t>
  </si>
  <si>
    <t>JHY Techserve Pvt Ltd 8082</t>
  </si>
  <si>
    <t>JJ Glastronics Pvt Ltd 8011</t>
  </si>
  <si>
    <t>JJG Aero Pvt Ltd (J.J. Glasstronics Pvt Ltd) 8011</t>
  </si>
  <si>
    <t>JJG Machining Pvt Ltd 8012</t>
  </si>
  <si>
    <t>JK Files (India) Ltd 2222</t>
  </si>
  <si>
    <t>Johnson Electric Pvt Ltd 4021</t>
  </si>
  <si>
    <t>Joyson Anand Abhishek Safety Systems Pvt Ltd (KSS - Abhishek Safety Systems P Ltd) 1111</t>
  </si>
  <si>
    <t>JP Tools &amp; Technologies (P) Ltd 8011</t>
  </si>
  <si>
    <t>JSS Automotive 1114</t>
  </si>
  <si>
    <t>JSS Automotives 1111</t>
  </si>
  <si>
    <t>K K Precision Components 4041</t>
  </si>
  <si>
    <t>Kaanra Technology Inc 4021</t>
  </si>
  <si>
    <t>Kairish Innotech Pvt Ltd (Schott Kaisha Private Limited) 2111</t>
  </si>
  <si>
    <t>Kaizen International 2113</t>
  </si>
  <si>
    <t>Kalgidhar Industrial Corporation 1335</t>
  </si>
  <si>
    <t>Karamsar Technology Pvt ltd 1162</t>
  </si>
  <si>
    <t>Karthik Auto Components 8013</t>
  </si>
  <si>
    <t>Kawasaki Manufacturing (I) Pvt Ltd (Arma Engg Pvt Ltd) 8022</t>
  </si>
  <si>
    <t>Kayens Engg Pvt Ltd (Stencil Engg) 8021</t>
  </si>
  <si>
    <t>Kcaltech System India LLP (Candid ) 4031</t>
  </si>
  <si>
    <t>KDDL Limited 1333</t>
  </si>
  <si>
    <t>KDDL Limited 1334</t>
  </si>
  <si>
    <t>Keerthi Technocraft Pvt Ltd 8012</t>
  </si>
  <si>
    <t>Kennametal India Ltd 8051</t>
  </si>
  <si>
    <t>Kent Industries 2111</t>
  </si>
  <si>
    <t>Kesaria Rubber Industries (P) Ltd 1111</t>
  </si>
  <si>
    <t>Kewal Engg Pvt Ltd 8032</t>
  </si>
  <si>
    <t>KGT Auto Plast 4031</t>
  </si>
  <si>
    <t>Kiran Machine Tools 2010</t>
  </si>
  <si>
    <t>Kirloskar Toyota Textile Machinery Pvt. Ltd 8021</t>
  </si>
  <si>
    <t>Kishore Industries 2021</t>
  </si>
  <si>
    <t>KJK Polydiamonds P Ltd 0000</t>
  </si>
  <si>
    <t>KL Export Pvt Ltd 1161</t>
  </si>
  <si>
    <t>K-Max Technologies Pvt. Ltd., 4041</t>
  </si>
  <si>
    <t>KPSV Industries Pvt. Ltd., 8013</t>
  </si>
  <si>
    <t>Kramski Stamping &amp; Molding India Pvt Ltd 4033</t>
  </si>
  <si>
    <t>Kriya Medical Technologies Pvt Ltd 4041</t>
  </si>
  <si>
    <t>KSH International Ltd 2431</t>
  </si>
  <si>
    <t>KSH International P Ltd 2421</t>
  </si>
  <si>
    <t>KTT Pharmatech 2112</t>
  </si>
  <si>
    <t>Kuduma Precisions 8051</t>
  </si>
  <si>
    <t>Kuhu Industries P Ltd 1015</t>
  </si>
  <si>
    <t>Kumar Industries 4041</t>
  </si>
  <si>
    <t>Kun Aerospace Pvt Ltd 4041</t>
  </si>
  <si>
    <t>L G B Balakrishnan &amp; Bros Limited 4162</t>
  </si>
  <si>
    <t>L G Balakrishnan &amp; Bros Limited (Forge Div) 4162</t>
  </si>
  <si>
    <t>L G Balakrishnan &amp; Bros Limited 4162</t>
  </si>
  <si>
    <t>L G Balakrishnan &amp; Bros Limited 8021</t>
  </si>
  <si>
    <t>L G Balakrishnanan &amp; Bros Limited 4162</t>
  </si>
  <si>
    <t>L.G. Balakrishnan &amp; Bros Ltd (Candid Micron Measurements Pvt Ltd) 0000</t>
  </si>
  <si>
    <t>L.G. Balakrishnan &amp; Bros Ltd (Candid Micron Measurements Pvt Ltd) 2020</t>
  </si>
  <si>
    <t>L.G. Balakrishnan &amp; Bros Ltd (Candid Micron Measurements Pvt Ltd) 4112</t>
  </si>
  <si>
    <t>L.G.Balakrishnan &amp; Bros Ltd (Candid Micron Measurements Pvt Ltd) 4161</t>
  </si>
  <si>
    <t>L.G.Balakrishnan &amp; Bros Ltd (Candid Micron) 4162</t>
  </si>
  <si>
    <t>Lakshmi Butt Welders 8013</t>
  </si>
  <si>
    <t>Lakshmi Cutting Tools 4161</t>
  </si>
  <si>
    <t>Lakshmi Designers 8081</t>
  </si>
  <si>
    <t>Lakshmi Electrical Control Systems Limited 4111</t>
  </si>
  <si>
    <t>Lakshmi Machine Works Ltd (Candid Micron Measurements Pvt Ltd) 4161</t>
  </si>
  <si>
    <t>Lakshmi Machine Works Ltd 4161</t>
  </si>
  <si>
    <t>Lakshmi Ring Travellers (Coimbatore) Ltd 4112</t>
  </si>
  <si>
    <t>Lamda Components Pvt Ltd 8012</t>
  </si>
  <si>
    <t>Larsen &amp; Toubro Limited (Electrical &amp; Automation) 5112</t>
  </si>
  <si>
    <t>Larsen &amp; Toubro Ltd 2431</t>
  </si>
  <si>
    <t>Laxmi Remote (India) Private Limited 1151</t>
  </si>
  <si>
    <t>Leggett &amp; Platt Automotive (I) Pvt Ltd  4041</t>
  </si>
  <si>
    <t>Leggett &amp; Platt Automotive (I) Pvt Ltd (L&amp;P Somappa Comfort Sys I P Ltd) 4043</t>
  </si>
  <si>
    <t>Leitz Tooling System India Pvt Ltd 8051</t>
  </si>
  <si>
    <t>Leo Precision Products 2111</t>
  </si>
  <si>
    <t>LM Van Moppes Diamond Tools India Pvt. L 4041</t>
  </si>
  <si>
    <t>Longman Knit Parts Mfg. Co. 1335</t>
  </si>
  <si>
    <t>LPS Bossard Pvt Ltd 1122</t>
  </si>
  <si>
    <t>Lucas - TVS Limited 4013</t>
  </si>
  <si>
    <t>Lumax ALPS Alpine India Pvt Ltd 1111</t>
  </si>
  <si>
    <t>Luxor International Pvt Ltd 1151</t>
  </si>
  <si>
    <t>Machroplast 4022</t>
  </si>
  <si>
    <t>Mackel Components 6021</t>
  </si>
  <si>
    <t>Magellan Aerospace (Tumkur) Pvt Ltd (Triveni Aeronautics Pvt Ltd) 8052</t>
  </si>
  <si>
    <t>Magellan Aerospace India Pvt Ltd 8071</t>
  </si>
  <si>
    <t>Magna Automotive India Pvt Ltd (Magna Closures Automotive P Ltd) 4024</t>
  </si>
  <si>
    <t>Magneti Marelli Motherson Auto System Ltd. 2421</t>
  </si>
  <si>
    <t>Mahantesh Industries Enterprises 8051</t>
  </si>
  <si>
    <t>Mahindra CIE Automotive Ltd (Bill Forge Private Limited) 8021</t>
  </si>
  <si>
    <t>Maini Precision Products (P) Ltd. 8012</t>
  </si>
  <si>
    <t>Maini Precision Products (P) Ltd. 8051</t>
  </si>
  <si>
    <t>Maini Precision Products (P) Ltd. 8054</t>
  </si>
  <si>
    <t>Maini Precision Products Ltd. 8051</t>
  </si>
  <si>
    <t>Makar Tech 4131</t>
  </si>
  <si>
    <t>Malvika Jewellery Pvt Ltd 2115</t>
  </si>
  <si>
    <t>Manastu Space Technologies  2224</t>
  </si>
  <si>
    <t>Mando Automotive India Pvt Ltd 4031</t>
  </si>
  <si>
    <t>Mangal Industries Limited 8084</t>
  </si>
  <si>
    <t>Maraica Industries 8005</t>
  </si>
  <si>
    <t>Marelli Motherson Automotive Lighting India Pvt Ltd (Magneti Marelli Motherson Auto System Ltd) 5011</t>
  </si>
  <si>
    <t>Mark Ortho Care pvt ltd 5011</t>
  </si>
  <si>
    <t>MARS Electronics  8022</t>
  </si>
  <si>
    <t>Mars Engineers &amp; Services 4041</t>
  </si>
  <si>
    <t>Maruthi Suzuki India Ltd 1111</t>
  </si>
  <si>
    <t>Mass Auto Components 4022</t>
  </si>
  <si>
    <t>Master Components Ltd 2301</t>
  </si>
  <si>
    <t>Master Moulds Pvt Ltd 2301</t>
  </si>
  <si>
    <t>Mastercraft Engineers P Ltd 8012</t>
  </si>
  <si>
    <t>Matchwell Die Casters Pvt Ltd 2224</t>
  </si>
  <si>
    <t>Matta Drawing Works 1161</t>
  </si>
  <si>
    <t>Max Tools Industries 5301</t>
  </si>
  <si>
    <t>Maxeff Engg (Industrial Enginnering Syndicate) 2113</t>
  </si>
  <si>
    <t>Maxmould 2112</t>
  </si>
  <si>
    <t>Maxop Engg Co. Pvt Ltd 1111</t>
  </si>
  <si>
    <t>Mayur Enterprises 2411</t>
  </si>
  <si>
    <t>MbEngg GmbH &amp; Co. KG 0000</t>
  </si>
  <si>
    <t>MBV Aerospace Pvt Ltd 8033</t>
  </si>
  <si>
    <t>MC Industrial Tools 8021</t>
  </si>
  <si>
    <t>Medivation Bio Pvt ltd 1114</t>
  </si>
  <si>
    <t>Mega Rubber Technologies Pvt Ltd 2113</t>
  </si>
  <si>
    <t>Mehta Engineers Limited 1335</t>
  </si>
  <si>
    <t>Mersen India Pvt Ltd 8012</t>
  </si>
  <si>
    <t>Metalman Auto P Ltd 2021</t>
  </si>
  <si>
    <t>Metalyst Precision Pvt Ltd 8051</t>
  </si>
  <si>
    <t>Metec CNC OU 0000</t>
  </si>
  <si>
    <t>Metro - Gijutsu Center 5301</t>
  </si>
  <si>
    <t>Micro Form Automation 4131</t>
  </si>
  <si>
    <t>Micro Measures 2301</t>
  </si>
  <si>
    <t>Micro Plastics 8021</t>
  </si>
  <si>
    <t>Micro Tech 4161</t>
  </si>
  <si>
    <t>Microfine Bushings P Ltd 4041</t>
  </si>
  <si>
    <t>Micron Instruments Pvt. Ltd., 1334</t>
  </si>
  <si>
    <t>Microtech Engineers 4021</t>
  </si>
  <si>
    <t>Microtech Polymers 4024</t>
  </si>
  <si>
    <t>Microtech Polymers 8054</t>
  </si>
  <si>
    <t>Microtek New Technologies Pvt Ltd 1313</t>
  </si>
  <si>
    <t>Midhani (Optomech Engineers (P) Ltd) 6021</t>
  </si>
  <si>
    <t>Milacron India Pvt Ltd (Ferromatik Milacron India Pvt. Ltd.,) 5011</t>
  </si>
  <si>
    <t>Minda Corporation Ltd 1152</t>
  </si>
  <si>
    <t>Minda Corporation Ltd 2421</t>
  </si>
  <si>
    <t>Minda Onkyo India Private Limited 2113</t>
  </si>
  <si>
    <t>Minda VAST Access Systems Pvt Ltd 2421</t>
  </si>
  <si>
    <t>Minda Vietnam Automotive Company Limit 0000</t>
  </si>
  <si>
    <t>Mindarika (P) Ltd 1111</t>
  </si>
  <si>
    <t xml:space="preserve">Mindarika Pvt Ltd </t>
  </si>
  <si>
    <t>Mindarika Pvt Ltd 1111</t>
  </si>
  <si>
    <t>Mindarika Pvt Ltd 2421</t>
  </si>
  <si>
    <t>Mindarika Pvt Ltd 4031</t>
  </si>
  <si>
    <t>Mindarika Pvt Ltd 4032</t>
  </si>
  <si>
    <t>Mindarika Pvt Ltd 5011</t>
  </si>
  <si>
    <t>Mitsuba India Pvt Ltd (Mitsuba Sical India Pvt Ltd) 4052</t>
  </si>
  <si>
    <t>Mitsubishi Heavy Industries India Precision 4033</t>
  </si>
  <si>
    <t>Modison Ltd 2111</t>
  </si>
  <si>
    <t>Modvak Engg (I) Pvt Ltd 1121</t>
  </si>
  <si>
    <t>Mogli labs India Pvt Ltd  2451</t>
  </si>
  <si>
    <t>Mold-Masters Technologies Pvt Ltd 4161</t>
  </si>
  <si>
    <t>Mold-Tek Packaging Ltd 6021</t>
  </si>
  <si>
    <t>Motherson Automotive Technologies And Engg 8032</t>
  </si>
  <si>
    <t>Motherson Innovative Engg Solutions P Ltd 4032</t>
  </si>
  <si>
    <t>Motherson Sumi System Limited 8032</t>
  </si>
  <si>
    <t>Motherson Techno Tools Limited 1151</t>
  </si>
  <si>
    <t>Motion Drivetronics Pvt Ltd 2224</t>
  </si>
  <si>
    <t>MSK CNC Technology 8012</t>
  </si>
  <si>
    <t>MSS India Private Limited 2301</t>
  </si>
  <si>
    <t>MSSL Tooling FZE 0000</t>
  </si>
  <si>
    <t>MTL Instruments Pvt. Ltd. 4011</t>
  </si>
  <si>
    <t>Mudra Engineers 5011</t>
  </si>
  <si>
    <t>Mudra Pressings P Ltd 4021</t>
  </si>
  <si>
    <t>Multilink 8033</t>
  </si>
  <si>
    <t>Multiples India 4041</t>
  </si>
  <si>
    <t>Multitek Auto Parts 8061</t>
  </si>
  <si>
    <t>Muviq India Power Transmission Pvt Ltd (Dayco Power Transmission Pvt Ltd) 1111</t>
  </si>
  <si>
    <t>Napino Auto &amp; Electronics Ltd (Shifted from Halol to Manesar) 1111</t>
  </si>
  <si>
    <t>Napino Auto &amp; Electronics Ltd 1042</t>
  </si>
  <si>
    <t>Napino Auto &amp; Electronics Ltd 1111</t>
  </si>
  <si>
    <t>Napino Auto &amp; Electronics Ltd 1114</t>
  </si>
  <si>
    <t>Napino Continental Vehicle Electronics Pvt Ltd 1111</t>
  </si>
  <si>
    <t>Napino Control Systems Pvt Ltd 1111</t>
  </si>
  <si>
    <t>Naresh Rubber Udyog 1161</t>
  </si>
  <si>
    <t>Narmada Rings Pvt Ltd 5301</t>
  </si>
  <si>
    <t>Nashik Engg Cluster 2301</t>
  </si>
  <si>
    <t>Nasmyth Asia  8051</t>
  </si>
  <si>
    <t>Nassa Polymers 4043</t>
  </si>
  <si>
    <t>Natesan Synchrocones Pvt Ltd 4031</t>
  </si>
  <si>
    <t>Navkar Technologies 2301</t>
  </si>
  <si>
    <t>NDT Consultants Ltd 0000</t>
  </si>
  <si>
    <t>Nebula Technologies 8031</t>
  </si>
  <si>
    <t>Neha Engg Tools 1334</t>
  </si>
  <si>
    <t>Newlight Art Works Pvt Ltd 1002</t>
  </si>
  <si>
    <t>Newtech Filter India P Ltd 1313</t>
  </si>
  <si>
    <t>Nextech Engg 5301</t>
  </si>
  <si>
    <t>Nexteer Automotive India Pvt Ltd 2421</t>
  </si>
  <si>
    <t>Nicholas Piramal India Limited 2115</t>
  </si>
  <si>
    <t>Nicomatic India Electronics Pvt Ltd 8071</t>
  </si>
  <si>
    <t>Nidhi Metal Auto Components Pvt Ltd 1161</t>
  </si>
  <si>
    <t>NIFCO India Pvt Ltd 2431</t>
  </si>
  <si>
    <t>Nigasavi Solution  2451</t>
  </si>
  <si>
    <t>Nikash CNC Enineers Pvt Ltd 2431</t>
  </si>
  <si>
    <t>Niraj Engg  2301</t>
  </si>
  <si>
    <t>Niva Implement LLP 2111</t>
  </si>
  <si>
    <t>Novateur Electrical &amp; Digital Systems Pvt. L 1042</t>
  </si>
  <si>
    <t>Novateur Electrical &amp; Digital Systems Pvt. L 2010</t>
  </si>
  <si>
    <t>NSTL (Optomech Engineers P Ltd) 6021</t>
  </si>
  <si>
    <t>Numann Auto Products India Pvt. Ltd 8013</t>
  </si>
  <si>
    <t>Numann Industries 8013</t>
  </si>
  <si>
    <t>Nutech Sintered Products (P) Ltd. 2222</t>
  </si>
  <si>
    <t>Oerlikon Balzers Coating India Ltd 1111</t>
  </si>
  <si>
    <t>Oleo Buffers India Pvt Ltd 8081</t>
  </si>
  <si>
    <t>OM Engineering 1151</t>
  </si>
  <si>
    <t>Omni Matrix Pvt Ltd 8051</t>
  </si>
  <si>
    <t>Omni Matrix Pvt Ltd 8061</t>
  </si>
  <si>
    <t>Opel Auto Products P Ltd 4031</t>
  </si>
  <si>
    <t>Optics &amp; Allied Engg Pvt Ltd 8081</t>
  </si>
  <si>
    <t>Orient Components Pvt. Ltd., 4041</t>
  </si>
  <si>
    <t>Oswin Industries 1334</t>
  </si>
  <si>
    <t>Otto Bilz (I) P Ltd 8061</t>
  </si>
  <si>
    <t>Padmini VNA Mechatronics Pvt Ltd 1111</t>
  </si>
  <si>
    <t>Paloma Turning Co. Pvt. Ltd 5401</t>
  </si>
  <si>
    <t>Paloma Turning Co. Pvt. Ltd 8013</t>
  </si>
  <si>
    <t>Pamp Precision Manufacturing India Pvt Ltd 1313</t>
  </si>
  <si>
    <t>Panacea Medical Technologies Pvt Ltd 8082</t>
  </si>
  <si>
    <t>Panasonic Life Solns India Pvt Ltd (Anchor Electricals Pvt Ltd) 1042</t>
  </si>
  <si>
    <t>Pappu Engg Works, 2224</t>
  </si>
  <si>
    <t>Paragon Electric Switchgears Pvt Ltd 2301</t>
  </si>
  <si>
    <t>Paras Defence &amp; Space Technologies Ltd (Mechvac Fabricators (I) Pvt Ltd) 2224</t>
  </si>
  <si>
    <t>Parle Elizabeth Tools Pvt Ltd. 5011</t>
  </si>
  <si>
    <t>Parle Elizabeth Tools Pvt. Ltd 2222</t>
  </si>
  <si>
    <t>Parshwa International 1042</t>
  </si>
  <si>
    <t>Pasupaty Springs Pvt Ltd 1162</t>
  </si>
  <si>
    <t>Patco Precision Components P Ltd 2301</t>
  </si>
  <si>
    <t>Pavna Industries Ltd 1153</t>
  </si>
  <si>
    <t>Pavna Zadi Security Systems Ltd 1153</t>
  </si>
  <si>
    <t>Pentagon Assembly Automation Pvt Ltd 2421</t>
  </si>
  <si>
    <t>Perfect Polymers 5301</t>
  </si>
  <si>
    <t>Pharma Tools 2221</t>
  </si>
  <si>
    <t>Phoenix Engg 2021</t>
  </si>
  <si>
    <t>Phoenix Precision Parts 8051</t>
  </si>
  <si>
    <t>Phoenix Textile Engg Pvt Ltd 2441</t>
  </si>
  <si>
    <t>Piano Presitel 2115</t>
  </si>
  <si>
    <t>Pilot Gasket &amp; Engineers 2222</t>
  </si>
  <si>
    <t>PITTI Ind Pvt Ltd (Bagadia Chaitra Industries Pvt Ltd) 8052</t>
  </si>
  <si>
    <t>PLANSEE India High Performance Materials Pvt Ltd 8033</t>
  </si>
  <si>
    <t>PMI Global Technologies Pvt Ltd 4023</t>
  </si>
  <si>
    <t>Poineer Tooling Services 1151</t>
  </si>
  <si>
    <t>Pointec Pens &amp; Energy Pvt Ltd 8012</t>
  </si>
  <si>
    <t>Poly Fluoro Ltd 8012</t>
  </si>
  <si>
    <t>Polycab India Ltd  2111</t>
  </si>
  <si>
    <t>Polycab India Ltd (Polycab Wires Pvt Ltd) 2301</t>
  </si>
  <si>
    <t>Polyrub Cooper Standard FTS Pvt Ltd 2413</t>
  </si>
  <si>
    <t>Pooja Automations (Candid Micro Measurements Pvt Ltd) 4161</t>
  </si>
  <si>
    <t>Poorvik Engineers Pvt Ltd 4031</t>
  </si>
  <si>
    <t>Positronic Interconnects Pvt. Ltd., 0000</t>
  </si>
  <si>
    <t>Prabha Engg Pvt Ltd 2412</t>
  </si>
  <si>
    <t>Prabha Engg Pvt Ltd 4031</t>
  </si>
  <si>
    <t>Pragathi Coatings Pvt Ltd 1111</t>
  </si>
  <si>
    <t>Pragathi Tools and Dies 8041</t>
  </si>
  <si>
    <t>Prakathi Industries 8013</t>
  </si>
  <si>
    <t>Precihole Machine Tools Pvt. Ltd. 2224</t>
  </si>
  <si>
    <t>Precision Electricals 2113</t>
  </si>
  <si>
    <t>Precision Industrial Fasteners 1335</t>
  </si>
  <si>
    <t>Precision Sintered Products 5301</t>
  </si>
  <si>
    <t>Precision Technoplast Pvt Ltd 5011</t>
  </si>
  <si>
    <t>Precitherm (Do All Engg ) 8002</t>
  </si>
  <si>
    <t>Prem Industries 8033</t>
  </si>
  <si>
    <t>Press Metal Industries 2301</t>
  </si>
  <si>
    <t>Prettl Electronics India Pvt Ltd 2113</t>
  </si>
  <si>
    <t>Pricol Engg Industries Pvt Ltd  4161</t>
  </si>
  <si>
    <t>Pricol Precision Products Pvt Ltd (Sundaram Auto Components Ltd) 1114</t>
  </si>
  <si>
    <t>Primaeam Solutions Pvt Ltd 4032</t>
  </si>
  <si>
    <t>Prime Precision Pvt Ltd 1054</t>
  </si>
  <si>
    <t>Prime Progression Icom (India) Pvt Ltd 8051</t>
  </si>
  <si>
    <t>Prismatic Engg 8021</t>
  </si>
  <si>
    <t>Prisms India P Ltd 4013</t>
  </si>
  <si>
    <t>Pro Innovative Technologies. 8051</t>
  </si>
  <si>
    <t>Protectron Electromech P Ltd 8031</t>
  </si>
  <si>
    <t>Protectron Mechatronics Pvt Ltd 8031</t>
  </si>
  <si>
    <t>Protekz Tool &amp; Die Makers 8051</t>
  </si>
  <si>
    <t>PT. Minda Asean Automotive 0000</t>
  </si>
  <si>
    <t>PT. Tradisi Manufacturing Industry 0000</t>
  </si>
  <si>
    <t>Punch Ratna Fasteners Pvt. Ltd 1122</t>
  </si>
  <si>
    <t>Pushpagiri CNC 8051</t>
  </si>
  <si>
    <t>PV Clean Mobility Technologies Pvt Ltd 2421</t>
  </si>
  <si>
    <t>PVP Techno 4021</t>
  </si>
  <si>
    <t>Quality Connections (Ess Cube Components) 1162</t>
  </si>
  <si>
    <t>Quality Laboratory 8012</t>
  </si>
  <si>
    <t>Quality Needles (P) Ltd 1151</t>
  </si>
  <si>
    <t>R K Industries 4041</t>
  </si>
  <si>
    <t>R&amp;N Techauto Industries Pvt Ltd 1151</t>
  </si>
  <si>
    <t>Racer Tooling Industries 4112</t>
  </si>
  <si>
    <t>Rachel Engineering 8054</t>
  </si>
  <si>
    <t>Radeo Engineered Components LLP 8013</t>
  </si>
  <si>
    <t>Radium Creation Ltd 2111</t>
  </si>
  <si>
    <t>Rajshree Engineers 1161</t>
  </si>
  <si>
    <t>Ramesh Brass Products 5401</t>
  </si>
  <si>
    <t>Rams Engg Industries 4041</t>
  </si>
  <si>
    <t>Rane (Madras) Ltd ((Rane Engine Valve Ltd (Kar Mobiles Limited)) 4021</t>
  </si>
  <si>
    <t>Rane Engine Valves Ltd (Kar Mobiles Limited) 8052</t>
  </si>
  <si>
    <t>Rank Metrology Services 4161</t>
  </si>
  <si>
    <t>Rapid Industries (Hydrobenz Industries Pvt Ltd) 5301</t>
  </si>
  <si>
    <t>Rashmi Metaliks Ltd 3002</t>
  </si>
  <si>
    <t>Ravi Plast Mold Pvt Ltd 5011</t>
  </si>
  <si>
    <t>Raviraj Hi-Tech Pvt. Ltd 2412</t>
  </si>
  <si>
    <t>RB Metrology (Deusch Motocomp Pvt. Ltd) 1132</t>
  </si>
  <si>
    <t>RC Engg 4021</t>
  </si>
  <si>
    <t>Reammac Precision Tools 4022</t>
  </si>
  <si>
    <t>Recaero India Ltd 8032</t>
  </si>
  <si>
    <t>Reckitt Benckiser India Pvt Ltd 1111</t>
  </si>
  <si>
    <t>Reliance Diamond Tools 4041</t>
  </si>
  <si>
    <t>Renata Precision Components Pvt Ltd 2411</t>
  </si>
  <si>
    <t>Research Centre Imarat (RCI) 6031</t>
  </si>
  <si>
    <t>Resolute Star Pvt Ltd (Skyquad Electronics &amp; Appliances Pvt Ltd) 6011</t>
  </si>
  <si>
    <t>Rhenium Tech Rings 5301</t>
  </si>
  <si>
    <t>Rialto Enterprises Pvt Ltd 4021</t>
  </si>
  <si>
    <t>Rieke Packing India Pvt Ltd 1313</t>
  </si>
  <si>
    <t>Right Industries (Numann Industries) 8013</t>
  </si>
  <si>
    <t>Rimtex Engg P Ltd. 5011</t>
  </si>
  <si>
    <t>Ripple Technologies 8051</t>
  </si>
  <si>
    <t>Rishab Instruments Pvt. Ltd 2301</t>
  </si>
  <si>
    <t>Riyalto Enterprises 4024</t>
  </si>
  <si>
    <t>Robert Bosch Engg &amp; Business Solns Ltd 8012</t>
  </si>
  <si>
    <t>Roca Bathroom Products Pvt. Ltd., 4031</t>
  </si>
  <si>
    <t>Rockman Industries Ltd (Sargam Diecastings P Ltd) 4031</t>
  </si>
  <si>
    <t>Rohit Industries group P Ltd 1121</t>
  </si>
  <si>
    <t>Rohit Industries group P Ltd 1122</t>
  </si>
  <si>
    <t>Rohit Springforms Pvt. Ltd., 2411</t>
  </si>
  <si>
    <t>Rollon Hydraulics Pvt Ltd 8051</t>
  </si>
  <si>
    <t>Romson Group Pvt Ltd (Romson Scientific &amp; Surgical Industries Pvt Ltd) 1154</t>
  </si>
  <si>
    <t>Romson Group Pvt Ltd (Romsons Juniors India) 1154</t>
  </si>
  <si>
    <t>Romsons Group Pvt Ltd 1154</t>
  </si>
  <si>
    <t>Romsons International 1151</t>
  </si>
  <si>
    <t>Romsons Medicons  1154</t>
  </si>
  <si>
    <t>Romsons Scientific &amp; Surgical Industries P L 1154</t>
  </si>
  <si>
    <t>Romsons Scientific &amp; Surgical Industries Pvt ltd 1154</t>
  </si>
  <si>
    <t>Roots Industries (Candid Micron) 4161</t>
  </si>
  <si>
    <t>Rotary Connectors P Ltd 8054</t>
  </si>
  <si>
    <t>Rotary Connectors P Ltd 8071</t>
  </si>
  <si>
    <t>RR Enterprises  2222</t>
  </si>
  <si>
    <t>RR Precision (India) Pvt Ltd (RR Engg &amp; Export) 8082</t>
  </si>
  <si>
    <t>RR Precision (India) Pvt Ltd 8082</t>
  </si>
  <si>
    <t>RRP S4E Innovation Pvt Ltd 2224</t>
  </si>
  <si>
    <t>Rupa Engg Industries 4112</t>
  </si>
  <si>
    <t>Rupesh Technologies Pvt Ltd 8041</t>
  </si>
  <si>
    <t>RVB Shorlube Industry Pvt Ltd 1054</t>
  </si>
  <si>
    <t>Rytiks Auto P Ltd 4041</t>
  </si>
  <si>
    <t>S and P Enterprises 4031</t>
  </si>
  <si>
    <t>S R Enterprises 8033</t>
  </si>
  <si>
    <t>S V M Engg and Tools 4131</t>
  </si>
  <si>
    <t>S. S. White Technologies India Pvt Ltd 5231</t>
  </si>
  <si>
    <t>S.G.B Industries 8021</t>
  </si>
  <si>
    <t>S.N Metallurgical Services 2021</t>
  </si>
  <si>
    <t>S.R.S Tools 8051</t>
  </si>
  <si>
    <t>Saanvi Technologies 8051</t>
  </si>
  <si>
    <t>Saideep Moulding Industries 2441</t>
  </si>
  <si>
    <t>Saini Flange Pvt Ltd 1132</t>
  </si>
  <si>
    <t>Sakvinyal Solutions 4112</t>
  </si>
  <si>
    <t>Salasar Terminals Pvt Ltd (Om Sai Engg) 2112</t>
  </si>
  <si>
    <t>Salcomp Manufacturing India Pvt Ltd 4031</t>
  </si>
  <si>
    <t>Samit Writing Alds P Ltd 2114</t>
  </si>
  <si>
    <t>Samvardhana Motherson Innovative Solns Ltd (Motherson Sintermetal Technology Ltd) 4013</t>
  </si>
  <si>
    <t>Samvardhana Motherson Intern L (Motherson Sumi Sys L) 8051</t>
  </si>
  <si>
    <t>Sandhar Automotives 1111</t>
  </si>
  <si>
    <t>Sandhar Automotives 8012</t>
  </si>
  <si>
    <t>Sandhar Components 1111</t>
  </si>
  <si>
    <t>Sandhar Components 8012</t>
  </si>
  <si>
    <t>Sandhar Technologies Ltd 4031</t>
  </si>
  <si>
    <t>Sandhar Whetron Electronics Pvt Ltd  1111</t>
  </si>
  <si>
    <t>Sanjith Moulds Pvt. Ltd., 2301</t>
  </si>
  <si>
    <t>Sansera Engg (P) Ltd 8012</t>
  </si>
  <si>
    <t>Saro Technologies 4041</t>
  </si>
  <si>
    <t>SAS Precision Engg P Ltd 8051</t>
  </si>
  <si>
    <t>Sasmos HET Technologies Ltd 8071</t>
  </si>
  <si>
    <t>Sathvik Engineers 8051</t>
  </si>
  <si>
    <t>Saturn Industries 8081</t>
  </si>
  <si>
    <t>Savio India Ltd (Itema Spinning India Limited) 4131</t>
  </si>
  <si>
    <t>Saxon Fluid Sealing Devices 1114</t>
  </si>
  <si>
    <t>SBCT Industries LLP 8061</t>
  </si>
  <si>
    <t>Schilthorn Precision Engg Pvt Ltd 5021</t>
  </si>
  <si>
    <t>Schneider Electric 2431</t>
  </si>
  <si>
    <t>Schneider Electric India Pvt Ltd  2431</t>
  </si>
  <si>
    <t>Schneider Electric India Pvt Ltd  8033</t>
  </si>
  <si>
    <t>Schneider Electric India Pvt Ltd (Larsen &amp; Toubro Limited) (H090) 2431</t>
  </si>
  <si>
    <t>Schneider Electric India Pvt Ltd (Larsen &amp; Toubro Limited) (H099) 2431</t>
  </si>
  <si>
    <t>Schneider Electric India Pvt Ltd (Larsen &amp; Toubro Limited) (H106) 2431</t>
  </si>
  <si>
    <t>Schneider Electric India Pvt Ltd (Larsen &amp; Toubro Limited) 5112</t>
  </si>
  <si>
    <t>Schneider Electric India Pvt Ltd (Larsen &amp; Toubro Limited) Ref:H087 2431</t>
  </si>
  <si>
    <t>Schneider Electric India Pvt. Ltd 5112</t>
  </si>
  <si>
    <t>Schneider Electric India Pvt. Ltd. 2431</t>
  </si>
  <si>
    <t>Schneider Electric India Pvt. Ltd. 8012</t>
  </si>
  <si>
    <t>Schneider Electric IT Business India Pvt Ltd (SDI Business Service India Pvt Ltd) 8021</t>
  </si>
  <si>
    <t>Schwing Stetter (India) Pvt Ltd 4031</t>
  </si>
  <si>
    <t>Sealtite Dichtungs Pvt Ltd 8012</t>
  </si>
  <si>
    <t>Seco Tools India Pvt Ltd 0000</t>
  </si>
  <si>
    <t>SEKISUI DLJM Molding Pvt Ltd 1152</t>
  </si>
  <si>
    <t>Selec Controls Pvt Ltd 2224</t>
  </si>
  <si>
    <t>Senor Metal Pvt Ltd 5401</t>
  </si>
  <si>
    <t>Servocontrol Aerospace (I) Pvt Ltd (Servocontrols Hydraulics (I) Pvt Ltd) 8002</t>
  </si>
  <si>
    <t>Sesha Tools Pvt Ltd 8031</t>
  </si>
  <si>
    <t>Seyal Technologies Pvt Ltd 4161</t>
  </si>
  <si>
    <t>SFO Technologies Pvt Ltd 4103</t>
  </si>
  <si>
    <t>SGB Precision Tools 8012</t>
  </si>
  <si>
    <t>Shankar Moulding Pvt Ltd 1162</t>
  </si>
  <si>
    <t>Shanmugha Precision Forging 0000</t>
  </si>
  <si>
    <t>Sharma Industries 8081</t>
  </si>
  <si>
    <t>Sharp Industries 1111</t>
  </si>
  <si>
    <t>Shigan Quantum Technologies Pvt Ltd 1111</t>
  </si>
  <si>
    <t>Shining Tools Pvt Ltd (Shine Industries) 5301</t>
  </si>
  <si>
    <t>Shiv Om Brass Industries 5401</t>
  </si>
  <si>
    <t>Shiv Shakti Presstech Pvt Ltd 2224</t>
  </si>
  <si>
    <t>Shivam Autotech Limited 1111</t>
  </si>
  <si>
    <t>Shiv-Om Brass Industries 5401</t>
  </si>
  <si>
    <t>Shogini Technoarts Pvt Ltd 2451</t>
  </si>
  <si>
    <t>Shoma Automation Pvt Ltd (Akuva Infotech Pvt Ltd) 8051</t>
  </si>
  <si>
    <t>Shree Athreya Industries 8011</t>
  </si>
  <si>
    <t>Shree Engineers 2411</t>
  </si>
  <si>
    <t>Shree Industries 2411</t>
  </si>
  <si>
    <t>Shri Sai Tools 8031</t>
  </si>
  <si>
    <t>Siddhant Engg Services 2301</t>
  </si>
  <si>
    <t>Siddhatva Engg Pvt Ltd 2421</t>
  </si>
  <si>
    <t>Siemens Ltd 2021</t>
  </si>
  <si>
    <t>Sinhal Udyog Pvt Ltd 1152</t>
  </si>
  <si>
    <t>Sintex- BAPL Ltd 4031</t>
  </si>
  <si>
    <t>SITRA (Candid Micron) 4112</t>
  </si>
  <si>
    <t>SJP Industry 4021</t>
  </si>
  <si>
    <t>SJS Enterprises (P) Ltd 8023</t>
  </si>
  <si>
    <t>SKF India Ltd 8013</t>
  </si>
  <si>
    <t>SKF Technologies India Pvt Ltd 8012</t>
  </si>
  <si>
    <t>SLS Tools Company (Konarak Industries Pvt Ltd) 8012</t>
  </si>
  <si>
    <t>SMIIEL (A Unit of MSSL) 1151</t>
  </si>
  <si>
    <t>Smith Industrial Corporation Pvt Ltd 1141</t>
  </si>
  <si>
    <t>Smith Industrial Corporation Pvt Ltd 1162</t>
  </si>
  <si>
    <t>SML Mahindra Ltd (SML ISUZU Ltd) 1122</t>
  </si>
  <si>
    <t>SML Plastcrafts Pvt Ltd 2431</t>
  </si>
  <si>
    <t>SMP Autotech P Ltd 2301</t>
  </si>
  <si>
    <t>Solutec Industries (I) Pvt Ltd 2441</t>
  </si>
  <si>
    <t>Sona Speed Pvt Ltd (Superchem Finishers) 8032</t>
  </si>
  <si>
    <t>Sothern Writing Instuments Pvt Ltd (Chennai Pen Products Pvt Ltd) 4031</t>
  </si>
  <si>
    <t>Souriau India P Ltd. (Cbe) 4131</t>
  </si>
  <si>
    <t>Souriau India P Ltd. 4131</t>
  </si>
  <si>
    <t>Souriau India Pvt Ltd (old Mc No.79) 4131</t>
  </si>
  <si>
    <t>Spacenex Aero Pvt Ltd (Pramodaya Aerospace Solutions) 8071</t>
  </si>
  <si>
    <t>Spaco Technologies (India) Pvt Ltd 2421</t>
  </si>
  <si>
    <t>Spark Engineers 8013</t>
  </si>
  <si>
    <t>Speciality Sintered Products P Ltd 2421</t>
  </si>
  <si>
    <t>Speciality Sintered Products P Ltd 2451</t>
  </si>
  <si>
    <t>Spectra Products Pvt Ltd 1141</t>
  </si>
  <si>
    <t>Spectrum Electrical Industries Ltd 2010</t>
  </si>
  <si>
    <t>Spectrum Tool Engineers (P) Ltd 8041</t>
  </si>
  <si>
    <t>Spiral Tools Pvt Ltd 2451</t>
  </si>
  <si>
    <t>Spring Tech India 1161</t>
  </si>
  <si>
    <t>SR Automats 8031</t>
  </si>
  <si>
    <t>Sri Acme Industries 8081</t>
  </si>
  <si>
    <t>Sri Balaji Assemblies &amp; Plastics Pvt Ltd 4022</t>
  </si>
  <si>
    <t>Sri Engg Works 8081</t>
  </si>
  <si>
    <t>Sri Vinayaka Industries 8013</t>
  </si>
  <si>
    <t>Srinar Electronics Pvt Ltd 4101</t>
  </si>
  <si>
    <t>Srishti Engg Services 8013</t>
  </si>
  <si>
    <t>SS Technologies (Gera Auto Industries Pvt Ltd) 8051</t>
  </si>
  <si>
    <t>SSF Plastics India Pvt Ltd 1311</t>
  </si>
  <si>
    <t>SSF Plastics India Pvt Ltd 2111</t>
  </si>
  <si>
    <t>SSF Plastics India Pvt Ltd 8013</t>
  </si>
  <si>
    <t>Standard Spring &amp; Metal Pressing Works 2224</t>
  </si>
  <si>
    <t>Standex Electronics India Pvt Ltd 4031</t>
  </si>
  <si>
    <t>Star Engineers (I) Pvt Ltd (Vietnam) 2421</t>
  </si>
  <si>
    <t>Star Engineers (I) Pvt Ltd 2421</t>
  </si>
  <si>
    <t>Star Fabricators 2010</t>
  </si>
  <si>
    <t>Steelman Broaches Pvt Ltd 1333</t>
  </si>
  <si>
    <t>Stein Seal Company (India) Pvt Ltd 8051</t>
  </si>
  <si>
    <t>Stumpp Schuel Lewis Machine Tools Pvt Ltd 8021</t>
  </si>
  <si>
    <t>Stumpp Schuele &amp; Somappa Springs Pvt Ltd 1122</t>
  </si>
  <si>
    <t>Stumpp Schuele &amp; Somappa Springs Pvt Ltd 8012</t>
  </si>
  <si>
    <t>Suja Shoei Industries Pvt Ltd 4025</t>
  </si>
  <si>
    <t>Sujan Cooperstandard AVS Pvt Ltd 2421</t>
  </si>
  <si>
    <t>Sujay Industries 8012</t>
  </si>
  <si>
    <t>Sujay Industries 8021</t>
  </si>
  <si>
    <t>Sun Casting 8023</t>
  </si>
  <si>
    <t>Sundaram Industries Ltd 4101</t>
  </si>
  <si>
    <t>Sundaram Industries Pvt Ltd 4101</t>
  </si>
  <si>
    <t>Sunikh Precision P Ltd 8013</t>
  </si>
  <si>
    <t>Sunrays Engineers Pvt. Ltd., 1111</t>
  </si>
  <si>
    <t>Sunshine Innovative Electronics 8041</t>
  </si>
  <si>
    <t>Sunvision Technologies P Ltd 2114</t>
  </si>
  <si>
    <t>Supram Industries 8023</t>
  </si>
  <si>
    <t>Supreme Automech I P Ltd 4013</t>
  </si>
  <si>
    <t>Surelia Wire-Cut Pvt. Ltd., 5301</t>
  </si>
  <si>
    <t>Surindera Cycles Pvt. Ltd 1335</t>
  </si>
  <si>
    <t>Suyash Global Pvt Ltd (Suyash Impex Pvt Ltd) 2224</t>
  </si>
  <si>
    <t>SVF Technologies 4013</t>
  </si>
  <si>
    <t>SVP Packaging (P) Ltd. 2112</t>
  </si>
  <si>
    <t>Synergy Global Sourcing 8013</t>
  </si>
  <si>
    <t>Takcim Technology 4111</t>
  </si>
  <si>
    <t>Takemoto Yohki India Pvt Ltd 5011</t>
  </si>
  <si>
    <t>TAL Manufacturing Solutions Ltd 2411</t>
  </si>
  <si>
    <t>Tarson Products Ltd 8005</t>
  </si>
  <si>
    <t>Tata Consultancy Services Ltd 8003</t>
  </si>
  <si>
    <t>Taylor Rubber Pvt Ltd 4022</t>
  </si>
  <si>
    <t>Technicraft 8023</t>
  </si>
  <si>
    <t>Techno Springs India Pvt Ltd 1161</t>
  </si>
  <si>
    <t>Technotool Solutions India LLP 8012</t>
  </si>
  <si>
    <t>Tejas Engg 8012</t>
  </si>
  <si>
    <t>Teklight Components Pvt. Ltd 4022</t>
  </si>
  <si>
    <t>Terminal Technologies (I) Pvt Ltd 2111</t>
  </si>
  <si>
    <t>Terminal Technologies (I) Pvt Ltd 2112</t>
  </si>
  <si>
    <t>Terminal Technologies (I) Pvt Ltd 2421</t>
  </si>
  <si>
    <t>Terminal Technologies P Ltd 2112</t>
  </si>
  <si>
    <t>Terminal Technologies P Ltd 2113</t>
  </si>
  <si>
    <t>Terminal Technologies P Ltd 2222</t>
  </si>
  <si>
    <t>Terminal Technologies P Ltd 2421</t>
  </si>
  <si>
    <t>Tex Tech Industries (India) Pvt Ltd 4112</t>
  </si>
  <si>
    <t>Texmo Blank India Pvt Ltd (Texmo Precision Casting) 4131</t>
  </si>
  <si>
    <t>TGT Tech Private Limited 8051</t>
  </si>
  <si>
    <t>TGT Tech Pvt Ltd (Tool Grinding Technologies Inc.) 8051</t>
  </si>
  <si>
    <t>The Suncad Training &amp; Designers 5011</t>
  </si>
  <si>
    <t>Timex Group Precision Engg Ltd 1151</t>
  </si>
  <si>
    <t>Titan Company Limited (Watch Division) 8013</t>
  </si>
  <si>
    <t>Titan Engg &amp; Automation Limited 8013</t>
  </si>
  <si>
    <t>Titan Industries Ltd 8013</t>
  </si>
  <si>
    <t>Tool Aids Pvt Ltd 4023</t>
  </si>
  <si>
    <t>Tool Grinding Technologies Inc. 8051</t>
  </si>
  <si>
    <t>Toolcom Innovative Solutions Pvt Ltd 4162</t>
  </si>
  <si>
    <t>TopFlite Components Pvt Ltd 8033</t>
  </si>
  <si>
    <t>Toshee Industries Pvt Ltd  5021</t>
  </si>
  <si>
    <t>Toshiba Transmission &amp; Distribution Systems(I) Pvt Ltd 6011</t>
  </si>
  <si>
    <t>Toyota Boshoku Automotive (I) (P) Ltd 8032</t>
  </si>
  <si>
    <t>Toyota Boshoku Automotive India (P) Ltd 8013</t>
  </si>
  <si>
    <t>Toyota Industries Engine India Pvt Ltd (KTTM) 8021</t>
  </si>
  <si>
    <t>Toyota Kirloskar Auto Parts P Ltd 8032</t>
  </si>
  <si>
    <t>Tpac Packaging India Pvt Ltd 2111</t>
  </si>
  <si>
    <t>TransCal 8041</t>
  </si>
  <si>
    <t>Trishul Machine Tools (P) Ltd. 8012</t>
  </si>
  <si>
    <t>Trucut Tool Inc. 4041</t>
  </si>
  <si>
    <t>Tube Investments of India Ltd., 4042</t>
  </si>
  <si>
    <t>Turbo India 8041</t>
  </si>
  <si>
    <t>Turbo India Interconnect Solutions LLP 8041</t>
  </si>
  <si>
    <t>TVS Argomm Pvt Ltd (TVS Novotema Elestomeric Engineered Product Pvt ltd) 4101</t>
  </si>
  <si>
    <t>TVS Engg Ltd 4041</t>
  </si>
  <si>
    <t>TVS Upasana Ltd (Upasana Engg Limited) 4041</t>
  </si>
  <si>
    <t>Twinstar Tooling Solutions  4021</t>
  </si>
  <si>
    <t>U3S Engitech Pvt Ltd 3004</t>
  </si>
  <si>
    <t>Ujwal Industries 2222</t>
  </si>
  <si>
    <t>Umiya Pharma Tech 5011</t>
  </si>
  <si>
    <t>Uni - Automation (I)P Ltd 2411</t>
  </si>
  <si>
    <t>Unique Instruments &amp; Mfrs P Ltd 8051</t>
  </si>
  <si>
    <t>Unique Measurement Service 2411</t>
  </si>
  <si>
    <t>Unique Measurement Service 4031</t>
  </si>
  <si>
    <t>Unitek Engineering (Garuda Aerotech) 8051</t>
  </si>
  <si>
    <t>Universal Flexible Pvt Ltd 8081</t>
  </si>
  <si>
    <t>Universal Precision Screws 1122</t>
  </si>
  <si>
    <t>Unnathi CNC Technologies Pvt Ltd 8051</t>
  </si>
  <si>
    <t>Unnati Engineers 2301</t>
  </si>
  <si>
    <t>Uno Minda Limited (Minda Industries Limited) 1111</t>
  </si>
  <si>
    <t>Uno Minda Limited 4031</t>
  </si>
  <si>
    <t>Ustek Makina San. Tic. Ltd. Sti 0000</t>
  </si>
  <si>
    <t>UTC Aerospace Systems 0000</t>
  </si>
  <si>
    <t>V.S.R. Private Limited 4101</t>
  </si>
  <si>
    <t>V3 Mouldings Pvt Ltd 8013</t>
  </si>
  <si>
    <t>Vaish Industries 1162</t>
  </si>
  <si>
    <t>Vako Seals P Ltd 2224</t>
  </si>
  <si>
    <t>Valli Industries 8013</t>
  </si>
  <si>
    <t>VAP Precision Pvt Ltd (Vijaya Auto Products) 8021</t>
  </si>
  <si>
    <t>Vardhaman Pressure Diecastings 8021</t>
  </si>
  <si>
    <t>Varrmas Elassto Seals 4131</t>
  </si>
  <si>
    <t>Varroc Engg Limited 2021</t>
  </si>
  <si>
    <t>Varroc Engg Limited 2421</t>
  </si>
  <si>
    <t>Vasantha Tool Crafts Pvt Ltd 6021</t>
  </si>
  <si>
    <t>Vedika Machinery P Ltd 8005</t>
  </si>
  <si>
    <t>Veer-O-Metals Pvt Ltd 8054</t>
  </si>
  <si>
    <t>Velankani Electronics Pvt. Ltd., 8021</t>
  </si>
  <si>
    <t>Vertex Auto Components 8013</t>
  </si>
  <si>
    <t>Vform Technopack Pvt Ltd 2224</t>
  </si>
  <si>
    <t>VG Engg 8021</t>
  </si>
  <si>
    <t>Vhignesh Engg. Works 8013</t>
  </si>
  <si>
    <t>Vignesh Polymers India Pvt Ltd 4031</t>
  </si>
  <si>
    <t>Vikas Industries 1162</t>
  </si>
  <si>
    <t>Vikson Spring Pvt Ltd 2224</t>
  </si>
  <si>
    <t>Vikson Spring Pvt Ltd 2421</t>
  </si>
  <si>
    <t>Viney Corporation Pvt Ltd 1111</t>
  </si>
  <si>
    <t>Viney Corporation Pvt Ltd 1112</t>
  </si>
  <si>
    <t>Visat Tools Pvt Ltd 8051</t>
  </si>
  <si>
    <t>Vishnu Moulds &amp; Dies 4101</t>
  </si>
  <si>
    <t>Vishwakarma Institute of Technology 2441</t>
  </si>
  <si>
    <t>Vishwakarma Tech 8051</t>
  </si>
  <si>
    <t>Vision Tec 8041</t>
  </si>
  <si>
    <t>Vision Turnomech LLP 5401</t>
  </si>
  <si>
    <t>Vitesco Technologies India Pvt Ltd  2421</t>
  </si>
  <si>
    <t>Vitesco Technologies India Pvt Ltd (Continental Automotive Components (I) P L) 2421</t>
  </si>
  <si>
    <t>Vivid Tool Crafts 6021</t>
  </si>
  <si>
    <t>VMX Connectors Pvt Ltd 8022</t>
  </si>
  <si>
    <t>VMX Connectors Pvt Ltd 8023</t>
  </si>
  <si>
    <t>VMX-Hi Connectrors Pvt Ltd 8022</t>
  </si>
  <si>
    <t>Voltkon Industries  8041</t>
  </si>
  <si>
    <t>Voltkon Switchgear Pvt Ltd 1152</t>
  </si>
  <si>
    <t>Vscon Engg Pvt Ltd 1131</t>
  </si>
  <si>
    <t>Vulcan Cold Forge Pvt Ltd 1111</t>
  </si>
  <si>
    <t>Wahi Sons P Ltd 1111</t>
  </si>
  <si>
    <t>Wahi Sons P Ltd 1112</t>
  </si>
  <si>
    <t>West Pharmaceutical Packaging India Pvt. L 4052</t>
  </si>
  <si>
    <t>West Pharmaceutical Services Shanghai Me 0000</t>
  </si>
  <si>
    <t>West Pharmaceutical Services Singapore Pte Ltd 0000</t>
  </si>
  <si>
    <t>Wintage Engineers &amp; Consultants 5111</t>
  </si>
  <si>
    <t>Wioska Moldings Pvt Ltd 1151</t>
  </si>
  <si>
    <t>Wipro Enterprises Limited 8071</t>
  </si>
  <si>
    <t>Wipro Enterprises Pvt Ltd 8071</t>
  </si>
  <si>
    <t>Wirecom (India) Pvt Ltd 2113</t>
  </si>
  <si>
    <t>Wise Tech precision Engg  8012</t>
  </si>
  <si>
    <t>Wonjin Autoparts India Pvt Ltd 4024</t>
  </si>
  <si>
    <t>Yagachi Technologies Pvt Ltd 8053</t>
  </si>
  <si>
    <t>Yashwitha Aerotech 0000</t>
  </si>
  <si>
    <t>Yazaki India Limited 5011</t>
  </si>
  <si>
    <t>Yazaki India Pvt Ltd (Tata Yazaki Autocomp Ltd) 5011</t>
  </si>
  <si>
    <t>Yeko Enterprises Pvt Ltd (Achutha Engg Pvt Ltd) 8013</t>
  </si>
  <si>
    <t>Yoncorp Innovation Pvt Ltd (Tecnicraft Industries) 8081</t>
  </si>
  <si>
    <t>Yoshama and Company Pvt Ltd. 8041</t>
  </si>
  <si>
    <t>Yugal Precision Pvt Ltd 1154</t>
  </si>
  <si>
    <t>Zahoransky Moulds &amp; Machines (P) Ltd 4161</t>
  </si>
  <si>
    <t>Zenith Precision Pvt Ltd 8012</t>
  </si>
  <si>
    <t>Zenith Precision Pvt Ltd 8051</t>
  </si>
  <si>
    <t>Count of 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</si>
</sst>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0;###0"/>
  </numFmts>
  <fonts count="26">
    <font>
      <sz val="11"/>
      <color rgb="FF000000"/>
      <name val="Calibri"/>
      <family val="2"/>
      <charset val="204"/>
    </font>
    <font>
      <sz val="6"/>
      <color rgb="FF000000"/>
      <name val="Calibri"/>
      <family val="2"/>
    </font>
    <font>
      <sz val="6"/>
      <color rgb="FF000000"/>
      <name val="Times New Roman"/>
      <family val="1"/>
    </font>
    <font>
      <sz val="6"/>
      <color rgb="FF000000"/>
      <name val="Calibri"/>
      <family val="2"/>
      <charset val="204"/>
    </font>
    <font>
      <sz val="6"/>
      <name val="Calibri"/>
      <family val="2"/>
    </font>
    <font>
      <sz val="7"/>
      <color rgb="FF000000"/>
      <name val="Calibri"/>
      <family val="2"/>
    </font>
    <font>
      <sz val="7"/>
      <color rgb="FF000000"/>
      <name val="Calibri"/>
      <family val="2"/>
      <charset val="204"/>
    </font>
    <font>
      <b/>
      <sz val="6"/>
      <color rgb="FF000000"/>
      <name val="Calibri"/>
      <family val="2"/>
    </font>
    <font>
      <sz val="5"/>
      <color rgb="FF000000"/>
      <name val="Calibri"/>
      <family val="2"/>
      <charset val="204"/>
    </font>
    <font>
      <sz val="5.5"/>
      <color rgb="FF000000"/>
      <name val="Calibri"/>
      <family val="2"/>
      <charset val="204"/>
    </font>
    <font>
      <sz val="11"/>
      <color theme="1"/>
      <name val="Times New Roman"/>
    </font>
    <font>
      <b/>
      <sz val="12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0"/>
      <color rgb="FF000000"/>
      <name val="Times New Roman"/>
    </font>
    <font>
      <sz val="12"/>
      <color rgb="FF000000"/>
      <name val="Calibri"/>
      <family val="2"/>
      <scheme val="minor"/>
    </font>
    <font>
      <sz val="12"/>
      <color rgb="FF000000"/>
      <name val="Times New Roman"/>
    </font>
    <font>
      <sz val="12"/>
      <color theme="1"/>
      <name val="Calibri"/>
      <scheme val="minor"/>
    </font>
    <font>
      <sz val="11"/>
      <color rgb="FF000000"/>
      <name val="Times New Roman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000000"/>
      <name val="Aptos Narrow"/>
      <family val="2"/>
    </font>
    <font>
      <sz val="6"/>
      <color rgb="FF000000"/>
      <name val="Calibri"/>
    </font>
    <font>
      <sz val="6"/>
      <color rgb="FF000000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9BBB5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7F0B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theme="6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40">
    <xf numFmtId="0" fontId="0" fillId="0" borderId="0" xfId="0"/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vertical="top" wrapText="1"/>
    </xf>
    <xf numFmtId="164" fontId="1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15" fontId="3" fillId="0" borderId="1" xfId="0" applyNumberFormat="1" applyFont="1" applyBorder="1" applyAlignment="1">
      <alignment horizontal="left" vertical="center" wrapText="1"/>
    </xf>
    <xf numFmtId="15" fontId="1" fillId="0" borderId="1" xfId="0" applyNumberFormat="1" applyFont="1" applyBorder="1" applyAlignment="1">
      <alignment horizontal="center" vertical="center" wrapText="1"/>
    </xf>
    <xf numFmtId="15" fontId="4" fillId="0" borderId="1" xfId="0" applyNumberFormat="1" applyFont="1" applyBorder="1" applyAlignment="1">
      <alignment horizontal="center" vertical="center" wrapText="1"/>
    </xf>
    <xf numFmtId="15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5" fontId="3" fillId="0" borderId="1" xfId="0" applyNumberFormat="1" applyFont="1" applyBorder="1" applyAlignment="1">
      <alignment vertical="center" wrapText="1"/>
    </xf>
    <xf numFmtId="49" fontId="3" fillId="0" borderId="1" xfId="0" applyNumberFormat="1" applyFont="1" applyBorder="1" applyAlignment="1">
      <alignment horizontal="left" vertical="center" wrapText="1"/>
    </xf>
    <xf numFmtId="15" fontId="1" fillId="0" borderId="1" xfId="0" applyNumberFormat="1" applyFont="1" applyBorder="1" applyAlignment="1">
      <alignment horizontal="left" vertical="center" wrapText="1"/>
    </xf>
    <xf numFmtId="15" fontId="1" fillId="0" borderId="1" xfId="0" applyNumberFormat="1" applyFont="1" applyBorder="1" applyAlignment="1">
      <alignment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5" fontId="4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15" fontId="1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right" vertical="center" wrapText="1"/>
    </xf>
    <xf numFmtId="0" fontId="1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wrapText="1"/>
    </xf>
    <xf numFmtId="0" fontId="10" fillId="5" borderId="7" xfId="0" applyFont="1" applyFill="1" applyBorder="1"/>
    <xf numFmtId="0" fontId="10" fillId="5" borderId="8" xfId="0" applyFont="1" applyFill="1" applyBorder="1"/>
    <xf numFmtId="0" fontId="12" fillId="6" borderId="0" xfId="0" applyFont="1" applyFill="1" applyAlignment="1">
      <alignment horizontal="center"/>
    </xf>
    <xf numFmtId="0" fontId="12" fillId="5" borderId="7" xfId="0" applyFont="1" applyFill="1" applyBorder="1" applyAlignment="1">
      <alignment horizontal="center"/>
    </xf>
    <xf numFmtId="0" fontId="12" fillId="5" borderId="10" xfId="0" applyFont="1" applyFill="1" applyBorder="1" applyAlignment="1">
      <alignment horizontal="center"/>
    </xf>
    <xf numFmtId="0" fontId="12" fillId="5" borderId="11" xfId="0" applyFont="1" applyFill="1" applyBorder="1" applyAlignment="1">
      <alignment horizontal="center"/>
    </xf>
    <xf numFmtId="0" fontId="12" fillId="5" borderId="12" xfId="0" applyFont="1" applyFill="1" applyBorder="1"/>
    <xf numFmtId="0" fontId="12" fillId="5" borderId="13" xfId="0" applyFont="1" applyFill="1" applyBorder="1"/>
    <xf numFmtId="0" fontId="13" fillId="5" borderId="7" xfId="0" applyFont="1" applyFill="1" applyBorder="1" applyAlignment="1">
      <alignment horizontal="center"/>
    </xf>
    <xf numFmtId="0" fontId="10" fillId="6" borderId="0" xfId="0" applyFont="1" applyFill="1"/>
    <xf numFmtId="0" fontId="10" fillId="4" borderId="0" xfId="0" applyFont="1" applyFill="1"/>
    <xf numFmtId="0" fontId="14" fillId="7" borderId="14" xfId="0" applyFont="1" applyFill="1" applyBorder="1" applyAlignment="1">
      <alignment horizontal="center" vertical="center" wrapText="1"/>
    </xf>
    <xf numFmtId="0" fontId="14" fillId="7" borderId="15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right" vertical="center" wrapText="1"/>
    </xf>
    <xf numFmtId="0" fontId="14" fillId="7" borderId="17" xfId="0" applyFont="1" applyFill="1" applyBorder="1" applyAlignment="1">
      <alignment horizontal="center" vertical="center" wrapText="1"/>
    </xf>
    <xf numFmtId="0" fontId="15" fillId="6" borderId="0" xfId="0" applyFont="1" applyFill="1" applyAlignment="1">
      <alignment horizontal="center" vertical="center" wrapText="1"/>
    </xf>
    <xf numFmtId="0" fontId="14" fillId="7" borderId="18" xfId="0" applyFont="1" applyFill="1" applyBorder="1" applyAlignment="1">
      <alignment horizontal="right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4" fillId="7" borderId="14" xfId="0" applyFont="1" applyFill="1" applyBorder="1" applyAlignment="1">
      <alignment horizontal="center" wrapText="1"/>
    </xf>
    <xf numFmtId="0" fontId="14" fillId="7" borderId="18" xfId="0" applyFont="1" applyFill="1" applyBorder="1" applyAlignment="1">
      <alignment horizontal="center" wrapText="1"/>
    </xf>
    <xf numFmtId="0" fontId="14" fillId="7" borderId="15" xfId="0" applyFont="1" applyFill="1" applyBorder="1" applyAlignment="1">
      <alignment wrapText="1"/>
    </xf>
    <xf numFmtId="0" fontId="14" fillId="7" borderId="17" xfId="0" applyFont="1" applyFill="1" applyBorder="1" applyAlignment="1">
      <alignment horizontal="center" wrapText="1"/>
    </xf>
    <xf numFmtId="0" fontId="15" fillId="6" borderId="0" xfId="0" applyFont="1" applyFill="1" applyAlignment="1">
      <alignment wrapText="1"/>
    </xf>
    <xf numFmtId="0" fontId="14" fillId="7" borderId="21" xfId="0" applyFont="1" applyFill="1" applyBorder="1" applyAlignment="1">
      <alignment wrapText="1"/>
    </xf>
    <xf numFmtId="0" fontId="14" fillId="7" borderId="10" xfId="0" applyFont="1" applyFill="1" applyBorder="1" applyAlignment="1">
      <alignment horizontal="center" wrapText="1"/>
    </xf>
    <xf numFmtId="0" fontId="14" fillId="7" borderId="10" xfId="0" applyFont="1" applyFill="1" applyBorder="1" applyAlignment="1">
      <alignment horizontal="right" wrapText="1"/>
    </xf>
    <xf numFmtId="0" fontId="14" fillId="7" borderId="22" xfId="0" applyFont="1" applyFill="1" applyBorder="1" applyAlignment="1">
      <alignment horizontal="center" wrapText="1"/>
    </xf>
    <xf numFmtId="0" fontId="14" fillId="6" borderId="0" xfId="0" applyFont="1" applyFill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right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0" borderId="21" xfId="0" applyFont="1" applyBorder="1"/>
    <xf numFmtId="0" fontId="18" fillId="0" borderId="10" xfId="0" applyFont="1" applyBorder="1"/>
    <xf numFmtId="0" fontId="14" fillId="0" borderId="10" xfId="0" applyFont="1" applyBorder="1" applyAlignment="1">
      <alignment horizontal="right"/>
    </xf>
    <xf numFmtId="0" fontId="14" fillId="8" borderId="25" xfId="0" applyFont="1" applyFill="1" applyBorder="1"/>
    <xf numFmtId="0" fontId="15" fillId="6" borderId="0" xfId="0" applyFont="1" applyFill="1"/>
    <xf numFmtId="0" fontId="14" fillId="0" borderId="21" xfId="0" applyFont="1" applyBorder="1"/>
    <xf numFmtId="0" fontId="14" fillId="9" borderId="22" xfId="0" applyFont="1" applyFill="1" applyBorder="1"/>
    <xf numFmtId="0" fontId="14" fillId="0" borderId="21" xfId="0" applyFont="1" applyBorder="1" applyAlignment="1">
      <alignment horizontal="right"/>
    </xf>
    <xf numFmtId="0" fontId="14" fillId="8" borderId="26" xfId="0" applyFont="1" applyFill="1" applyBorder="1"/>
    <xf numFmtId="0" fontId="14" fillId="0" borderId="10" xfId="0" applyFont="1" applyBorder="1"/>
    <xf numFmtId="0" fontId="14" fillId="0" borderId="27" xfId="0" applyFont="1" applyBorder="1"/>
    <xf numFmtId="0" fontId="14" fillId="0" borderId="25" xfId="0" applyFont="1" applyBorder="1"/>
    <xf numFmtId="0" fontId="14" fillId="0" borderId="28" xfId="0" applyFont="1" applyBorder="1"/>
    <xf numFmtId="0" fontId="14" fillId="0" borderId="16" xfId="0" applyFont="1" applyBorder="1"/>
    <xf numFmtId="0" fontId="14" fillId="0" borderId="16" xfId="0" applyFont="1" applyBorder="1" applyAlignment="1">
      <alignment horizontal="right"/>
    </xf>
    <xf numFmtId="0" fontId="16" fillId="8" borderId="29" xfId="0" applyFont="1" applyFill="1" applyBorder="1"/>
    <xf numFmtId="0" fontId="14" fillId="0" borderId="22" xfId="0" applyFont="1" applyBorder="1"/>
    <xf numFmtId="0" fontId="14" fillId="8" borderId="22" xfId="0" applyFont="1" applyFill="1" applyBorder="1"/>
    <xf numFmtId="0" fontId="14" fillId="6" borderId="0" xfId="0" applyFont="1" applyFill="1"/>
    <xf numFmtId="0" fontId="16" fillId="0" borderId="21" xfId="0" applyFont="1" applyBorder="1"/>
    <xf numFmtId="0" fontId="16" fillId="0" borderId="10" xfId="0" applyFont="1" applyBorder="1"/>
    <xf numFmtId="0" fontId="16" fillId="8" borderId="22" xfId="0" applyFont="1" applyFill="1" applyBorder="1"/>
    <xf numFmtId="0" fontId="14" fillId="0" borderId="30" xfId="0" applyFont="1" applyBorder="1"/>
    <xf numFmtId="0" fontId="14" fillId="0" borderId="31" xfId="0" applyFont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0" borderId="26" xfId="0" applyFont="1" applyBorder="1" applyAlignment="1">
      <alignment horizontal="right"/>
    </xf>
    <xf numFmtId="0" fontId="14" fillId="0" borderId="32" xfId="0" applyFont="1" applyBorder="1"/>
    <xf numFmtId="0" fontId="14" fillId="0" borderId="29" xfId="0" applyFont="1" applyBorder="1"/>
    <xf numFmtId="0" fontId="16" fillId="0" borderId="22" xfId="0" applyFont="1" applyBorder="1"/>
    <xf numFmtId="0" fontId="14" fillId="0" borderId="33" xfId="0" applyFont="1" applyBorder="1"/>
    <xf numFmtId="0" fontId="14" fillId="0" borderId="34" xfId="0" applyFont="1" applyBorder="1"/>
    <xf numFmtId="0" fontId="14" fillId="0" borderId="34" xfId="0" applyFont="1" applyBorder="1" applyAlignment="1">
      <alignment horizontal="right"/>
    </xf>
    <xf numFmtId="0" fontId="14" fillId="8" borderId="35" xfId="0" applyFont="1" applyFill="1" applyBorder="1"/>
    <xf numFmtId="0" fontId="15" fillId="6" borderId="0" xfId="0" applyFont="1" applyFill="1" applyAlignment="1">
      <alignment horizontal="left"/>
    </xf>
    <xf numFmtId="0" fontId="16" fillId="0" borderId="33" xfId="0" applyFont="1" applyBorder="1"/>
    <xf numFmtId="0" fontId="16" fillId="0" borderId="34" xfId="0" applyFont="1" applyBorder="1"/>
    <xf numFmtId="0" fontId="16" fillId="0" borderId="34" xfId="0" applyFont="1" applyBorder="1" applyAlignment="1">
      <alignment horizontal="right"/>
    </xf>
    <xf numFmtId="0" fontId="16" fillId="0" borderId="35" xfId="0" applyFont="1" applyBorder="1"/>
    <xf numFmtId="0" fontId="15" fillId="4" borderId="0" xfId="0" applyFont="1" applyFill="1"/>
    <xf numFmtId="0" fontId="14" fillId="0" borderId="30" xfId="0" applyFont="1" applyBorder="1" applyAlignment="1">
      <alignment wrapText="1"/>
    </xf>
    <xf numFmtId="0" fontId="14" fillId="8" borderId="29" xfId="0" applyFont="1" applyFill="1" applyBorder="1"/>
    <xf numFmtId="0" fontId="15" fillId="4" borderId="0" xfId="0" applyFont="1" applyFill="1" applyAlignment="1">
      <alignment horizontal="right"/>
    </xf>
    <xf numFmtId="0" fontId="15" fillId="4" borderId="0" xfId="0" applyFont="1" applyFill="1" applyAlignment="1">
      <alignment wrapText="1"/>
    </xf>
    <xf numFmtId="0" fontId="14" fillId="0" borderId="36" xfId="0" applyFont="1" applyBorder="1"/>
    <xf numFmtId="0" fontId="14" fillId="0" borderId="37" xfId="0" applyFont="1" applyBorder="1" applyAlignment="1">
      <alignment horizontal="center"/>
    </xf>
    <xf numFmtId="0" fontId="16" fillId="8" borderId="22" xfId="0" applyFont="1" applyFill="1" applyBorder="1" applyAlignment="1">
      <alignment wrapText="1"/>
    </xf>
    <xf numFmtId="0" fontId="14" fillId="0" borderId="26" xfId="0" applyFont="1" applyBorder="1"/>
    <xf numFmtId="0" fontId="14" fillId="0" borderId="18" xfId="0" applyFont="1" applyBorder="1"/>
    <xf numFmtId="0" fontId="14" fillId="0" borderId="15" xfId="0" applyFont="1" applyBorder="1"/>
    <xf numFmtId="0" fontId="14" fillId="8" borderId="17" xfId="0" applyFont="1" applyFill="1" applyBorder="1"/>
    <xf numFmtId="0" fontId="16" fillId="0" borderId="10" xfId="0" applyFont="1" applyBorder="1" applyAlignment="1">
      <alignment horizontal="right"/>
    </xf>
    <xf numFmtId="0" fontId="14" fillId="0" borderId="33" xfId="0" applyFont="1" applyBorder="1" applyAlignment="1">
      <alignment horizontal="right"/>
    </xf>
    <xf numFmtId="0" fontId="14" fillId="0" borderId="38" xfId="0" applyFont="1" applyBorder="1"/>
    <xf numFmtId="0" fontId="16" fillId="8" borderId="35" xfId="0" applyFont="1" applyFill="1" applyBorder="1"/>
    <xf numFmtId="0" fontId="14" fillId="0" borderId="4" xfId="0" applyFont="1" applyBorder="1" applyAlignment="1">
      <alignment horizontal="right"/>
    </xf>
    <xf numFmtId="0" fontId="14" fillId="8" borderId="39" xfId="0" applyFont="1" applyFill="1" applyBorder="1"/>
    <xf numFmtId="0" fontId="15" fillId="6" borderId="0" xfId="0" applyFont="1" applyFill="1" applyAlignment="1">
      <alignment horizontal="right"/>
    </xf>
    <xf numFmtId="0" fontId="16" fillId="8" borderId="40" xfId="0" applyFont="1" applyFill="1" applyBorder="1"/>
    <xf numFmtId="0" fontId="16" fillId="8" borderId="25" xfId="0" applyFont="1" applyFill="1" applyBorder="1"/>
    <xf numFmtId="0" fontId="14" fillId="0" borderId="38" xfId="0" applyFont="1" applyBorder="1" applyAlignment="1">
      <alignment horizontal="right"/>
    </xf>
    <xf numFmtId="0" fontId="14" fillId="0" borderId="35" xfId="0" applyFont="1" applyBorder="1"/>
    <xf numFmtId="0" fontId="19" fillId="4" borderId="0" xfId="0" applyFont="1" applyFill="1"/>
    <xf numFmtId="0" fontId="19" fillId="4" borderId="0" xfId="0" applyFont="1" applyFill="1" applyAlignment="1">
      <alignment horizontal="right"/>
    </xf>
    <xf numFmtId="0" fontId="14" fillId="0" borderId="41" xfId="0" applyFont="1" applyBorder="1"/>
    <xf numFmtId="0" fontId="14" fillId="0" borderId="42" xfId="0" applyFont="1" applyBorder="1"/>
    <xf numFmtId="0" fontId="14" fillId="0" borderId="40" xfId="0" applyFont="1" applyBorder="1"/>
    <xf numFmtId="0" fontId="20" fillId="0" borderId="33" xfId="0" applyFont="1" applyBorder="1"/>
    <xf numFmtId="0" fontId="20" fillId="0" borderId="34" xfId="0" applyFont="1" applyBorder="1"/>
    <xf numFmtId="0" fontId="16" fillId="0" borderId="43" xfId="0" applyFont="1" applyBorder="1"/>
    <xf numFmtId="0" fontId="19" fillId="6" borderId="0" xfId="0" applyFont="1" applyFill="1"/>
    <xf numFmtId="0" fontId="19" fillId="6" borderId="0" xfId="0" applyFont="1" applyFill="1" applyAlignment="1">
      <alignment horizontal="right"/>
    </xf>
    <xf numFmtId="0" fontId="0" fillId="6" borderId="0" xfId="0" applyFill="1"/>
    <xf numFmtId="0" fontId="21" fillId="6" borderId="0" xfId="0" applyFont="1" applyFill="1" applyAlignment="1">
      <alignment horizontal="right"/>
    </xf>
    <xf numFmtId="0" fontId="21" fillId="6" borderId="0" xfId="0" applyFont="1" applyFill="1"/>
    <xf numFmtId="0" fontId="22" fillId="4" borderId="0" xfId="0" applyFont="1" applyFill="1"/>
    <xf numFmtId="0" fontId="21" fillId="4" borderId="0" xfId="0" applyFont="1" applyFill="1" applyAlignment="1">
      <alignment horizontal="right"/>
    </xf>
    <xf numFmtId="0" fontId="21" fillId="4" borderId="0" xfId="0" applyFont="1" applyFill="1"/>
    <xf numFmtId="0" fontId="0" fillId="4" borderId="0" xfId="0" applyFill="1"/>
    <xf numFmtId="0" fontId="21" fillId="8" borderId="44" xfId="0" applyFont="1" applyFill="1" applyBorder="1"/>
    <xf numFmtId="0" fontId="0" fillId="4" borderId="0" xfId="0" applyFill="1" applyAlignment="1">
      <alignment horizontal="right"/>
    </xf>
    <xf numFmtId="0" fontId="23" fillId="10" borderId="0" xfId="0" applyFont="1" applyFill="1"/>
    <xf numFmtId="0" fontId="23" fillId="10" borderId="45" xfId="0" applyFont="1" applyFill="1" applyBorder="1"/>
    <xf numFmtId="0" fontId="23" fillId="11" borderId="46" xfId="0" applyFont="1" applyFill="1" applyBorder="1"/>
    <xf numFmtId="0" fontId="23" fillId="10" borderId="1" xfId="0" applyFont="1" applyFill="1" applyBorder="1"/>
    <xf numFmtId="0" fontId="23" fillId="10" borderId="5" xfId="0" applyFont="1" applyFill="1" applyBorder="1"/>
    <xf numFmtId="0" fontId="0" fillId="0" borderId="10" xfId="0" applyBorder="1"/>
    <xf numFmtId="0" fontId="14" fillId="7" borderId="0" xfId="0" applyFont="1" applyFill="1" applyAlignment="1">
      <alignment horizontal="center" vertical="center" wrapText="1"/>
    </xf>
    <xf numFmtId="0" fontId="14" fillId="8" borderId="47" xfId="0" applyFont="1" applyFill="1" applyBorder="1"/>
    <xf numFmtId="0" fontId="16" fillId="8" borderId="47" xfId="0" applyFont="1" applyFill="1" applyBorder="1"/>
    <xf numFmtId="0" fontId="14" fillId="0" borderId="47" xfId="0" applyFont="1" applyBorder="1"/>
    <xf numFmtId="0" fontId="16" fillId="0" borderId="48" xfId="0" applyFont="1" applyBorder="1"/>
    <xf numFmtId="0" fontId="14" fillId="9" borderId="26" xfId="0" applyFont="1" applyFill="1" applyBorder="1"/>
    <xf numFmtId="0" fontId="14" fillId="8" borderId="2" xfId="0" applyFont="1" applyFill="1" applyBorder="1"/>
    <xf numFmtId="0" fontId="14" fillId="0" borderId="49" xfId="0" applyFont="1" applyBorder="1"/>
    <xf numFmtId="0" fontId="14" fillId="8" borderId="49" xfId="0" applyFont="1" applyFill="1" applyBorder="1"/>
    <xf numFmtId="0" fontId="14" fillId="8" borderId="0" xfId="0" applyFont="1" applyFill="1"/>
    <xf numFmtId="0" fontId="14" fillId="0" borderId="50" xfId="0" applyFont="1" applyBorder="1"/>
    <xf numFmtId="0" fontId="16" fillId="8" borderId="49" xfId="0" applyFont="1" applyFill="1" applyBorder="1"/>
    <xf numFmtId="0" fontId="16" fillId="8" borderId="50" xfId="0" applyFont="1" applyFill="1" applyBorder="1"/>
    <xf numFmtId="0" fontId="16" fillId="0" borderId="26" xfId="0" applyFont="1" applyBorder="1"/>
    <xf numFmtId="0" fontId="16" fillId="8" borderId="26" xfId="0" applyFont="1" applyFill="1" applyBorder="1"/>
    <xf numFmtId="0" fontId="16" fillId="8" borderId="26" xfId="0" applyFont="1" applyFill="1" applyBorder="1" applyAlignment="1">
      <alignment wrapText="1"/>
    </xf>
    <xf numFmtId="0" fontId="16" fillId="8" borderId="38" xfId="0" applyFont="1" applyFill="1" applyBorder="1"/>
    <xf numFmtId="0" fontId="14" fillId="8" borderId="38" xfId="0" applyFont="1" applyFill="1" applyBorder="1"/>
    <xf numFmtId="0" fontId="16" fillId="0" borderId="38" xfId="0" applyFont="1" applyBorder="1"/>
    <xf numFmtId="0" fontId="3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1" fillId="4" borderId="0" xfId="0" applyFont="1" applyFill="1" applyAlignment="1">
      <alignment horizontal="left"/>
    </xf>
    <xf numFmtId="0" fontId="12" fillId="5" borderId="12" xfId="0" applyFont="1" applyFill="1" applyBorder="1" applyAlignment="1">
      <alignment horizontal="center"/>
    </xf>
    <xf numFmtId="0" fontId="15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12" fillId="5" borderId="8" xfId="0" applyFont="1" applyFill="1" applyBorder="1" applyAlignment="1">
      <alignment horizontal="center"/>
    </xf>
    <xf numFmtId="0" fontId="13" fillId="5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21" fillId="4" borderId="0" xfId="0" applyFont="1" applyFill="1" applyAlignment="1">
      <alignment horizontal="left"/>
    </xf>
    <xf numFmtId="0" fontId="12" fillId="5" borderId="12" xfId="0" applyFont="1" applyFill="1" applyBorder="1" applyAlignment="1">
      <alignment horizontal="center"/>
    </xf>
    <xf numFmtId="0" fontId="12" fillId="5" borderId="13" xfId="0" applyFont="1" applyFill="1" applyBorder="1" applyAlignment="1">
      <alignment horizontal="center"/>
    </xf>
    <xf numFmtId="0" fontId="15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12" fillId="5" borderId="8" xfId="0" applyFont="1" applyFill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1" fillId="5" borderId="8" xfId="0" applyFont="1" applyFill="1" applyBorder="1" applyAlignment="1">
      <alignment horizontal="center"/>
    </xf>
    <xf numFmtId="0" fontId="11" fillId="5" borderId="9" xfId="0" applyFont="1" applyFill="1" applyBorder="1" applyAlignment="1">
      <alignment horizontal="center"/>
    </xf>
    <xf numFmtId="0" fontId="13" fillId="5" borderId="8" xfId="0" applyFont="1" applyFill="1" applyBorder="1" applyAlignment="1">
      <alignment horizontal="center"/>
    </xf>
    <xf numFmtId="0" fontId="13" fillId="5" borderId="9" xfId="0" applyFont="1" applyFill="1" applyBorder="1" applyAlignment="1">
      <alignment horizontal="center"/>
    </xf>
    <xf numFmtId="0" fontId="23" fillId="10" borderId="10" xfId="0" applyFont="1" applyFill="1" applyBorder="1" applyAlignment="1">
      <alignment horizontal="left"/>
    </xf>
    <xf numFmtId="0" fontId="23" fillId="10" borderId="6" xfId="0" applyFont="1" applyFill="1" applyBorder="1"/>
    <xf numFmtId="0" fontId="23" fillId="10" borderId="3" xfId="0" applyFont="1" applyFill="1" applyBorder="1"/>
    <xf numFmtId="0" fontId="3" fillId="0" borderId="0" xfId="0" applyFont="1" applyBorder="1" applyAlignment="1">
      <alignment horizontal="right" vertical="center" wrapText="1"/>
    </xf>
    <xf numFmtId="15" fontId="1" fillId="4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6" fillId="0" borderId="0" xfId="0" applyFont="1" applyBorder="1" applyAlignment="1">
      <alignment wrapText="1"/>
    </xf>
    <xf numFmtId="0" fontId="3" fillId="0" borderId="0" xfId="0" applyFont="1" applyBorder="1" applyAlignment="1">
      <alignment wrapText="1"/>
    </xf>
    <xf numFmtId="0" fontId="3" fillId="4" borderId="0" xfId="0" applyFont="1" applyFill="1" applyBorder="1" applyAlignment="1">
      <alignment wrapText="1"/>
    </xf>
    <xf numFmtId="15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wrapText="1"/>
    </xf>
    <xf numFmtId="1" fontId="3" fillId="0" borderId="0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5" fontId="5" fillId="2" borderId="1" xfId="0" applyNumberFormat="1" applyFont="1" applyFill="1" applyBorder="1" applyAlignment="1">
      <alignment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1"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8.722867476848" createdVersion="8" refreshedVersion="8" minRefreshableVersion="3" recordCount="1122" xr:uid="{399580D6-09B6-49D4-82BE-13B2CA9F58A9}">
  <cacheSource type="worksheet">
    <worksheetSource ref="A1:AB1123" sheet="Master"/>
  </cacheSource>
  <cacheFields count="28">
    <cacheField name="S No" numFmtId="0">
      <sharedItems containsSemiMixedTypes="0" containsString="0" containsNumber="1" containsInteger="1" minValue="1" maxValue="1122"/>
    </cacheField>
    <cacheField name="Customer Name" numFmtId="0">
      <sharedItems containsDate="1" containsMixedTypes="1" minDate="2010-11-09T00:00:00" maxDate="2010-11-10T00:00:00"/>
    </cacheField>
    <cacheField name="cz" numFmtId="0">
      <sharedItems count="982">
        <s v="Sesha Tools Pvt Ltd 8031"/>
        <s v="Pro Innovative Technologies. 8051"/>
        <s v="Die-Tech India pvt Ltd 4031"/>
        <s v="Elan Diamond Tools Ltd 4031"/>
        <s v="NSTL (Optomech Engineers P Ltd) 6021"/>
        <s v="Integra Automation P Ltd. 4041"/>
        <s v="SKF Technologies India Pvt Ltd 8012"/>
        <s v="Iscon Surgicals Ltd. 1002"/>
        <s v="Vaish Industries 1162"/>
        <s v="Rachel Engineering 8054"/>
        <s v="Mastercraft Engineers P Ltd 8012"/>
        <s v="GKDITR Tooling Centre 4111"/>
        <s v="Candid Micron Measurements P Ltd. 4161"/>
        <s v="Bosch Limited 8011"/>
        <s v="SSF Plastics India Pvt Ltd 8013"/>
        <s v="Omni Matrix Pvt Ltd 8051"/>
        <s v="Samvardhana Motherson Intern L (Motherson Sumi Sys L) 8051"/>
        <s v="College of Engg 4103"/>
        <s v="Parle Elizabeth Tools Pvt Ltd. 5011"/>
        <s v="Sansera Engg (P) Ltd 8012"/>
        <s v="TGT Tech Pvt Ltd (Tool Grinding Technologies Inc.) 8051"/>
        <s v="Prismatic Engg 8021"/>
        <s v="Hical Technologies Pvt Ltd 8011"/>
        <s v="Dagger Master Tools (P) Ltd. 2021"/>
        <s v="SVP Packaging (P) Ltd. 2112"/>
        <s v="Quality Needles (P) Ltd 1151"/>
        <s v="Mars Engineers &amp; Services 4041"/>
        <s v="Midhani (Optomech Engineers (P) Ltd) 6021"/>
        <s v="Technicraft 8023"/>
        <s v="Athereya Enterprises 8011"/>
        <s v="Centum Industries P Ltd. 8071"/>
        <s v="General Industrial Controls (P) Ltd 2411"/>
        <s v="Nicholas Piramal India Limited 2115"/>
        <s v="Maini Precision Products (P) Ltd. 8012"/>
        <s v="MTL Instruments Pvt. Ltd. 4011"/>
        <s v="Alagappa Chettiar College of Engg 4013"/>
        <s v="Trishul Machine Tools (P) Ltd. 8012"/>
        <s v="JBJ Machine Technologies (P) Ltd. 1151"/>
        <s v="Maini Precision Products (P) Ltd. 8051"/>
        <s v="Shree Athreya Industries 8011"/>
        <s v="Dalal Plastic Corporation 2224"/>
        <s v="Positronic Interconnects Pvt. Ltd., 0000"/>
        <s v="SJS Enterprises (P) Ltd 8023"/>
        <s v="AT &amp; S India (P) Ltd 8033"/>
        <s v="Motherson Innovative Engg Solutions P Ltd 4032"/>
        <s v="Stumpp Schuele &amp; Somappa Springs Pvt Ltd 8012"/>
        <s v="Jakap Metind Pvt Ltd 2461"/>
        <s v="Central Electrochemical Research Institute 4013"/>
        <s v="Microtech Engineers 4021"/>
        <s v="Abhi burnishing Tools 4111"/>
        <s v="EssKay Corporation 0000"/>
        <s v="Accusharp 2411"/>
        <s v="Harkesh Rubber Industries 2301"/>
        <s v="Maraica Industries 8005"/>
        <s v="Federal Mogul Bearings India Limited 1312"/>
        <s v="Spectrum Tool Engineers (P) Ltd 8041"/>
        <s v="JP Tools &amp; Technologies (P) Ltd 8011"/>
        <s v="Caparo Engg India Pvt. Ltd 4031"/>
        <s v="KJK Polydiamonds P Ltd 0000"/>
        <s v="IP Rings Ltd (IP Pins Ltd) 4024"/>
        <s v="Mudra Pressings P Ltd 4021"/>
        <s v="Rimtex Engg P Ltd. 5011"/>
        <s v="Nebula Technologies 8031"/>
        <s v="VMX Connectors Pvt Ltd 8022"/>
        <s v="Souriau India Pvt Ltd (old Mc No.79) 4131"/>
        <s v="Universal Flexible Pvt Ltd 8081"/>
        <s v="Excelon Technologies 8051"/>
        <s v="Zenith Precision Pvt Ltd 8051"/>
        <s v="Phoenix Textile Engg Pvt Ltd 2441"/>
        <s v="L G B Balakrishnan &amp; Bros Limited 4162"/>
        <s v="Precitherm (Do All Engg ) 8002"/>
        <s v="Sharp Industries 1111"/>
        <s v="Mindarika (P) Ltd 1111"/>
        <s v="AeroMech Technologies (P) Ltd 8051"/>
        <s v="Kesaria Rubber Industries (P) Ltd 1111"/>
        <s v="Best Tooling 4161"/>
        <s v="Havells india Ltd. 1161"/>
        <s v="Sun Casting 8023"/>
        <s v="Nutech Sintered Products (P) Ltd. 2222"/>
        <s v="First Engg Plastics (I) (P) Ltd 4031"/>
        <s v="Terminal Technologies P Ltd 2222"/>
        <s v="Terminal Technologies P Ltd 2421"/>
        <s v="Rockman Industries Ltd (Sargam Diecastings P Ltd) 4031"/>
        <s v="Leggett &amp; Platt Automotive (I) Pvt Ltd (L&amp;P Somappa Comfort Sys I P Ltd) 4043"/>
        <s v="Souriau India P Ltd. 4131"/>
        <s v="Patco Precision Components P Ltd 2301"/>
        <s v="RR Precision (India) Pvt Ltd (RR Engg &amp; Export) 8082"/>
        <s v="Delphi TVS Diesel Systems Ltd. 4031"/>
        <s v="Supreme Automech I P Ltd 4013"/>
        <s v="CNC Engravers 2441"/>
        <s v="BVGK Engg P Ltd 4041"/>
        <s v="GE Renewabla Energy Technologies Pvt Ltd (GE India Tech Centre) 8081"/>
        <s v="Reliance Diamond Tools 4041"/>
        <s v="Anand Testing Machine Services 8004"/>
        <s v="Goodrich Aerospace Services P Ltd 8071"/>
        <s v="Prisms India P Ltd 4013"/>
        <s v="Toyota Kirloskar Auto Parts P Ltd 8032"/>
        <s v="Besmak Components P Ltd 4042"/>
        <s v="Bhumi Brass and Alloy 5401"/>
        <s v="West Pharmaceutical Services Singapore Pte Ltd 0000"/>
        <s v="Precihole Machine Tools Pvt. Ltd. 2224"/>
        <s v="Chakradhara Aerospace &amp; Cargo Pvt Ltd 4111"/>
        <s v="Optics &amp; Allied Engg Pvt Ltd 8081"/>
        <s v="PT. Tradisi Manufacturing Industry 0000"/>
        <s v="Amritha Tool Crafts Pvt. Ltd. 6021"/>
        <s v="Craftsman Automation Ltd 4111"/>
        <s v="GESCO Healthcare Pvt Ltd (General Surgical Company (I) PVT. Ltd) 4032"/>
        <s v="Rams Engg Industries 4041"/>
        <s v="Sunikh Precision P Ltd 8013"/>
        <s v="Sunvision Technologies P Ltd 2114"/>
        <s v="Savio India Ltd (Itema Spinning India Limited) 4131"/>
        <s v="Trucut Tool Inc. 4041"/>
        <s v="Protectron Electromech P Ltd 8031"/>
        <s v="Microfine Bushings P Ltd 4041"/>
        <s v="Bhavani Industries 8011"/>
        <s v="Rohit Industries group P Ltd 1121"/>
        <s v="Piano Presitel 2115"/>
        <s v="Newtech Filter India P Ltd 1313"/>
        <s v="Exa Thermometrics India P Ltd 8011"/>
        <s v="Bhansali Precision (Bhansali Precision Components) 2112"/>
        <s v="Smith Industrial Corporation Pvt Ltd 1162"/>
        <s v="Master Moulds Pvt Ltd 2301"/>
        <s v="Bosch Electrical Drives I P Ltd 4011"/>
        <s v="IP Rings Ltd (OCF Division) 4031"/>
        <s v="Continental Automotive Components (I) P L 8013"/>
        <s v="Elgi Equipments Ltd 4131"/>
        <s v="Right Industries (Numann Industries) 8013"/>
        <s v="Ess Enn Auto CNC P Ltd 8051"/>
        <s v="Samit Writing Alds P Ltd 2114"/>
        <s v="Robert Bosch Engg &amp; Business Solns Ltd 8012"/>
        <s v="Micro Plastics 8021"/>
        <s v="Tex Tech Industries (India) Pvt Ltd 4112"/>
        <s v="Rytiks Auto P Ltd 4041"/>
        <s v="Uni - Automation (I)P Ltd 2411"/>
        <s v="Bosch Limited 4102"/>
        <s v="Otto Bilz (I) P Ltd 8061"/>
        <s v="Bosch Limited 1015"/>
        <s v="Dalal Plastic Corporation 2222"/>
        <s v="Ujwal Industries 2222"/>
        <s v="SSF Plastics India Pvt Ltd 2111"/>
        <s v="Vedika Machinery P Ltd 8005"/>
        <s v="Easun Reyrolle Ltd 8031"/>
        <s v="Wahi Sons P Ltd 1111"/>
        <s v="Arun Plasto Moulders (I) (P) Ltd 4031"/>
        <s v="Vako Seals P Ltd 2224"/>
        <s v="Matchwell Die Casters Pvt Ltd 2224"/>
        <s v="IFB Industries Ltd (Kolkata unit) 8005"/>
        <s v="IFB Industries Ltd (Bangalore unit) 8082"/>
        <s v="Titan Industries Ltd 8013"/>
        <s v="PT. Minda Asean Automotive 0000"/>
        <s v="Servocontrol Aerospace (I) Pvt Ltd (Servocontrols Hydraulics (I) Pvt Ltd) 8002"/>
        <s v="Dias-C Tools and Components 2411"/>
        <s v="Arun Plasto Moulders (I) (P) Ltd (Haridwar) 1042"/>
        <s v="Jay Precision Products India P Ltd 2114"/>
        <s v="Connectwell Industries P Ltd. 2223"/>
        <s v="Shiv-Om Brass Industries 5401"/>
        <s v="NDT Consultants Ltd 0000"/>
        <s v="Joyson Anand Abhishek Safety Systems Pvt Ltd (KSS - Abhishek Safety Systems P Ltd) 1111"/>
        <s v="Speciality Sintered Products P Ltd 2421"/>
        <s v="Brakes India Pvt Ltd 4024"/>
        <s v="Kuhu Industries P Ltd 1015"/>
        <s v="Chamundi Die Cast (P) Ltd 4033"/>
        <s v="Toyota Boshoku Automotive (I) (P) Ltd 8032"/>
        <s v="Poly Fluoro Ltd 8012"/>
        <s v="Sundaram Industries Ltd 4101"/>
        <s v="Gautam Packaging P Ltd 1111"/>
        <s v="40491 8071"/>
        <s v="ISRO Satellite Centre 8071"/>
        <s v="Metalman Auto P Ltd 2021"/>
        <s v="SKF India Ltd 8013"/>
        <s v="Rotary Connectors P Ltd 8071"/>
        <s v="Riyalto Enterprises 4024"/>
        <s v="Accumatch Die Casters 8004"/>
        <s v="Romsons Scientific &amp; Surgical Industries P L 1154"/>
        <s v="SSF Plastics India Pvt Ltd 1311"/>
        <s v="Kishore Industries 2021"/>
        <s v="Geoff Poly Technologies 4022"/>
        <s v="Nashik Engg Cluster 2301"/>
        <s v="Opel Auto Products P Ltd 4031"/>
        <s v="Brown Diamond Tools 4021"/>
        <s v="Brakes India Pvt Ltd 4041"/>
        <s v="KSH International P Ltd 2421"/>
        <s v="Yazaki India Pvt Ltd (Tata Yazaki Autocomp Ltd) 5011"/>
        <s v="S.N Metallurgical Services 2021"/>
        <s v="SMP Autotech P Ltd 2301"/>
        <s v="Ashvini Magnets P Ltd 2421"/>
        <s v="Aurolab 4101"/>
        <s v="Appasamy Associates 4013"/>
        <s v="Saturn Industries 8081"/>
        <s v="Brakes India Ltd 4031"/>
        <s v="Unique Instruments &amp; Mfrs P Ltd 8051"/>
        <s v="Alfanar Electrical System 0000"/>
        <s v="Maruthi Suzuki India Ltd 1111"/>
        <s v="Napino Auto &amp; Electronics Ltd 1111"/>
        <s v="Vikson Spring Pvt Ltd 2421"/>
        <s v="MSS India Private Limited 2301"/>
        <s v="CG Power &amp; Industrial soln Ltd (Crompton Greaves Ltd) 2301"/>
        <s v="DS Techno Rubber 4022"/>
        <s v="Sealtite Dichtungs Pvt Ltd 8012"/>
        <s v="Esya Engg Pvt Ltd 4041"/>
        <s v="Sri Engg Works 8081"/>
        <s v="Rane (Madras) Ltd ((Rane Engine Valve Ltd (Kar Mobiles Limited)) 4021"/>
        <s v="Polycab India Ltd (Polycab Wires Pvt Ltd) 2301"/>
        <s v="Classic Stripes Pvt Ltd 2222"/>
        <s v="Esbee Industrial Combines 2411"/>
        <s v="Pappu Engg Works, 2224"/>
        <s v="Paloma Turning Co. Pvt. Ltd 8013"/>
        <s v="Schneider Electric India Pvt. Ltd. 8012"/>
        <s v="Phoenix Precision Parts 8051"/>
        <s v="Sandhar Automotives 1111"/>
        <s v="HPL Electric &amp; Power Pvt. Ltd 1132"/>
        <s v="Indo-MIM Pvt Ltd (INDO MIM Tec Pvt Ltd) 8061"/>
        <s v="Magna Automotive India Pvt Ltd (Magna Closures Automotive P Ltd) 4024"/>
        <s v="Navkar Technologies 2301"/>
        <s v="Rane Engine Valves Ltd (Kar Mobiles Limited) 8052"/>
        <s v="Fastenex Pvt Ltd (Leo Fasteners) 4013"/>
        <s v="Shining Tools Pvt Ltd (Shine Industries) 5301"/>
        <s v="Sanjith Moulds Pvt. Ltd., 2301"/>
        <s v="AG Industries 1042"/>
        <s v="RC Engg 4021"/>
        <s v="Bosch Limited 2301"/>
        <s v="Narmada Rings Pvt Ltd 5301"/>
        <s v="Allison Transmission India Pvt Ltd 4031"/>
        <s v="Aurolab (Moulding Dept) 4101"/>
        <s v="Continental Automotive Components (I) P L 1111"/>
        <s v="Vitesco Technologies India Pvt Ltd (Continental Automotive Components (I) P L) 2421"/>
        <s v="Mahindra CIE Automotive Ltd (Bill Forge Private Limited) 8021"/>
        <s v="Fine Care Biosystems 5301"/>
        <s v="Sathvik Engineers 8051"/>
        <s v="Metro - Gijutsu Center 5301"/>
        <s v="Precision Sintered Products 5301"/>
        <s v="Ceratizit India Pvt Ltd 8005"/>
        <s v="Bhabha Atomic Research Centre 2224"/>
        <s v="Imperial Pharmachines Pvt Ltd 2224"/>
        <s v="Malvika Jewellery Pvt Ltd 2115"/>
        <s v="Amphenol Interconnect India Pvt Ltd 2411"/>
        <s v="Mindarika Pvt Ltd 4032"/>
        <s v="Central Manufacturing Technology Institute 5301"/>
        <s v="Wonjin Autoparts India Pvt Ltd 4024"/>
        <s v="Wintage Engineers &amp; Consultants 5111"/>
        <s v="Hilton Engine Valves 5301"/>
        <s v="Anil Plastics &amp; Enterprises 2421"/>
        <s v="Kennametal India Ltd 8051"/>
        <s v="Lucas - TVS Limited 4013"/>
        <s v="Motherson Automotive Technologies And Engg 8032"/>
        <s v="Jayem Automotives Limited 4131"/>
        <s v="Sharma Industries 8081"/>
        <s v="AT India Auto Parts Pvt Ltd 8032"/>
        <s v="JetAvi Engg Private Limited 8071"/>
        <s v="Mitsubishi Heavy Industries India Precision 4033"/>
        <s v="BSC Rubber Industries 2021"/>
        <s v="Novateur Electrical &amp; Digital Systems Pvt. L 1042"/>
        <s v="Kaizen International 2113"/>
        <s v="General Mechanical Industries 2113"/>
        <s v="Diamond Tooling Systems 0000"/>
        <s v="Filcomps 8052"/>
        <s v="Salcomp Manufacturing India Pvt Ltd 4031"/>
        <s v="Prime Precision Pvt Ltd 1054"/>
        <s v="Fine Tools (India) Pvt Ltd 8051"/>
        <s v="Vhignesh Engg. Works 8013"/>
        <s v="Parshwa International 1042"/>
        <s v="JK Files (India) Ltd 2222"/>
        <s v="Amphenol Interconnect India Pvt. Ltd. 8011"/>
        <s v="Lakshmi Designers 8081"/>
        <s v="Headways Industries (Silcotech Bonny Products India Pvt. Ltd) 1151"/>
        <s v="Zahoransky Moulds &amp; Machines (P) Ltd 4161"/>
        <s v="CTC (India) Pvt Ltd 0000"/>
        <s v="ACG Pam Pharma Technologies Pvt. Ltd 2224"/>
        <s v="Hanon Automotive Systems India Pvt Ltd (Visteon Automotive Sys I Pvt Ltd) 4024"/>
        <s v="Bhogale Industries 2021"/>
        <s v="College of Engg 2441"/>
        <s v="Sri Balaji Assemblies &amp; Plastics Pvt Ltd 4022"/>
        <s v="L G Balakrishnan &amp; Bros Limited 4162"/>
        <s v="L G Balakrishnan &amp; Bros Limited (Forge Div) 4162"/>
        <s v="Uno Minda Limited (Minda Industries Limited) 1111"/>
        <s v="Supram Industries 8023"/>
        <s v="CRD Endustriyel Kontrol Sistemleri San Tic L 0000"/>
        <s v="Minda Vietnam Automotive Company Limit 0000"/>
        <s v="Wahi Sons P Ltd 1112"/>
        <s v="Protekz Tool &amp; Die Makers 8051"/>
        <s v="Magneti Marelli Motherson Auto System Ltd. 2421"/>
        <s v="Synergy Global Sourcing 8013"/>
        <s v="Aisin Automotives Haryana Pvt Ltd 1111"/>
        <s v="Ashimori India Private Limited 1114"/>
        <s v="Kiran Machine Tools 2010"/>
        <s v="Essem Srinisons Systems Pvt Ltd (Srinisons Wiring Systems Pvt Ltd) 1111"/>
        <s v="Viney Corporation Pvt Ltd 1111"/>
        <s v="Nikash CNC Enineers Pvt Ltd 2431"/>
        <s v="Bilva Technologies Pvt Ltd 8051"/>
        <s v="SAS Precision Engg P Ltd 8051"/>
        <s v="Jayam Engg And Tools 4131"/>
        <s v="L G Balakrishnan &amp; Bros Limited 8021"/>
        <s v="Aureate India (Old Name:Accuplast) 8051"/>
        <s v="Shanmugha Precision Forging 0000"/>
        <s v="Srinar Electronics Pvt Ltd 4101"/>
        <s v="TAL Manufacturing Solutions Ltd 2411"/>
        <s v="Srishti Engg Services 8013"/>
        <s v="PLANSEE India High Performance Materials Pvt Ltd 8033"/>
        <s v="Delphi TVS Diesel Systems Ltd. (Metring Value-with R-axis) 4031"/>
        <s v="Bit-Tul Pvt Ltd 8023"/>
        <s v="Delphi TVS Diesel Systems Ltd (VCO Nozzle &amp; Needle Inspection) 4031"/>
        <s v="Techno Springs India Pvt Ltd 1161"/>
        <s v="Saxon Fluid Sealing Devices 1114"/>
        <s v="Schneider Electric India Pvt Ltd (Larsen &amp; Toubro Limited) Ref:H087 2431"/>
        <s v="Souriau India P Ltd. (Cbe) 4131"/>
        <s v="Kumar Industries 4041"/>
        <s v="UTC Aerospace Systems 0000"/>
        <s v="West Pharmaceutical Services Shanghai Me 0000"/>
        <s v="Federal Mogul Goetze (India) Ltd 8071"/>
        <s v="Maxeff Engg (Industrial Enginnering Syndicate) 2113"/>
        <s v="Renata Precision Components Pvt Ltd 2411"/>
        <s v="AO Smith India Water Heating Pvt Ltd 8022"/>
        <s v="Napino Auto &amp; Electronics Ltd 1042"/>
        <s v="SS Technologies (Gera Auto Industries Pvt Ltd) 8051"/>
        <s v="Colgate Palmolive India Ltd 2114"/>
        <s v="Lakshmi Ring Travellers (Coimbatore) Ltd 4112"/>
        <s v="Pointec Pens &amp; Energy Pvt Ltd 8012"/>
        <s v="Cadd Pro Tooling 8051"/>
        <s v="Star Engineers (I) Pvt Ltd 2421"/>
        <s v="Stumpp Schuele &amp; Somappa Springs Pvt Ltd 1122"/>
        <s v="Senor Metal Pvt Ltd 5401"/>
        <s v="Accurate Springs Pvt Ltd 4021"/>
        <s v="Spectrum Electrical Industries Ltd 2010"/>
        <s v="Sri Acme Industries 8081"/>
        <s v="Care Group India 5112"/>
        <s v="Leo Precision Products 2111"/>
        <s v="Cuse Metrology &amp; Quality Management Services 4161"/>
        <s v="Viney Corporation Pvt Ltd 1112"/>
        <s v="Indira Gandhi Centre For Atomic Research (IGCAR) 4012"/>
        <s v="Shogini Technoarts Pvt Ltd 2451"/>
        <s v="Gnutti Carlo India Pvt ltd 4033"/>
        <s v="TVS Upasana Ltd (Upasana Engg Limited) 4041"/>
        <s v="Aczet Pvt Ltd (Citizen Scales India Pvt Ltd) 2112"/>
        <s v="Die plast Pvt Ltd 2222"/>
        <s v="Samvardhana Motherson Innovative Solns Ltd (Motherson Sintermetal Technology Ltd) 4013"/>
        <s v="Mackel Components 6021"/>
        <s v="TVS Argomm Pvt Ltd (TVS Novotema Elestomeric Engineered Product Pvt ltd) 4101"/>
        <s v="Acetech (CNC Automotive) 8051"/>
        <s v="Maini Precision Products (P) Ltd. 8054"/>
        <s v="Taylor Rubber Pvt Ltd 4022"/>
        <s v="Tool Aids Pvt Ltd 4023"/>
        <s v="Suyash Global Pvt Ltd (Suyash Impex Pvt Ltd) 2224"/>
        <s v="G-Plast Pvt Ltd 4112"/>
        <s v="Abhi Metals 5401"/>
        <s v="Speciality Sintered Products P Ltd 2451"/>
        <s v="Ustek Makina San. Tic. Ltd. Sti 0000"/>
        <s v="Paras Defence &amp; Space Technologies Ltd (Mechvac Fabricators (I) Pvt Ltd) 2224"/>
        <s v="Indo Tools &amp; Dies (India) Pvt Ltd 4041"/>
        <s v="Prabha Engg Pvt Ltd 2412"/>
        <s v="Poorvik Engineers Pvt Ltd 4031"/>
        <s v="Yazaki India Limited 5011"/>
        <s v="ABI Showatech (India) Limited 4033"/>
        <s v="Teklight Components Pvt. Ltd 4022"/>
        <s v="West Pharmaceutical Packaging India Pvt. L 4052"/>
        <s v="Siddhant Engg Services 2301"/>
        <s v="Tata Consultancy Services Ltd 8003"/>
        <s v="Honeywell International (India) Pvt. Ltd 1111"/>
        <s v="Oerlikon Balzers Coating India Ltd 1111"/>
        <s v="Agile Electric Subassembly Pvt. Ltd 4024"/>
        <s v="Machroplast 4022"/>
        <s v="HPL Eletric &amp; Power Pvt. Ltd 1313"/>
        <s v="Parle Elizabeth Tools Pvt. Ltd 2222"/>
        <s v="Metec CNC OU 0000"/>
        <s v="CMBF Trading &amp; Manufacturing India Pvt Ltd (Carlisle Trading &amp; Manufacturing India Pvt Ltd) (CMM) 4031"/>
        <s v="J K Fenner (India) Limited 4031"/>
        <s v="R K Industries 4041"/>
        <s v="Punch Ratna Fasteners Pvt. Ltd 1122"/>
        <s v="Toyota Industries Engine India Pvt Ltd (KTTM) 8021"/>
        <s v="J K Fenner (India) Limited 6011"/>
        <s v="Novateur Electrical &amp; Digital Systems Pvt. L 2010"/>
        <s v="Pavna Zadi Security Systems Ltd 1153"/>
        <s v="Numann Auto Products India Pvt. Ltd 8013"/>
        <s v="Raviraj Hi-Tech Pvt. Ltd 2412"/>
        <s v="Indian Institute of Technology (Bombay) 2114"/>
        <s v="Micron Instruments Pvt. Ltd., 1334"/>
        <s v="Indian Institute of Technology (BHU) 0000"/>
        <s v="ACG Metalcrafts Private Limited 2451"/>
        <s v="Ganesh Industries 2451"/>
        <s v="Aquasub Engg 4131"/>
        <s v="Hind High Vaccum Co. Pvt. Ltd., 8051"/>
        <s v="Kairish Innotech Pvt Ltd (Schott Kaisha Private Limited) 2111"/>
        <s v="Ashok Leyland Ltd (Candid Micron) 4161"/>
        <s v="Ace Multi Axes Systems Ltd., 8051"/>
        <s v="Micro Measures 2301"/>
        <s v="SML Mahindra Ltd (SML ISUZU Ltd) 1122"/>
        <s v="Orient Components Pvt. Ltd., 4041"/>
        <s v="G.M. Industries 8051"/>
        <s v="Federal Mogul Goetze (India) Ltd 1333"/>
        <s v="L G Balakrishnanan &amp; Bros Limited 4162"/>
        <s v="Dhruv Industries Limited 1111"/>
        <s v="Jaicom 1112"/>
        <s v="V3 Mouldings Pvt Ltd 8013"/>
        <s v="Sona Speed Pvt Ltd (Superchem Finishers) 8032"/>
        <s v="MbEngg GmbH &amp; Co. KG 0000"/>
        <s v="Rishab Instruments Pvt. Ltd 2301"/>
        <s v="Surelia Wire-Cut Pvt. Ltd., 5301"/>
        <s v="Multilink 8033"/>
        <s v="Doctor Pack India Pvt. Ltd., 8012"/>
        <s v="Velankani Electronics Pvt. Ltd., 8021"/>
        <s v="BRS Precision Manufacturing Pvt. Ltd., 8032"/>
        <s v="Elite Technologies 6021"/>
        <s v="Impex Plastic Works 1161"/>
        <s v="Schneider Electric India Pvt Ltd (Larsen &amp; Toubro Limited) (H090) 2431"/>
        <s v="Rohit Springforms Pvt. Ltd., 2411"/>
        <s v="Wipro Enterprises Limited 8071"/>
        <s v="Prem Industries 8033"/>
        <s v="Tube Investments of India Ltd., 4042"/>
        <s v="KPSV Industries Pvt. Ltd., 8013"/>
        <s v="Sunrays Engineers Pvt. Ltd., 1111"/>
        <s v="Fine Blanking Pvt. Ltd., 8001"/>
        <s v="Roca Bathroom Products Pvt. Ltd., 4031"/>
        <s v="Multiples India 4041"/>
        <s v="Schneider Electric India Pvt Ltd (Larsen &amp; Toubro Limited) 5112"/>
        <s v="Auto CNC Machining Ltd., 8051"/>
        <s v="Phoenix Engg 2021"/>
        <s v="LM Van Moppes Diamond Tools India Pvt. L 4041"/>
        <s v="Bhabha Atomic Research Centre 2115"/>
        <s v="Akshar Brass Industries 5401"/>
        <s v="Fortune Plastech 8051"/>
        <s v="JJG Machining Pvt Ltd 8012"/>
        <s v="Epitome Components 2431"/>
        <s v="Derewala Industries Ltd., 1015"/>
        <s v="Nextech Engg 5301"/>
        <s v="Milacron India Pvt Ltd (Ferromatik Milacron India Pvt. Ltd.,) 5011"/>
        <s v="Marelli Motherson Automotive Lighting India Pvt Ltd (Magneti Marelli Motherson Auto System Ltd) 5011"/>
        <s v="Gilbarco Veeder Root India Pvt. Ltd., 4131"/>
        <s v="K-Max Technologies Pvt. Ltd., 4041"/>
        <s v="Numann Industries 8013"/>
        <s v="Mayur Enterprises 2411"/>
        <s v="TopFlite Components Pvt Ltd 8033"/>
        <s v="Rupa Engg Industries 4112"/>
        <s v="BG LI-IN Electricals Ltd 2021"/>
        <s v="Schneider Electric India Pvt Ltd (Larsen &amp; Toubro Limited) (H099) 2431"/>
        <s v="Sandhar Components 1111"/>
        <s v="Reammac Precision Tools 4022"/>
        <s v="Balaji Aluminium Extrusions Pvt Ltd 1121"/>
        <s v="Kalgidhar Industrial Corporation 1335"/>
        <s v="Standard Spring &amp; Metal Pressing Works 2224"/>
        <s v="Accurate Engg Enterprises 8051"/>
        <s v="Kramski Stamping &amp; Molding India Pvt Ltd 4033"/>
        <s v="Ramesh Brass Products 5401"/>
        <s v="CNC Autocom (Auto Com Engineers) 8012"/>
        <s v="Interface Microsystems 1111"/>
        <s v="Future Technologies 8041"/>
        <s v="Automat Irrigation Pvt Ltd 1042"/>
        <s v="Mindarika Pvt Ltd 2421"/>
        <s v="Bhullar Industries 1161"/>
        <s v="Recaero India Ltd 8032"/>
        <s v="Ajanta Ltd. 1042"/>
        <s v="Yoshama and Company Pvt Ltd. 8041"/>
        <s v="JJ Glastronics Pvt Ltd 8011"/>
        <s v="Muviq India Power Transmission Pvt Ltd (Dayco Power Transmission Pvt Ltd) 1111"/>
        <s v="Panasonic Life Solns India Pvt Ltd (Anchor Electricals Pvt Ltd) 1042"/>
        <s v="Falcon Toolings 4111"/>
        <s v="Bharat Electronics Ltd 8051"/>
        <s v="Vasantha Tool Crafts Pvt Ltd 6021"/>
        <s v="Ripple Technologies 8051"/>
        <s v="Minda Corporation Ltd 2421"/>
        <s v="Ravi Plast Mold Pvt Ltd 5011"/>
        <s v="Star Fabricators 2010"/>
        <s v="JSS Automotives 1111"/>
        <s v="JSS Automotive 1114"/>
        <s v="Sundaram Industries Pvt Ltd 4101"/>
        <s v="Pharma Tools 2221"/>
        <s v="Image Labels Pvt Ltd 8023"/>
        <s v="Haryana Plastics &amp; Engg Works 1162"/>
        <s v="Poineer Tooling Services 1151"/>
        <s v="Laxmi Remote (India) Private Limited 1151"/>
        <s v="Terminal Technologies P Ltd 2113"/>
        <s v="Texmo Blank India Pvt Ltd (Texmo Precision Casting) 4131"/>
        <s v="Prettl Electronics India Pvt Ltd 2113"/>
        <s v="CG Power &amp; Industrial soln Ltd (Crompton Greaves Ltd) 2021"/>
        <s v="Mold-Masters Technologies Pvt Ltd 4161"/>
        <s v="Mega Rubber Technologies Pvt Ltd 2113"/>
        <s v="Precision Electricals 2113"/>
        <s v="Elvee Springs Pvt Ltd 8051"/>
        <s v="Fair Field Engineers 1161"/>
        <s v="Vivid Tool Crafts 6021"/>
        <s v="The Suncad Training &amp; Designers 5011"/>
        <s v="Schneider Electric India Pvt Ltd (Larsen &amp; Toubro Limited) (H106) 2431"/>
        <s v="Mudra Engineers 5011"/>
        <s v="SEKISUI DLJM Molding Pvt Ltd 1152"/>
        <s v="Precision Technoplast Pvt Ltd 5011"/>
        <s v="ABB Power products &amp; Systems India Ltd (ABB India Limited) 8051"/>
        <s v="CIM Tools Pvt Ltd 8051"/>
        <s v="CIM Tools Pvt Ltd 8071"/>
        <s v="Dong Ah Electric India Pvt Ltd (Candid Micron) 4161"/>
        <s v="Concord United Products Pvt Ltd 8051"/>
        <s v="Brakes India Pvt Ltd 5131"/>
        <s v="Shoma Automation Pvt Ltd (Akuva Infotech Pvt Ltd) 8051"/>
        <s v="Yeko Enterprises Pvt Ltd (Achutha Engg Pvt Ltd) 8013"/>
        <s v="Kawasaki Manufacturing (I) Pvt Ltd (Arma Engg Pvt Ltd) 8022"/>
        <s v="RR Enterprises  2222"/>
        <s v="HPL Electric &amp; Power Ltd 1313"/>
        <s v="Toyota Boshoku Automotive India (P) Ltd 8013"/>
        <s v="Motherson Sumi System Limited 8032"/>
        <s v="Roots Industries (Candid Micron) 4161"/>
        <s v="Accurate Manufacturing Company 8012"/>
        <s v="Spaco Technologies (India) Pvt Ltd 2421"/>
        <s v="Ashwani Metals Pvt Ltd 5401"/>
        <s v="Hyo Seong Electric India Pvt Ltd (Candid Micron) 4161"/>
        <s v="K K Precision Components 4041"/>
        <s v="Helvoet Rubber &amp; Plastic Technologies (I) Pvt Ltd 2441"/>
        <s v="Indian Air Force (3BRD) (Sesha Tools Pvt Ltd) 1334"/>
        <s v="Jay Jalaram Industries 5301"/>
        <s v="Racer Tooling Industries 4112"/>
        <s v="VMX Connectors Pvt Ltd 8023"/>
        <s v="Addison &amp; Co. Ltd 4031"/>
        <s v="Maxop Engg Co. Pvt Ltd 1111"/>
        <s v="Napino Auto &amp; Electronics Ltd 1114"/>
        <s v="SLS Tools Company (Konarak Industries Pvt Ltd) 8012"/>
        <s v="Ferrero India Pvt Ltd (IMSOFER Division) 2411"/>
        <s v="Solutec Industries (I) Pvt Ltd 2441"/>
        <s v="Unnathi CNC Technologies Pvt Ltd 8051"/>
        <s v="Mehta Engineers Limited 1335"/>
        <s v=" JJG Aero Pvt Ltd (J.J. Glastronics Pvt Ltd) 8011"/>
        <s v="Autoliv India Pvt Ltd 8071"/>
        <s v="Saro Technologies 4041"/>
        <s v="Valli Industries 8013"/>
        <s v="British Engines India Pvt Ltd 8012"/>
        <s v="Divine Toolings 2411"/>
        <s v="Mangal Industries Limited 8084"/>
        <s v="Crescent Moulds &amp; Precision Engg 4022"/>
        <s v="Napino Auto &amp; Electronics Ltd (Shifted from Halol to Manesar) 1111"/>
        <s v="Wioska Moldings Pvt Ltd 1151"/>
        <s v="First Technologies (India) Pvt Ltd 4013"/>
        <s v="Spiral Tools Pvt Ltd 2451"/>
        <s v="Durga Auto Parts Industries 1312"/>
        <s v="S. S. White Technologies India Pvt Ltd 5231"/>
        <s v="Modvak Engg (I) Pvt Ltd 1121"/>
        <s v="ELCIA Cluster 8011"/>
        <s v="Century Extrusions Limited 3002"/>
        <s v="Bharti Hydrofitments &amp; Engineers Pvt Ltd 1335"/>
        <s v="Surindera Cycles Pvt. Ltd 1335"/>
        <s v="Dalal Plastics PvtLtd 6021"/>
        <s v="Oswin Industries 1334"/>
        <s v="Hindalco Industries Ltd (Sapa Extrusion India Pvt Ltd) 8084"/>
        <s v="Keerthi Technocraft Pvt Ltd 8012"/>
        <s v="Omni Matrix Pvt Ltd 8061"/>
        <s v="Deep Plastics Industries 2222"/>
        <s v="Lakshmi Electrical Control Systems Limited 4111"/>
        <s v="Seco Tools India Pvt Ltd 0000"/>
        <s v="Polyrub Cooper Standard FTS Pvt Ltd 2413"/>
        <s v="Ikon Moulders Pvt Ltd 2431"/>
        <s v="Shivam Autotech Limited 1111"/>
        <s v="Minda VAST Access Systems Pvt Ltd 2421"/>
        <s v="L.G.Balakrishnan &amp; Bros Ltd (Candid Micron) 4162"/>
        <s v="Rieke Packing India Pvt Ltd 1313"/>
        <s v="Turbo India Interconnect Solutions LLP 8041"/>
        <s v="Mindarika Pvt Ltd 1111"/>
        <s v="Titan Company Limited (Watch Division) 8013"/>
        <s v="Compaero India Pvt Ltd 4103"/>
        <s v="Maini Precision Products Ltd. 8051"/>
        <s v="Pooja Automations (Candid Micro Measurements Pvt Ltd) 4161"/>
        <s v="Saanvi Technologies 8051"/>
        <s v="Padmini VNA Mechatronics Pvt Ltd 1111"/>
        <s v="Benaka Technologies 8051"/>
        <s v="Zenith Precision Pvt Ltd 8012"/>
        <s v="Vikson Spring Pvt Ltd 2224"/>
        <s v="Dhoot Transmission Pvt Ltd. 2021"/>
        <s v="SMIIEL (A Unit of MSSL) 1151"/>
        <s v="Titan Engg &amp; Automation Limited 8013"/>
        <s v="Paloma Turning Co. Pvt. Ltd 5401"/>
        <s v="Takemoto Yohki India Pvt Ltd 5011"/>
        <s v="Festo India Pvt Ltd 8012"/>
        <s v="Romsons International 1151"/>
        <s v="Romsons Medicons  1154"/>
        <s v="Romson Group Pvt Ltd (Romsons Juniors India) 1154"/>
        <s v="Brakes India Pvt Ltd 4031"/>
        <s v="AMB Services 4031"/>
        <s v="Sujan Cooperstandard AVS Pvt Ltd 2421"/>
        <s v="Kuduma Precisions 8051"/>
        <s v="Research Centre Imarat (RCI) 6031"/>
        <s v="Minda Onkyo India Private Limited 2113"/>
        <s v="Mindarika Pvt Ltd 5011"/>
        <s v="Fine Line Circuits Limited (HTMU) 2224"/>
        <s v="GKM Metal Finishers 8013"/>
        <s v="Schwing Stetter (India) Pvt Ltd 4031"/>
        <s v="VAP Precision Pvt Ltd (Vijaya Auto Products) 8021"/>
        <s v="Tool Grinding Technologies Inc. 8051"/>
        <s v="Eastman Cast &amp; Forge Limited 1335"/>
        <s v="SJP Industry 4021"/>
        <s v="Spacenex Aero Pvt Ltd (Pramodaya Aerospace Solutions) 8071"/>
        <s v="Johnson Electric Pvt Ltd 4021"/>
        <s v="Henkel Anand India Pvt Ltd 1312"/>
        <s v="Terminal Technologies P Ltd 2112"/>
        <s v="Ananth Wiretech Tooling 8013"/>
        <s v="Integrated CAD CAM Solutions Pvt Ltd 2224"/>
        <s v="Mahantesh Industries Enterprises 8051"/>
        <s v="Saini Flange Pvt Ltd 1132"/>
        <s v="Quality Laboratory 8012"/>
        <s v="Rupesh Technologies Pvt Ltd 8041"/>
        <s v="Mark Ortho Care pvt ltd 5011"/>
        <s v="Acumen Tools 8012"/>
        <s v="Quality Connections (Ess Cube Components) 1162"/>
        <s v="Flamagas India Pvt Ltd 4021"/>
        <s v="Dilsen Autoplast 4022"/>
        <s v="Napino Continental Vehicle Electronics Pvt Ltd 1111"/>
        <s v="Empire Machine Tools Pvt Ltd 4112"/>
        <s v="L.G.Balakrishnan &amp; Bros Ltd (Candid Micron Measurements Pvt Ltd) 4161"/>
        <s v="Rank Metrology Services 4161"/>
        <s v="AVMM Technology Pvt Ltd (AVM Engg Service) 4022"/>
        <s v="Kcaltech System India LLP (Candid ) 4031"/>
        <s v="Kun Aerospace Pvt Ltd 4041"/>
        <s v="Precision Industrial Fasteners 1335"/>
        <s v="Kriya Medical Technologies Pvt Ltd 4041"/>
        <s v="Vikas Industries 1162"/>
        <s v="Sujay Industries 8021"/>
        <s v="Bhavani Industries 8032"/>
        <s v="Vulcan Cold Forge Pvt Ltd 1111"/>
        <s v="Edge Gro Industries 1141"/>
        <s v="Rajshree Engineers 1161"/>
        <s v="Wirecom (India) Pvt Ltd 2113"/>
        <s v="Aditek 8004"/>
        <s v="MSSL Tooling FZE 0000"/>
        <s v="Shri Sai Tools 8031"/>
        <s v="Dhawan Engineers Pvt Ltd 1111"/>
        <s v="Shiv Om Brass Industries 5401"/>
        <s v="Vishwakarma Institute of Technology 2441"/>
        <s v="Hivi Precision Pvt Ltd (Vijaya Auto Products) 8021"/>
        <s v="Intessence Solutions Pvt Ltd 8051"/>
        <s v="Vardhaman Pressure Diecastings 8021"/>
        <s v="PVP Techno 4021"/>
        <s v="Rialto Enterprises Pvt Ltd 4021"/>
        <s v="Aisin Automotives Haryana Pvt Ltd 5011"/>
        <s v="Natesan Synchrocones Pvt Ltd 4031"/>
        <s v="Eta Aerospace Pvt Ltd (Pams Engg) 8033"/>
        <s v="Saideep Moulding Industries 2441"/>
        <s v="Igarashi Motors India Ltd 4023"/>
        <s v="Magellan Aerospace India Pvt Ltd 8071"/>
        <s v="Accumax Lab Devices Pvt Ltd 5021"/>
        <s v="Ametek Instrumentts India Pvt Ltd 8081"/>
        <s v="Schilthorn Precision Engg Pvt Ltd 5021"/>
        <s v="FIEM Industries Limited 1114"/>
        <s v="Shigan Quantum Technologies Pvt Ltd 1111"/>
        <s v="Makar Tech 4131"/>
        <s v="Decon India Plastics Pvt Ltd 2421"/>
        <s v="Magellan Aerospace (Tumkur) Pvt Ltd (Triveni Aeronautics Pvt Ltd) 8052"/>
        <s v="Standex Electronics India Pvt Ltd 4031"/>
        <s v="S and P Enterprises 4031"/>
        <s v="A.G. Industries 8013"/>
        <s v="Motherson Techno Tools Limited 1151"/>
        <s v="Varroc Engg Limited 2421"/>
        <s v="Mindarika Pvt Ltd "/>
        <s v="Byraveshwara Engg Enterprises 8041"/>
        <s v="Naresh Rubber Udyog 1161"/>
        <s v="Microtech Polymers 8054"/>
        <s v="Yagachi Technologies Pvt Ltd 8053"/>
        <s v="Micro Form Automation 4131"/>
        <s v="Oleo Buffers India Pvt Ltd 8081"/>
        <s v="MC Industrial Tools 8021"/>
        <s v="Mitsuba India Pvt Ltd (Mitsuba Sical India Pvt Ltd) 4052"/>
        <s v="Mando Automotive India Pvt Ltd 4031"/>
        <s v="Romsons Scientific &amp; Surgical Industries Pvt ltd 1154"/>
        <s v="DAN Plastics 8033"/>
        <s v="Excel Plast 4161"/>
        <s v="Continental Tools &amp; Components 1161"/>
        <s v="J L Multitech (J.L Engg Industries) 8041"/>
        <s v="JJG Aero Pvt Ltd (J.J. Glasstronics Pvt Ltd) 8011"/>
        <s v="SBCT Industries LLP 8061"/>
        <s v="Java Auto Components 1152"/>
        <s v="Crest Metal Engg LLP 5401"/>
        <s v="Romson Group Pvt Ltd (Romson Scientific &amp; Surgical Industries Pvt Ltd) 1154"/>
        <s v="VG Engg 8021"/>
        <s v="Max Tools Industries 5301"/>
        <s v="Shree Industries 2411"/>
        <s v="Ideal Sheet Metal Stampings &amp; Pressings Pvt Ltd 2431"/>
        <s v="AceInotec Manufacturing Pvt Ltd 8051"/>
        <s v="Larsen &amp; Toubro Limited (Electrical &amp; Automation) 5112"/>
        <s v="JBJ Technologies Ltd 1152"/>
        <s v="ABDOS Labtech Pvt Ltd 1042"/>
        <s v="Smith Industrial Corporation Pvt Ltd 1141"/>
        <s v="Pasupaty Springs Pvt Ltd 1162"/>
        <s v="Candid Micron Measurements Pvt Ltd 4161"/>
        <s v="Salasar Terminals Pvt Ltd (Om Sai Engg) 2112"/>
        <s v="Devi Turnomatics Pvt Ltd 5401"/>
        <s v="C &amp; S Electric Ltd 1151"/>
        <s v="Hyo Seong Electric India Pvt Ltd 4031"/>
        <s v="Star Engineers (I) Pvt Ltd (Vietnam) 2421"/>
        <s v="Pilot Gasket &amp; Engineers 2222"/>
        <s v="BC Instruments India Pvt Ltd 5112"/>
        <s v="Indo MIM  Pvt Ltd 8061"/>
        <s v="C &amp; S Electric Ltd 1042"/>
        <s v="Spectra Products Pvt Ltd 1141"/>
        <s v="Gowel Rubber Industries 1161"/>
        <s v="Alpha Engineers 1161"/>
        <s v="Kent Industries 2111"/>
        <s v="KDDL Limited 1334"/>
        <s v="Selec Controls Pvt Ltd 2224"/>
        <s v="Larsen &amp; Toubro Ltd 2431"/>
        <s v="Visat Tools Pvt Ltd 8051"/>
        <s v="Chennai Autotech Engg Pvt Ltd 4022"/>
        <s v="IWI Stationery Pvt Ltd 1001"/>
        <s v="Connectwires Engg (Zeeta Electricals) 5011"/>
        <s v="Napino Control Systems Pvt Ltd 1111"/>
        <s v="Lakshmi Cutting Tools 4161"/>
        <s v="Radeo Engineered Components LLP 8013"/>
        <s v="Mass Auto Components 4022"/>
        <s v="Hindustan Platinum Pvt Ltd 2224"/>
        <s v="Electromech India Pvt Ltd (Electromech Industries) 1042"/>
        <s v="Perfect Polymers 5301"/>
        <s v="Tejas Engg 8012"/>
        <s v="Instrument India 8051"/>
        <s v="TransCal 8041"/>
        <s v="Rhenium Tech Rings 5301"/>
        <s v="Jayson Industries 8021"/>
        <s v="Mold-Tek Packaging Ltd 6021"/>
        <s v="Brakes India Pvt Ltd 4052"/>
        <s v="TGT Tech Private Limited 8051"/>
        <s v="Pragathi Coatings Pvt Ltd 1111"/>
        <s v="Alpla India Pvt Ltd 6011"/>
        <s v="Microtek New Technologies Pvt Ltd 1313"/>
        <s v="PITTI Ind Pvt Ltd (Bagadia Chaitra Industries Pvt Ltd) 8052"/>
        <s v="Kayens Engg Pvt Ltd (Stencil Engg) 8021"/>
        <s v="Minda Corporation Ltd 1152"/>
        <s v="Boeing India Pvt Ltd 8071"/>
        <s v="Technotool Solutions India LLP 8012"/>
        <s v="Hindustan Platinum PR  0000"/>
        <s v="Terminal Technologies (I) Pvt Ltd 2112"/>
        <s v="Terminal Technologies (I) Pvt Ltd 2421"/>
        <s v="Capital Tool Industries 1333"/>
        <s v="S.R.S Tools 8051"/>
        <s v="Schneider Electric India Pvt. Ltd. 2431"/>
        <s v="Stein Seal Company (India) Pvt Ltd 8051"/>
        <s v="Karamsar Technology Pvt ltd 1162"/>
        <s v="RR Precision (India) Pvt Ltd 8082"/>
        <s v="Spring Tech India 1161"/>
        <s v="Kirloskar Toyota Textile Machinery Pvt. Ltd 8021"/>
        <s v="OM Engineering 1151"/>
        <s v="Rashmi Metaliks Ltd 3002"/>
        <s v="Sothern Writing Instuments Pvt Ltd (Chennai Pen Products Pvt Ltd) 4031"/>
        <s v="Harinder Industries Pvt Ltd 1111"/>
        <s v="Motion Drivetronics Pvt Ltd 2224"/>
        <s v="AGI Greenpac Ltd (HSIL Limited) 6011"/>
        <s v="PV Clean Mobility Technologies Pvt Ltd 2421"/>
        <s v="Terminal Technologies (I) Pvt Ltd 2111"/>
        <s v="Yugal Precision Pvt Ltd 1154"/>
        <s v="AH Mec 8071"/>
        <s v="DJ Manufacturing 4161"/>
        <s v="DJ Irrigation 2301"/>
        <s v="Electracon Paradise Ltd 1162"/>
        <s v="Bharti Enterprise 5401"/>
        <s v="SVF Technologies 4013"/>
        <s v="IFB Automotive Pvt Ltd 8082"/>
        <s v="Prime Progression Icom (India) Pvt Ltd 8051"/>
        <s v="U3S Engitech Pvt Ltd 3004"/>
        <s v="Longman Knit Parts Mfg. Co. 1335"/>
        <s v="Kewal Engg Pvt Ltd 8032"/>
        <s v="Lakshmi Machine Works Ltd 4161"/>
        <s v="Nidhi Metal Auto Components Pvt Ltd 1161"/>
        <s v="Varrmas Elassto Seals 4131"/>
        <s v="Pamp Precision Manufacturing India Pvt Ltd 1313"/>
        <s v="Belz Instruments Pvt Ltd 1161"/>
        <s v="Accurate Industrial Machining (TopFlite Components) 8023"/>
        <s v="Hoffen Plastics Pvt Ltd 6021"/>
        <s v="IM Gears Pvt Ltd 4041"/>
        <s v="Aditya Dispomed Products Pvt Ltd 1111"/>
        <s v="Matta Drawing Works 1161"/>
        <s v="RVB Shorlube Industry Pvt Ltd 1054"/>
        <s v="Unnati Engineers 2301"/>
        <s v="IMAC Cables India Pvt Ltd 4022"/>
        <s v="Excel Metal Engg Pvt Ltd 8051"/>
        <s v="Alliance Metal India 5401"/>
        <s v="Vscon Engg Pvt Ltd 1131"/>
        <s v="Reckitt Benckiser India Pvt Ltd 1111"/>
        <s v="Shankar Moulding Pvt Ltd 1162"/>
        <s v="Pavna Industries Ltd 1153"/>
        <s v="Vertex Auto Components 8013"/>
        <s v="Accura Toolings 8051"/>
        <s v="Pragathi Tools and Dies 8041"/>
        <s v="Lamda Components Pvt Ltd 8012"/>
        <s v="Egearz Pvt Ltd 2451"/>
        <s v="Gandhi Springs Pvt Ltd 1111"/>
        <s v="Maxmould 2112"/>
        <s v="Radium Creation Ltd 2111"/>
        <s v="Microtech Polymers 4024"/>
        <s v="Umiya Pharma Tech 5011"/>
        <s v="A.G. Industries 8031"/>
        <s v="Polycab India Ltd  2111"/>
        <s v="Nexteer Automotive India Pvt Ltd 2421"/>
        <s v="Impact Tool Crafts Pvt Ltd 2411"/>
        <s v="Luxor International Pvt Ltd 1151"/>
        <s v="PMI Global Technologies Pvt Ltd 4023"/>
        <s v="Steelman Broaches Pvt Ltd 1333"/>
        <s v="Niraj Engg  2301"/>
        <s v="EL-Chico Clutch Pvt Ltd 1161"/>
        <s v="G.N.Surgicals 1141"/>
        <s v="Rapid Industries (Hydrobenz Industries Pvt Ltd) 5301"/>
        <s v="Shree Engineers 2411"/>
        <s v="S R Enterprises 8033"/>
        <s v="Micro Tech 4161"/>
        <s v="Grindstar Tools and Machinery (Shabari Impacts) 8051"/>
        <s v="Sujay Industries 8012"/>
        <s v="V.S.R. Private Limited 4101"/>
        <s v="Hisar Steels Pvt Ltd 0000"/>
        <s v="Coindia Modern Tool Room 4161"/>
        <s v="Future Brake Components 1162"/>
        <s v="Coptec 2111"/>
        <s v="Canbus Audio International 1162"/>
        <s v="Indian Writing Instruments Pvt Ltd 2301"/>
        <s v="Dynamic Transmission Ltd 2114"/>
        <s v="Toshiba Transmission &amp; Distribution Systems(I) Pvt Ltd 6011"/>
        <s v="Innomech Aerospace Toolings Pvt Ltd 8071"/>
        <s v="Alpro Extrusion Private Limited (GRK Tech Centre-Gurgaon) 8005"/>
        <s v="Lakshmi Butt Welders 8013"/>
        <s v="NIFCO India Pvt Ltd 2431"/>
        <s v="RB Metrology (Deusch Motocomp Pvt. Ltd) 1132"/>
        <s v="Turbo India 8041"/>
        <s v="TVS Engg Ltd 4041"/>
        <s v="Excellent Hi Care Pvt Ltd 0000"/>
        <s v="KTT Pharmatech 2112"/>
        <s v="Sandhar Automotives 8012"/>
        <s v="Medivation Bio Pvt ltd 1114"/>
        <s v="Universal Precision Screws 1122"/>
        <s v="Sandhar Components 8012"/>
        <s v="Schneider Electric India Pvt. Ltd 5112"/>
        <s v="Bhansali Component &amp; Fasteners 2112"/>
        <s v="S.G.B Industries 8021"/>
        <s v="Vishwakarma Tech 8051"/>
        <s v="KL Export Pvt Ltd 1161"/>
        <s v="AFC Elastomers Technology Pvt Ltd 5112"/>
        <s v="Sri Vinayaka Industries 8013"/>
        <s v="Unitek Engineering (Garuda Aerotech) 8051"/>
        <s v="Advanced Cutting Tools 8051"/>
        <s v="Leitz Tooling System India Pvt Ltd 8051"/>
        <s v="Toolcom Innovative Solutions Pvt Ltd 4162"/>
        <s v="Timex Group Precision Engg Ltd 1151"/>
        <s v="Neha Engg Tools 1334"/>
        <s v="AGS Visions Pvt Ltd 1334"/>
        <s v="JHY Techserve Pvt Ltd 8082"/>
        <s v="Gleason Works (India) Pvt Ltd 8071"/>
        <s v="Integral Cable and Interconnect LLP 4034"/>
        <s v="J J Glastronics Pvt. Ltd 8011"/>
        <s v="Prabha Engg Pvt Ltd 4031"/>
        <s v="Foreaxis Technology  8021"/>
        <s v="Karthik Auto Components 8013"/>
        <s v="Nasmyth Asia  8051"/>
        <s v="Efficient Plastech Pvt Ltd (Efficient Engg) 2112"/>
        <s v="Schneider Electric 2431"/>
        <s v="MSK CNC Technology 8012"/>
        <s v="MARS Electronics  8022"/>
        <s v="Voltkon Industries  8041"/>
        <s v="Mogli labs India Pvt Ltd  2451"/>
        <s v="Besmak Components Pvt Ltd 4031"/>
        <s v="Ankita Crafts 4161"/>
        <s v="Yoncorp Innovation Pvt Ltd (Tecnicraft Industries) 8081"/>
        <s v="Sandhar Whetron Electronics Pvt Ltd  1111"/>
        <s v="Rohit Industries group P Ltd 1122"/>
        <s v="Pricol Engg Industries Pvt Ltd  4161"/>
        <s v="Twinstar Tooling Solutions  4021"/>
        <s v="KDDL Limited 1333"/>
        <s v="Autotex Pvt Ltd ( Unit-2) 4162"/>
        <s v="Manastu Space Technologies  2224"/>
        <s v="Schneider Electric India Pvt Ltd  8033"/>
        <s v="Nigasavi Solution  2451"/>
        <s v="Engineered Components &amp; Systems India Pvt Ltd  8051"/>
        <s v="Bright brother (Candid Milcron) 4013"/>
        <s v="Sandhar Technologies Ltd 4031"/>
        <s v="J D Industries 8021"/>
        <s v="Wise Tech precision Engg  8012"/>
        <s v="Schneider Electric IT Business India Pvt Ltd (SDI Business Service India Pvt Ltd) 8021"/>
        <s v="Accusharp Cutting Tools Pvt Ltd 2411"/>
        <s v="Paragon Electric Switchgears Pvt Ltd 2301"/>
        <s v="Bosch Ltd (Disha Enterprises) 8011"/>
        <s v="Romsons Group Pvt Ltd 1154"/>
        <s v="Mindarika Pvt Ltd 4031"/>
        <s v="Creative Propack Ltd 4013"/>
        <s v="Suja Shoei Industries Pvt Ltd 4025"/>
        <s v="Stumpp Schuel Lewis Machine Tools Pvt Ltd 8021"/>
        <s v="Unique Measurement Service 4031"/>
        <s v=" Praveen Engg Industries 8013"/>
        <s v="Lakshmi Machine Works Ltd (Candid Micron Measurements Pvt Ltd) 4161"/>
        <s v="Sunshine Innovative Electronics 8041"/>
        <s v="Uno Minda Limited 4031"/>
        <s v="Vision Turnomech LLP 5401"/>
        <s v="L.G. Balakrishnan &amp; Bros Ltd (Candid Micron Measurements Pvt Ltd) 2020"/>
        <s v="KGT Auto Plast 4031"/>
        <s v="Takcim Technology 4111"/>
        <s v="Press Metal Industries 2301"/>
        <s v="Siemens Ltd 2021"/>
        <s v="Formar CV Brakes India Pvt Ltd 1132"/>
        <s v="Fiducia Autotech Industries 1114"/>
        <s v="Niva Implement LLP 2111"/>
        <s v="Pricol Precision Products Pvt Ltd (Sundaram Auto Components Ltd) 1114"/>
        <s v="S V M Engg and Tools 4131"/>
        <s v="CRK CNC Industries 8051"/>
        <s v="Efficient Methods 2301"/>
        <s v="International Aerospace Manufacturing Pvt Ltd 8013"/>
        <s v="Tpac Packaging India Pvt Ltd 2111"/>
        <s v="Sintex- BAPL Ltd 4031"/>
        <s v="Sasmos HET Technologies Ltd 8071"/>
        <s v="Unique Measurement Service 2411"/>
        <s v="Pentagon Assembly Automation Pvt Ltd 2421"/>
        <s v="Sakvinyal Solutions 4112"/>
        <s v="MBV Aerospace Pvt Ltd 8033"/>
        <s v="Brakes India Pvt Ltd 4034"/>
        <s v="J.J Glastronics Pvt Ltd 8013"/>
        <s v="Newlight Art Works Pvt Ltd 1002"/>
        <s v="Master Components Ltd 2301"/>
        <s v="Aalpha Systems and Engg Pvt Ltd 8061"/>
        <s v="Vform Technopack Pvt Ltd 2224"/>
        <s v="Varroc Engg Limited 2021"/>
        <s v="SITRA (Candid Micron) 4112"/>
        <s v="L.G. Balakrishnan &amp; Bros Ltd (Candid Micron Measurements Pvt Ltd) 0000"/>
        <s v="Elgi Equipments Ltd (Candid Micron) 4131"/>
        <s v="Yashwitha Aerotech 0000"/>
        <s v="Delta CNC Applications 8013"/>
        <s v="SML Plastcrafts Pvt Ltd 2431"/>
        <s v="Anand Engg 8012"/>
        <s v="Go Green Overseas 5301"/>
        <s v="Bharati Innovative Technocrafts Pvt Ltd 6021"/>
        <s v="Tarson Products Ltd 8005"/>
        <s v="Aashirwad Filcomps Pvt Ltd 1161"/>
        <s v="Toshee Industries Pvt Ltd  5021"/>
        <s v="Automatic Instruments Pvt Ltd  1111"/>
        <s v="Jayashree Polymers Pvt Ltd 8013"/>
        <s v="VMX-Hi Connectrors Pvt Ltd 8022"/>
        <s v="Eureka Extrusions and Finishers 8033"/>
        <s v="Lumax ALPS Alpine India Pvt Ltd 1111"/>
        <s v="Ennovi Mobility Solutions India Pvt Ltd 8011"/>
        <s v="Astr Defence Pvt Ltd 8001"/>
        <s v="Wipro Enterprises Pvt Ltd 8071"/>
        <s v="Bhavani Machining Solutions Pvt Ltd 8011"/>
        <s v="Siddhatva Engg Pvt Ltd 2421"/>
        <s v="BRS Precision Manufacturing Pvt. Ltd., 8022"/>
        <s v="Hulgol Aerospace Private Limited 8051"/>
        <s v="Bosch Ltd 4031"/>
        <s v="Sinhal Udyog Pvt Ltd 1152"/>
        <s v="Elcko Mould Centre (Kads Engg Solutions) 4103"/>
        <s v="Brukar Metal Components Pvt Ltd 8023"/>
        <s v="Spark Engineers 8013"/>
        <s v="Rollon Hydraulics Pvt Ltd 8051"/>
        <s v="Multitek Auto Parts 8061"/>
        <s v="Voltkon Switchgear Pvt Ltd 1152"/>
        <s v="Schneider Electric India Pvt Ltd  2431"/>
        <s v="A.C Industries 2301"/>
        <s v="Connectwell Industries Pvt Ltd. 0000"/>
        <s v="Panacea Medical Technologies Pvt Ltd 8082"/>
        <s v="J.J Glastronics Pvt Ltd 8011"/>
        <s v="R&amp;N Techauto Industries Pvt Ltd 1151"/>
        <s v="Anvish Precision 8007"/>
        <s v="Prakathi Industries 8013"/>
        <s v="Aequs Consumer Products Pvt Ltd 8001"/>
        <s v="Mersen India Pvt Ltd 8012"/>
        <s v="Bosch Ltd 8011"/>
        <s v="RRP S4E Innovation Pvt Ltd 2224"/>
        <s v="Kaanra Technology Inc 4021"/>
        <s v="L.G. Balakrishnan &amp; Bros Ltd (Candid Micron Measurements Pvt Ltd) 4112"/>
        <s v="Rotary Connectors P Ltd 8054"/>
        <s v="Primaeam Solutions Pvt Ltd 4032"/>
        <s v="Nassa Polymers 4043"/>
        <s v="Vision Tec 8041"/>
        <s v="Nicomatic India Electronics Pvt Ltd 8071"/>
        <s v="Indian Institute of Technology (Mumbai) 2224"/>
        <s v="Vignesh Polymers India Pvt Ltd 4031"/>
        <s v="Pushpagiri CNC 8051"/>
        <s v="Modison Ltd 2111"/>
        <s v="Aimtech Toolings 8051"/>
        <s v="Protectron Mechatronics Pvt Ltd 8031"/>
        <s v="SR Automats 8031"/>
        <s v="Veer-O-Metals Pvt Ltd 8054"/>
        <s v="LPS Bossard Pvt Ltd 1122"/>
        <s v="AR Precision 8021"/>
        <s v="Carboloy Precision Stamping 4161"/>
        <s v="Elemech Engg Solution (Bhavani Industries) 8051"/>
        <s v="Resolute Star Pvt Ltd (Skyquad Electronics &amp; Appliances Pvt Ltd) 6011"/>
        <s v="British Engines India Pvt Ltd 8013"/>
        <s v="SFO Technologies Pvt Ltd 4103"/>
        <s v="Shiv Shakti Presstech Pvt Ltd 2224"/>
        <s v="SGB Precision Tools 8012"/>
        <s v="Divinestamp Pvt Ltd 8013"/>
        <s v="Seyal Technologies Pvt Ltd 4161"/>
        <s v="Vishnu Moulds &amp; Dies 4101"/>
        <s v="Auronex Precision Pvt ltd 8051"/>
        <s v="Metalyst Precision Pvt Ltd 8051"/>
        <s v="Auolab 4101"/>
        <s v="Leggett &amp; Platt Automotive (I) Pvt Ltd  4041"/>
        <s v="ABB India Ltd 8054"/>
        <s v="Vitesco Technologies India Pvt Ltd  2421"/>
        <s v="Amar Equipments Pvt Ltd 2224"/>
        <s v="KSH International Ltd 2431"/>
        <s v="AR Technoplast Pvt Ltd 8012"/>
      </sharedItems>
    </cacheField>
    <cacheField name="Mc No" numFmtId="0">
      <sharedItems containsMixedTypes="1" containsNumber="1" containsInteger="1" minValue="17" maxValue="1225"/>
    </cacheField>
    <cacheField name="Model" numFmtId="0">
      <sharedItems containsBlank="1" containsMixedTypes="1" containsNumber="1" containsInteger="1" minValue="2015" maxValue="2015"/>
    </cacheField>
    <cacheField name="gst no." numFmtId="0">
      <sharedItems containsNonDate="0" containsString="0" containsBlank="1"/>
    </cacheField>
    <cacheField name=" inv date" numFmtId="0">
      <sharedItems containsNonDate="0" containsDate="1" containsString="0" containsBlank="1" minDate="2003-03-29T00:00:00" maxDate="2026-01-06T00:00:00"/>
    </cacheField>
    <cacheField name="  inv value" numFmtId="0">
      <sharedItems containsNonDate="0" containsString="0" containsBlank="1"/>
    </cacheField>
    <cacheField name=" inv no" numFmtId="0">
      <sharedItems containsNonDate="0" containsString="0" containsBlank="1"/>
    </cacheField>
    <cacheField name="start_dt" numFmtId="15">
      <sharedItems containsNonDate="0" containsDate="1" containsString="0" containsBlank="1" minDate="2016-12-06T00:00:00" maxDate="2026-01-06T00:00:00"/>
    </cacheField>
    <cacheField name="end_dt" numFmtId="15">
      <sharedItems containsNonDate="0" containsDate="1" containsString="0" containsBlank="1" minDate="1899-12-31T00:00:00" maxDate="2028-08-06T00:00:00"/>
    </cacheField>
    <cacheField name="Status" numFmtId="1">
      <sharedItems containsSemiMixedTypes="0" containsString="0" containsNumber="1" containsInteger="1" minValue="2" maxValue="3"/>
    </cacheField>
    <cacheField name="Contact Person" numFmtId="0">
      <sharedItems containsBlank="1"/>
    </cacheField>
    <cacheField name="Designation" numFmtId="0">
      <sharedItems containsBlank="1" containsMixedTypes="1" containsNumber="1" containsInteger="1" minValue="9786686611" maxValue="9786686611"/>
    </cacheField>
    <cacheField name="Contact No." numFmtId="0">
      <sharedItems containsBlank="1" containsMixedTypes="1" containsNumber="1" containsInteger="1" minValue="28511376" maxValue="442476511151"/>
    </cacheField>
    <cacheField name="Address2" numFmtId="0">
      <sharedItems containsBlank="1"/>
    </cacheField>
    <cacheField name="Address1" numFmtId="0">
      <sharedItems/>
    </cacheField>
    <cacheField name="Address3" numFmtId="0">
      <sharedItems containsBlank="1"/>
    </cacheField>
    <cacheField name="City" numFmtId="0">
      <sharedItems containsBlank="1"/>
    </cacheField>
    <cacheField name="Pin" numFmtId="0">
      <sharedItems containsBlank="1" containsMixedTypes="1" containsNumber="1" containsInteger="1" minValue="11411" maxValue="6250201"/>
    </cacheField>
    <cacheField name="State" numFmtId="0">
      <sharedItems/>
    </cacheField>
    <cacheField name="Country" numFmtId="0">
      <sharedItems containsBlank="1"/>
    </cacheField>
    <cacheField name="Z" numFmtId="0">
      <sharedItems containsString="0" containsBlank="1" containsNumber="1" containsInteger="1" minValue="0" maxValue="8"/>
    </cacheField>
    <cacheField name="A" numFmtId="0">
      <sharedItems containsString="0" containsBlank="1" containsNumber="1" containsInteger="1" minValue="0" maxValue="4"/>
    </cacheField>
    <cacheField name="R" numFmtId="0">
      <sharedItems containsString="0" containsBlank="1" containsNumber="1" containsInteger="1" minValue="0" maxValue="8"/>
    </cacheField>
    <cacheField name="C" numFmtId="0">
      <sharedItems containsString="0" containsBlank="1" containsNumber="1" containsInteger="1" minValue="0" maxValue="7"/>
    </cacheField>
    <cacheField name="Weekly Off" numFmtId="0">
      <sharedItems containsMixedTypes="1" containsNumber="1" containsInteger="1" minValue="0" maxValue="0"/>
    </cacheField>
    <cacheField name="Security Reqd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n v="1"/>
    <s v="Sesha Tools Pvt Ltd"/>
    <x v="0"/>
    <n v="214"/>
    <n v="2015"/>
    <m/>
    <m/>
    <m/>
    <m/>
    <d v="2021-07-21T00:00:00"/>
    <d v="2022-07-20T00:00:00"/>
    <n v="3"/>
    <m/>
    <s v="Proprietor"/>
    <s v="080 - 26686505"/>
    <s v="N.S.Palya"/>
    <s v="#4 9th Main"/>
    <s v="BTM II Stage"/>
    <s v="Bangalore"/>
    <n v="560076"/>
    <s v="KA"/>
    <s v="India"/>
    <n v="8"/>
    <n v="0"/>
    <n v="3"/>
    <n v="1"/>
    <s v="Sun"/>
    <m/>
  </r>
  <r>
    <n v="2"/>
    <s v="Pro Innovative Technologies."/>
    <x v="1"/>
    <n v="135"/>
    <n v="2015"/>
    <m/>
    <m/>
    <m/>
    <m/>
    <m/>
    <d v="1899-12-31T00:00:00"/>
    <n v="3"/>
    <s v="Mr.Dhiren Shah"/>
    <s v="Managing Director"/>
    <s v="080 - 23307067"/>
    <s v="Rajajinagar"/>
    <s v="99/49, 2nd Main Industrial Town,"/>
    <m/>
    <s v="Bangalore"/>
    <n v="560044"/>
    <s v="KA"/>
    <s v="India"/>
    <n v="8"/>
    <n v="0"/>
    <n v="5"/>
    <n v="1"/>
    <s v="Sun"/>
    <m/>
  </r>
  <r>
    <n v="3"/>
    <s v="Die-Tech India pvt Ltd"/>
    <x v="2"/>
    <s v="not_filled"/>
    <m/>
    <m/>
    <m/>
    <m/>
    <m/>
    <m/>
    <m/>
    <n v="3"/>
    <s v="Mr.Prabhakaran"/>
    <s v="Managing Director"/>
    <s v="044 -22520673"/>
    <s v="Pillaiyar Koil Street"/>
    <s v="TS No. 348/1 &amp; 2 (New No.1/207)"/>
    <s v="Manapakkam Vi"/>
    <s v="Chennai"/>
    <n v="600116"/>
    <s v="TN"/>
    <s v="India"/>
    <n v="4"/>
    <n v="0"/>
    <n v="3"/>
    <n v="1"/>
    <s v="Sun"/>
    <m/>
  </r>
  <r>
    <n v="4"/>
    <s v="Elan Diamond Tools Ltd"/>
    <x v="3"/>
    <n v="345"/>
    <s v="2015J LX"/>
    <m/>
    <d v="2012-11-23T00:00:00"/>
    <m/>
    <m/>
    <m/>
    <m/>
    <n v="3"/>
    <s v="Mr.Venkat Nagaraj"/>
    <s v="Managing Director"/>
    <s v="044 -24992910"/>
    <s v="East Adhiramapuram 1st"/>
    <s v="No.10(old No.15) 1st Floor"/>
    <s v="Mylapore"/>
    <s v="Chennai"/>
    <n v="600004"/>
    <s v="TN"/>
    <s v="India"/>
    <n v="4"/>
    <n v="0"/>
    <n v="3"/>
    <n v="1"/>
    <s v="Sun"/>
    <m/>
  </r>
  <r>
    <n v="5"/>
    <s v="NSTL (Optomech Engineers P Ltd)"/>
    <x v="4"/>
    <n v="33"/>
    <s v="3.4J"/>
    <m/>
    <m/>
    <m/>
    <m/>
    <m/>
    <m/>
    <n v="3"/>
    <s v="Mr. Alok Garg"/>
    <s v="Managing Director"/>
    <s v="040 -23078371"/>
    <s v="I.E. Kukatpally"/>
    <s v="3A Type II"/>
    <m/>
    <s v="Hyderabad"/>
    <n v="500072"/>
    <s v="AP"/>
    <s v="India"/>
    <n v="6"/>
    <n v="0"/>
    <n v="2"/>
    <n v="1"/>
    <s v="Sun"/>
    <m/>
  </r>
  <r>
    <n v="7"/>
    <s v="Integra Automation P Ltd."/>
    <x v="5"/>
    <n v="397"/>
    <n v="2015"/>
    <m/>
    <m/>
    <m/>
    <m/>
    <m/>
    <m/>
    <n v="3"/>
    <s v="Mr.Jyothi"/>
    <s v="Manager Produ"/>
    <s v="044 -26251303"/>
    <s v="Sidco Indl Estate"/>
    <s v="11 M.T.H. Rd"/>
    <s v="Ambattur"/>
    <s v="Chennai"/>
    <n v="600098"/>
    <s v="TN"/>
    <s v="India"/>
    <n v="4"/>
    <n v="0"/>
    <n v="4"/>
    <n v="1"/>
    <s v="Sun"/>
    <m/>
  </r>
  <r>
    <n v="8"/>
    <s v="SKF Technologies India Pvt Ltd"/>
    <x v="6"/>
    <n v="514"/>
    <n v="2015"/>
    <m/>
    <m/>
    <m/>
    <m/>
    <d v="2021-03-05T00:00:00"/>
    <d v="2022-03-04T00:00:00"/>
    <n v="3"/>
    <s v="Mr.Vadiraja"/>
    <s v="Asst. Mgr., QA &amp;"/>
    <s v="080 -25730207"/>
    <s v="13th KM,Hosur Road"/>
    <s v="13/5 Singasandra"/>
    <m/>
    <s v="Bangalore"/>
    <n v="560068"/>
    <s v="KA"/>
    <s v="India"/>
    <n v="8"/>
    <n v="0"/>
    <n v="1"/>
    <n v="2"/>
    <s v="Sun"/>
    <m/>
  </r>
  <r>
    <n v="9"/>
    <s v="Iscon Surgicals Ltd."/>
    <x v="7"/>
    <n v="732"/>
    <n v="2015"/>
    <m/>
    <d v="2014-04-21T00:00:00"/>
    <m/>
    <m/>
    <d v="2022-04-01T00:00:00"/>
    <d v="2023-03-31T00:00:00"/>
    <n v="3"/>
    <s v="Mr.N.K.Jain"/>
    <s v="Director"/>
    <s v="0291-2635164"/>
    <m/>
    <s v="22/4 Heavy Indl Ar"/>
    <m/>
    <s v="Jodhpur"/>
    <n v="342003"/>
    <s v="RJ"/>
    <s v="India"/>
    <n v="1"/>
    <n v="0"/>
    <n v="0"/>
    <n v="2"/>
    <s v="Sun"/>
    <m/>
  </r>
  <r>
    <n v="6"/>
    <s v="Vaish Industries"/>
    <x v="8"/>
    <n v="811"/>
    <s v="2015J LX"/>
    <m/>
    <d v="2019-06-14T00:00:00"/>
    <m/>
    <m/>
    <d v="2022-03-22T00:00:00"/>
    <d v="2023-03-21T00:00:00"/>
    <n v="3"/>
    <s v="Mr.Ashir Vaish"/>
    <s v="Proprietor"/>
    <s v="011 - 5438057"/>
    <s v="Phase-II"/>
    <s v="Y-50 Industrial Area Okhla"/>
    <m/>
    <s v="New Delhi"/>
    <n v="110015"/>
    <s v="DL"/>
    <s v="India"/>
    <n v="1"/>
    <n v="1"/>
    <n v="6"/>
    <n v="2"/>
    <s v="Sun"/>
    <m/>
  </r>
  <r>
    <n v="10"/>
    <s v="Rachel Engineering"/>
    <x v="9"/>
    <n v="330"/>
    <n v="2015"/>
    <m/>
    <m/>
    <m/>
    <m/>
    <d v="2022-03-15T00:00:00"/>
    <d v="2023-03-14T00:00:00"/>
    <n v="3"/>
    <s v="Mr.Manoj"/>
    <s v="Director"/>
    <s v="080-25734593"/>
    <s v="Near Kalaniketan School"/>
    <s v="365/B Survey no 44/2"/>
    <s v="Kudlu Village"/>
    <s v="Bangalore"/>
    <n v="560068"/>
    <s v="KA"/>
    <s v="India"/>
    <n v="8"/>
    <n v="0"/>
    <n v="5"/>
    <n v="4"/>
    <s v="Sun"/>
    <m/>
  </r>
  <r>
    <n v="11"/>
    <s v="Mastercraft Engineers P Ltd"/>
    <x v="10"/>
    <n v="207"/>
    <s v="4020J LX"/>
    <m/>
    <m/>
    <m/>
    <m/>
    <d v="2021-12-23T00:00:00"/>
    <d v="2022-12-22T00:00:00"/>
    <n v="3"/>
    <s v="Mr.Pandian"/>
    <s v="General Manag"/>
    <s v="080-7834750"/>
    <s v="IV Phase,"/>
    <s v="#126 &amp; 127 Bommasandra Indl A"/>
    <s v="Jigani Hobli"/>
    <s v="Bangalore"/>
    <n v="560099"/>
    <s v="KA"/>
    <s v="India"/>
    <n v="8"/>
    <n v="0"/>
    <n v="1"/>
    <n v="2"/>
    <s v="Sun"/>
    <m/>
  </r>
  <r>
    <n v="12"/>
    <s v="GKDITR Tooling Centre"/>
    <x v="11"/>
    <n v="464"/>
    <s v="2015J LX"/>
    <m/>
    <m/>
    <m/>
    <m/>
    <d v="2022-03-01T00:00:00"/>
    <d v="2023-02-28T00:00:00"/>
    <n v="3"/>
    <s v="Mr.Hari Babu"/>
    <s v="Manager QA"/>
    <s v="0422-2360294"/>
    <s v="Arasur Post"/>
    <s v="(A Unit of GKD Cha Sangothipalayam"/>
    <m/>
    <s v="Coimbatore"/>
    <n v="641407"/>
    <s v="TN"/>
    <s v="India"/>
    <n v="4"/>
    <n v="1"/>
    <n v="1"/>
    <n v="1"/>
    <s v="Sun"/>
    <m/>
  </r>
  <r>
    <n v="13"/>
    <s v="Candid Micron Measurements P Ltd."/>
    <x v="12"/>
    <n v="99"/>
    <s v="2015J LX"/>
    <m/>
    <m/>
    <m/>
    <m/>
    <m/>
    <m/>
    <n v="3"/>
    <s v="Mr.Viswanathan"/>
    <s v="Managing Director"/>
    <s v="0422-3955527"/>
    <s v="Athipalayam Junction"/>
    <s v="238A, V.J.Complex,"/>
    <s v="Sathy Main Roa"/>
    <s v="Coimbatore"/>
    <n v="641006"/>
    <s v="TN"/>
    <s v="India"/>
    <n v="4"/>
    <n v="1"/>
    <n v="6"/>
    <n v="1"/>
    <s v="Sun"/>
    <m/>
  </r>
  <r>
    <n v="14"/>
    <s v="Bosch Limited"/>
    <x v="13"/>
    <s v="not_filled"/>
    <m/>
    <m/>
    <m/>
    <m/>
    <m/>
    <m/>
    <m/>
    <n v="3"/>
    <s v="Mr.Shaheed"/>
    <s v="Manager QA"/>
    <s v="080- 41035508"/>
    <s v="Hosa Road,"/>
    <s v="P.O.Box 6887 Naganathapura Plant"/>
    <s v="Electronic City P"/>
    <s v="Bangalore"/>
    <n v="560100"/>
    <s v="KA"/>
    <s v="India"/>
    <n v="8"/>
    <n v="0"/>
    <n v="1"/>
    <n v="1"/>
    <s v="Sun"/>
    <m/>
  </r>
  <r>
    <n v="15"/>
    <s v="SSF Plastics India Pvt Ltd"/>
    <x v="14"/>
    <n v="203"/>
    <s v="2015J LX"/>
    <m/>
    <m/>
    <m/>
    <m/>
    <d v="2020-06-24T00:00:00"/>
    <d v="2021-06-23T00:00:00"/>
    <n v="3"/>
    <s v="Mr.Krishnamurthy Bh"/>
    <s v="Manager (Quality)"/>
    <s v="04344-277084"/>
    <m/>
    <s v="Sub Division Plot Nn.52 Sipcot Industrial Complex"/>
    <m/>
    <s v="Hosur"/>
    <n v="635126"/>
    <s v="TN"/>
    <s v="India"/>
    <n v="8"/>
    <n v="0"/>
    <n v="1"/>
    <n v="3"/>
    <s v="Sun"/>
    <m/>
  </r>
  <r>
    <n v="16"/>
    <s v="Omni Matrix Pvt Ltd"/>
    <x v="15"/>
    <n v="671"/>
    <s v="2015J LX"/>
    <m/>
    <m/>
    <m/>
    <m/>
    <d v="2021-11-18T00:00:00"/>
    <d v="2022-11-17T00:00:00"/>
    <n v="3"/>
    <s v="Mr. Rajesh Chabria"/>
    <s v="Managing Director"/>
    <s v="080-23359028"/>
    <s v="Rajajinagar"/>
    <s v="45/7 Gubbanna Est,"/>
    <m/>
    <s v="Bangalore"/>
    <n v="560010"/>
    <s v="KA"/>
    <s v="India"/>
    <n v="8"/>
    <n v="0"/>
    <n v="5"/>
    <n v="1"/>
    <s v="Sun"/>
    <m/>
  </r>
  <r>
    <n v="17"/>
    <s v="Samvardhana Motherson Intern L (Motherson Sumi Sys L)"/>
    <x v="16"/>
    <n v="608"/>
    <s v="2015J LX"/>
    <m/>
    <d v="2017-03-17T00:00:00"/>
    <m/>
    <m/>
    <d v="2021-02-05T00:00:00"/>
    <d v="2022-02-04T00:00:00"/>
    <n v="3"/>
    <s v="Mr.Ananthram"/>
    <s v="Manager, QA"/>
    <s v="080-51952299"/>
    <s v="Peenya Industrial Area,"/>
    <s v="Plot No, 471-D1, 3rd Main, VI Phase,"/>
    <m/>
    <s v="Bangalore"/>
    <n v="560058"/>
    <s v="KA"/>
    <s v="India"/>
    <n v="8"/>
    <n v="0"/>
    <n v="5"/>
    <n v="1"/>
    <s v="Sun"/>
    <m/>
  </r>
  <r>
    <n v="18"/>
    <s v="College of Engg"/>
    <x v="17"/>
    <s v="not_filled"/>
    <m/>
    <m/>
    <d v="2006-03-31T00:00:00"/>
    <m/>
    <m/>
    <m/>
    <m/>
    <n v="3"/>
    <s v="Mr.Farook"/>
    <s v="Asst. Prof."/>
    <s v="0471-2515518"/>
    <s v="Engineering College P.O"/>
    <s v="11 "/>
    <m/>
    <s v="Tiruvananthapuram"/>
    <n v="695016"/>
    <s v="KL"/>
    <s v="India"/>
    <n v="4"/>
    <n v="1"/>
    <n v="0"/>
    <n v="3"/>
    <s v="Sun"/>
    <m/>
  </r>
  <r>
    <n v="19"/>
    <s v="Parle Elizabeth Tools Pvt Ltd."/>
    <x v="18"/>
    <n v="167"/>
    <s v="2015J LX"/>
    <m/>
    <m/>
    <m/>
    <m/>
    <d v="2021-07-01T00:00:00"/>
    <d v="2022-06-30T00:00:00"/>
    <n v="3"/>
    <s v="Mr. Subham Purohit"/>
    <s v="Executive Purchase"/>
    <n v="7211100103"/>
    <s v="BOL GIDC"/>
    <s v="Plot No.PE-37 Near Rasulpura Village"/>
    <s v="Sanand-II"/>
    <s v="Ahmedabad"/>
    <n v="382170"/>
    <s v="GJ"/>
    <s v="India"/>
    <n v="5"/>
    <n v="0"/>
    <n v="1"/>
    <n v="1"/>
    <s v="Sun"/>
    <m/>
  </r>
  <r>
    <n v="20"/>
    <s v="Sansera Engg (P) Ltd"/>
    <x v="19"/>
    <n v="17"/>
    <s v="3.4J"/>
    <m/>
    <d v="2006-03-31T00:00:00"/>
    <m/>
    <m/>
    <m/>
    <m/>
    <n v="3"/>
    <s v="Mr.Venkatesh Murth"/>
    <s v="Manager, QA"/>
    <s v="080-7833056"/>
    <m/>
    <s v=" "/>
    <m/>
    <s v="Bangalore"/>
    <n v="560099"/>
    <s v="KA"/>
    <s v="India"/>
    <n v="8"/>
    <n v="0"/>
    <n v="1"/>
    <n v="2"/>
    <s v="Sun"/>
    <m/>
  </r>
  <r>
    <n v="21"/>
    <s v="TGT Tech Pvt Ltd (Tool Grinding Technologies Inc.)"/>
    <x v="20"/>
    <n v="191"/>
    <s v="2015J LX"/>
    <m/>
    <d v="2012-05-04T00:00:00"/>
    <m/>
    <m/>
    <d v="2021-12-14T00:00:00"/>
    <d v="2022-12-13T00:00:00"/>
    <n v="3"/>
    <s v="Mr.Santosh Prabhu"/>
    <s v="Partner"/>
    <s v="080-41170352"/>
    <s v="12th Cross"/>
    <s v="Plot No.467,68,69 Site 1/c,4th Phase"/>
    <s v="Peenya Industri"/>
    <s v="Bangalore"/>
    <n v="560058"/>
    <s v="KA"/>
    <s v="India"/>
    <n v="8"/>
    <n v="0"/>
    <n v="5"/>
    <n v="1"/>
    <s v="Sun"/>
    <m/>
  </r>
  <r>
    <n v="22"/>
    <s v="Prismatic Engg"/>
    <x v="21"/>
    <s v="not_filled"/>
    <s v="3.4M"/>
    <m/>
    <m/>
    <m/>
    <m/>
    <m/>
    <m/>
    <n v="3"/>
    <s v="Mr.Pandit"/>
    <s v="Managing Director"/>
    <s v="080- 25537234"/>
    <s v="III rd Block"/>
    <s v="147F 8th Main"/>
    <s v="Koramangala"/>
    <s v="Bangalore"/>
    <n v="560034"/>
    <s v="KA"/>
    <s v="India"/>
    <n v="8"/>
    <n v="0"/>
    <n v="2"/>
    <n v="1"/>
    <s v="Sun"/>
    <m/>
  </r>
  <r>
    <n v="23"/>
    <s v="Hical Technologies Pvt Ltd"/>
    <x v="22"/>
    <n v="216"/>
    <s v="2015J LX"/>
    <m/>
    <m/>
    <m/>
    <m/>
    <d v="2022-01-25T00:00:00"/>
    <d v="2022-07-25T00:00:00"/>
    <n v="3"/>
    <s v="Mr.Ranganath"/>
    <s v="Asst. Mgr, QA"/>
    <s v="080 - 28521053"/>
    <s v="Electronic City Phase II"/>
    <s v="S.no.46/47 Hosur Road"/>
    <m/>
    <s v="Bangalore"/>
    <n v="560100"/>
    <s v="KA"/>
    <s v="India"/>
    <n v="8"/>
    <n v="0"/>
    <n v="1"/>
    <n v="1"/>
    <s v="Sun"/>
    <m/>
  </r>
  <r>
    <n v="24"/>
    <s v="Dagger Master Tools (P) Ltd."/>
    <x v="23"/>
    <n v="28"/>
    <s v="3.4J"/>
    <m/>
    <d v="2006-06-03T00:00:00"/>
    <m/>
    <m/>
    <m/>
    <m/>
    <n v="3"/>
    <s v="Mr.K.K.Narayan"/>
    <s v="General Manag"/>
    <s v="0240-2482559"/>
    <m/>
    <s v="F2/2 Chikalthana indl Ar"/>
    <m/>
    <s v="Aurangabad"/>
    <n v="431210"/>
    <s v="MH"/>
    <s v="India"/>
    <n v="2"/>
    <n v="0"/>
    <n v="2"/>
    <n v="1"/>
    <s v="Sun"/>
    <m/>
  </r>
  <r>
    <n v="25"/>
    <s v="SVP Packaging (P) Ltd."/>
    <x v="24"/>
    <n v="204"/>
    <s v="2015J LX"/>
    <m/>
    <m/>
    <m/>
    <m/>
    <d v="2021-11-25T00:00:00"/>
    <d v="2022-11-24T00:00:00"/>
    <n v="3"/>
    <s v="Mr. Saunil Shah"/>
    <s v="Managing Director"/>
    <s v="022-39431516"/>
    <s v="1st Floor"/>
    <s v="4 Prakash Mension"/>
    <s v="512,S.V.P. Road"/>
    <s v="Thane"/>
    <n v="401208"/>
    <s v="MH"/>
    <s v="India"/>
    <n v="2"/>
    <n v="1"/>
    <n v="1"/>
    <n v="2"/>
    <s v="Sun"/>
    <m/>
  </r>
  <r>
    <n v="26"/>
    <s v="Quality Needles (P) Ltd"/>
    <x v="25"/>
    <n v="32"/>
    <s v="3.4M"/>
    <m/>
    <m/>
    <m/>
    <m/>
    <m/>
    <m/>
    <n v="3"/>
    <s v="Mr.Chiranjiv Singh"/>
    <s v="Director"/>
    <s v="0120-2581002"/>
    <s v="Gautam Budha Nagar(U.P)"/>
    <s v="A-8 sector-57"/>
    <m/>
    <s v="G.B Nagar"/>
    <n v="201307"/>
    <s v="UP"/>
    <s v="India"/>
    <n v="1"/>
    <n v="1"/>
    <n v="5"/>
    <n v="1"/>
    <s v="Sun"/>
    <m/>
  </r>
  <r>
    <n v="27"/>
    <s v="Mars Engineers &amp; Services"/>
    <x v="26"/>
    <n v="76"/>
    <s v="3.4J"/>
    <m/>
    <d v="2006-08-14T00:00:00"/>
    <m/>
    <m/>
    <m/>
    <m/>
    <n v="3"/>
    <s v="Mr Udhayagiri"/>
    <s v="Proprietor"/>
    <s v="044- 23820131"/>
    <s v="Gerugamvakkam"/>
    <s v="3/551 Kundrathur Main Roa"/>
    <m/>
    <s v="Chennai"/>
    <n v="602101"/>
    <s v="TN"/>
    <s v="India"/>
    <n v="4"/>
    <n v="0"/>
    <n v="4"/>
    <n v="1"/>
    <s v="Sun"/>
    <m/>
  </r>
  <r>
    <n v="28"/>
    <s v="Midhani (Optomech Engineers (P) Ltd)"/>
    <x v="27"/>
    <n v="35"/>
    <s v="3.4J"/>
    <m/>
    <d v="2006-08-19T00:00:00"/>
    <m/>
    <m/>
    <m/>
    <m/>
    <n v="3"/>
    <s v="Mr. Alok Garg"/>
    <s v="Managing Director"/>
    <s v="040 -2307 8371"/>
    <s v="Prashanthi Nagar,"/>
    <s v="3A,TYPE – II, I.E. KUKATPALLY."/>
    <m/>
    <s v="Hyderabad"/>
    <n v="500072"/>
    <s v="AP"/>
    <s v="India"/>
    <n v="6"/>
    <n v="0"/>
    <n v="2"/>
    <n v="1"/>
    <s v="Sun"/>
    <m/>
  </r>
  <r>
    <n v="29"/>
    <s v="Technicraft"/>
    <x v="28"/>
    <n v="365"/>
    <s v="2015J LX"/>
    <m/>
    <d v="2006-08-06T00:00:00"/>
    <m/>
    <m/>
    <m/>
    <m/>
    <n v="3"/>
    <s v="Mr.Krishnakumar"/>
    <s v="Proprietor"/>
    <s v="080- 65706497"/>
    <s v="JC Indl Area"/>
    <s v="#26/A II Main"/>
    <s v="Yelchanahalli"/>
    <s v="Bangalore"/>
    <n v="560062"/>
    <s v="KA"/>
    <s v="India"/>
    <n v="8"/>
    <n v="0"/>
    <n v="2"/>
    <n v="3"/>
    <s v="Sun"/>
    <m/>
  </r>
  <r>
    <n v="30"/>
    <s v="Athereya Enterprises"/>
    <x v="29"/>
    <n v="166"/>
    <s v="2015J LX"/>
    <m/>
    <m/>
    <m/>
    <m/>
    <m/>
    <m/>
    <n v="3"/>
    <s v="Mr Sivasubramanian"/>
    <s v="General Manag"/>
    <s v="044-2834101016/17"/>
    <s v="Madhananthapuram"/>
    <s v="5/293 Kundrathur Main Roa"/>
    <s v="Porur"/>
    <s v="Chennai"/>
    <n v="600116"/>
    <s v="TN"/>
    <s v="India"/>
    <n v="8"/>
    <n v="0"/>
    <n v="1"/>
    <n v="1"/>
    <s v="Sun"/>
    <m/>
  </r>
  <r>
    <n v="31"/>
    <s v="Centum Industries P Ltd."/>
    <x v="30"/>
    <n v="390"/>
    <s v="2015J LX"/>
    <m/>
    <m/>
    <m/>
    <m/>
    <d v="2019-01-11T00:00:00"/>
    <d v="2020-01-10T00:00:00"/>
    <n v="3"/>
    <s v="Mr. Badiger"/>
    <s v="QA Manager"/>
    <s v="080-28460666"/>
    <s v="Yelahanka New Town"/>
    <s v="#23 KHB Industrial Area"/>
    <m/>
    <s v="Bangalore"/>
    <n v="560064"/>
    <s v="KA"/>
    <s v="India"/>
    <n v="8"/>
    <n v="0"/>
    <n v="7"/>
    <n v="1"/>
    <s v="Sun"/>
    <m/>
  </r>
  <r>
    <n v="32"/>
    <s v="General Industrial Controls (P) Ltd"/>
    <x v="31"/>
    <n v="172"/>
    <s v="2015J LX"/>
    <m/>
    <m/>
    <m/>
    <m/>
    <d v="2021-08-01T00:00:00"/>
    <d v="2022-07-31T00:00:00"/>
    <n v="3"/>
    <s v="Mr Anil B Khadilkar"/>
    <s v="DGM Tool Engg"/>
    <s v="020- 27122441"/>
    <s v="Bhosari"/>
    <s v="T-107 M.I.D.C.,"/>
    <m/>
    <s v="Pune"/>
    <n v="411026"/>
    <s v="MH"/>
    <s v="India"/>
    <n v="2"/>
    <n v="4"/>
    <n v="1"/>
    <n v="1"/>
    <s v="Thu "/>
    <m/>
  </r>
  <r>
    <n v="33"/>
    <s v="Nicholas Piramal India Limited"/>
    <x v="32"/>
    <n v="36"/>
    <s v="3.4J"/>
    <m/>
    <m/>
    <m/>
    <m/>
    <m/>
    <m/>
    <n v="3"/>
    <s v="Mr Kishore Patil"/>
    <s v="Purchase Mgr."/>
    <s v="022- 56636666"/>
    <s v="Lower Parel"/>
    <s v="Nicholas Power To Ganpatrao Kadam M"/>
    <m/>
    <s v="Mumbai"/>
    <n v="400013"/>
    <s v="MH"/>
    <s v="India"/>
    <n v="2"/>
    <n v="1"/>
    <n v="1"/>
    <n v="5"/>
    <s v="Sun"/>
    <m/>
  </r>
  <r>
    <n v="34"/>
    <s v="Maini Precision Products (P) Ltd."/>
    <x v="33"/>
    <n v="209"/>
    <s v="2015J LX"/>
    <m/>
    <d v="2010-10-11T00:00:00"/>
    <m/>
    <m/>
    <d v="2021-04-03T00:00:00"/>
    <d v="2022-04-02T00:00:00"/>
    <n v="3"/>
    <s v="Mr.Anand. S"/>
    <s v="DGM, QA"/>
    <s v="080-22898900"/>
    <s v="Bommasandra"/>
    <s v="5A Bommasandra Indl A"/>
    <m/>
    <s v="Bangalore"/>
    <n v="560099"/>
    <s v="KA"/>
    <s v="India"/>
    <n v="8"/>
    <n v="0"/>
    <n v="1"/>
    <n v="2"/>
    <s v="Sun"/>
    <m/>
  </r>
  <r>
    <n v="35"/>
    <s v="MTL Instruments Pvt. Ltd."/>
    <x v="34"/>
    <n v="44"/>
    <s v="3.4J"/>
    <m/>
    <m/>
    <m/>
    <m/>
    <m/>
    <m/>
    <n v="3"/>
    <s v="Mr.A.Venkatesan"/>
    <s v="DGM, QA"/>
    <s v="044 - 24501552"/>
    <s v="Solinganallur"/>
    <s v="#3 Old Mahabalipuram"/>
    <m/>
    <s v="Chennai"/>
    <n v="600119"/>
    <s v="TN"/>
    <s v="India"/>
    <n v="4"/>
    <n v="0"/>
    <n v="1"/>
    <n v="1"/>
    <s v="Sun"/>
    <m/>
  </r>
  <r>
    <n v="36"/>
    <s v="Alagappa Chettiar College of Engg"/>
    <x v="35"/>
    <s v="not_filled"/>
    <m/>
    <m/>
    <m/>
    <m/>
    <m/>
    <m/>
    <m/>
    <n v="3"/>
    <s v="Mr.Viswanathan"/>
    <s v="HOD, Mech. Engg."/>
    <m/>
    <m/>
    <s v=" "/>
    <m/>
    <s v="Karaikudi"/>
    <n v="630004"/>
    <s v="TN"/>
    <s v="India"/>
    <n v="4"/>
    <n v="0"/>
    <n v="1"/>
    <n v="3"/>
    <s v="Sun"/>
    <m/>
  </r>
  <r>
    <n v="37"/>
    <s v="Trishul Machine Tools (P) Ltd."/>
    <x v="36"/>
    <n v="158"/>
    <s v="2015J LX"/>
    <m/>
    <d v="2006-12-27T00:00:00"/>
    <m/>
    <m/>
    <m/>
    <m/>
    <n v="3"/>
    <s v="Mr. Shiva Shankaraia"/>
    <s v="Managing Director"/>
    <s v="080-27836166"/>
    <s v="Bommasandra"/>
    <s v="#B-8 KSSIDC Industrial Estate"/>
    <s v="Hosur Road"/>
    <s v="Bangalore"/>
    <n v="560099"/>
    <s v="KA"/>
    <s v="India"/>
    <n v="8"/>
    <n v="0"/>
    <n v="1"/>
    <n v="2"/>
    <s v="Sun"/>
    <m/>
  </r>
  <r>
    <n v="38"/>
    <s v="JBJ Machine Technologies (P) Ltd."/>
    <x v="37"/>
    <n v="197"/>
    <s v="2015J LX"/>
    <m/>
    <m/>
    <m/>
    <m/>
    <d v="2021-07-09T00:00:00"/>
    <d v="2022-07-08T00:00:00"/>
    <n v="3"/>
    <s v="Mr. Sharad Purohit"/>
    <s v="Manager, QA &amp;"/>
    <s v="0120-2425180"/>
    <m/>
    <s v="F-44 Sector-8"/>
    <m/>
    <s v="Noida"/>
    <n v="201301"/>
    <s v="UP"/>
    <s v="India"/>
    <n v="1"/>
    <n v="1"/>
    <n v="5"/>
    <n v="1"/>
    <s v="Sun"/>
    <m/>
  </r>
  <r>
    <n v="39"/>
    <s v="Maini Precision Products (P) Ltd."/>
    <x v="38"/>
    <n v="280"/>
    <s v="2015J LX"/>
    <m/>
    <d v="2012-10-13T00:00:00"/>
    <m/>
    <m/>
    <d v="2022-02-21T00:00:00"/>
    <d v="2023-02-20T00:00:00"/>
    <n v="3"/>
    <s v="Mr. Nirmal Raj"/>
    <s v="Manager, Purch"/>
    <s v="080-28394116"/>
    <m/>
    <s v="Peenya "/>
    <m/>
    <s v="Bangalore"/>
    <n v="560058"/>
    <s v="KA"/>
    <s v="India"/>
    <n v="8"/>
    <n v="0"/>
    <n v="5"/>
    <n v="1"/>
    <s v="Sun"/>
    <m/>
  </r>
  <r>
    <n v="40"/>
    <s v="Shree Athreya Industries"/>
    <x v="39"/>
    <n v="166"/>
    <s v="2015J LX"/>
    <m/>
    <d v="2016-11-08T00:00:00"/>
    <m/>
    <m/>
    <m/>
    <m/>
    <n v="3"/>
    <s v="Mr. Madhu"/>
    <s v="Proprietor"/>
    <s v="080-26546193"/>
    <s v="Veerasandra"/>
    <s v="SHED#B1 KSSIDC Industrial Est"/>
    <s v="2ndstage,Husku"/>
    <s v="Bangalore"/>
    <n v="560100"/>
    <s v="KA"/>
    <s v="India"/>
    <n v="8"/>
    <n v="0"/>
    <n v="1"/>
    <n v="1"/>
    <s v="Sun"/>
    <m/>
  </r>
  <r>
    <n v="41"/>
    <s v="Dalal Plastic Corporation"/>
    <x v="40"/>
    <n v="164"/>
    <s v="2015J LX"/>
    <m/>
    <d v="2009-12-29T00:00:00"/>
    <m/>
    <m/>
    <d v="2021-06-26T00:00:00"/>
    <d v="2022-06-25T00:00:00"/>
    <n v="3"/>
    <s v="Mr. Murtaza Dalal"/>
    <s v="CEO"/>
    <s v="022-27692065"/>
    <s v="digha Village,Post Airolli"/>
    <s v="Plot B-18, TTC Industrial Area"/>
    <s v="Off Sandoz,Than"/>
    <s v="Navi Mumbai"/>
    <n v="400708"/>
    <s v="MH"/>
    <s v="India"/>
    <n v="2"/>
    <n v="2"/>
    <n v="2"/>
    <n v="4"/>
    <s v="Sun"/>
    <m/>
  </r>
  <r>
    <n v="42"/>
    <s v="Positronic Interconnects Pvt. Ltd.,"/>
    <x v="41"/>
    <n v="227"/>
    <s v="2015J LX"/>
    <m/>
    <m/>
    <m/>
    <m/>
    <m/>
    <m/>
    <n v="3"/>
    <s v="Mr. Milind Deshpand"/>
    <s v="Director"/>
    <s v="020-24395014"/>
    <s v="Nahre"/>
    <s v="S.No.51/1/19 Narhe Road"/>
    <s v="Off Sinhagad Ro"/>
    <s v="Pune"/>
    <n v="411041"/>
    <s v="MH"/>
    <s v="India"/>
    <n v="0"/>
    <n v="0"/>
    <n v="0"/>
    <n v="0"/>
    <n v="0"/>
    <m/>
  </r>
  <r>
    <n v="43"/>
    <s v="SJS Enterprises (P) Ltd"/>
    <x v="42"/>
    <n v="240"/>
    <s v="4020J LX"/>
    <m/>
    <m/>
    <m/>
    <m/>
    <d v="2022-03-09T00:00:00"/>
    <d v="2023-03-08T00:00:00"/>
    <n v="3"/>
    <s v="Mr.Adiga"/>
    <m/>
    <s v="080 -28425055"/>
    <s v="Kanakapura Main Road"/>
    <s v="No. 1 Talaghatapura"/>
    <m/>
    <s v="Bangalore"/>
    <n v="560060"/>
    <s v="KA"/>
    <s v="India"/>
    <n v="8"/>
    <n v="0"/>
    <n v="2"/>
    <n v="3"/>
    <s v="Sun"/>
    <m/>
  </r>
  <r>
    <n v="44"/>
    <s v="AT &amp; S India (P) Ltd"/>
    <x v="43"/>
    <n v="51"/>
    <s v="2015J LX"/>
    <m/>
    <m/>
    <m/>
    <m/>
    <m/>
    <m/>
    <n v="3"/>
    <s v="Mr. Harish"/>
    <s v="Quality Enginee"/>
    <s v="08221-304000"/>
    <s v="Nanjangud"/>
    <s v="12/A Industrial Area"/>
    <m/>
    <s v="Mysore"/>
    <n v="571301"/>
    <s v="KA"/>
    <s v="India"/>
    <n v="8"/>
    <n v="0"/>
    <n v="3"/>
    <n v="3"/>
    <s v="Sun"/>
    <m/>
  </r>
  <r>
    <n v="45"/>
    <s v="Motherson Innovative Engg Solutions P Ltd"/>
    <x v="44"/>
    <s v="not_filled"/>
    <m/>
    <m/>
    <m/>
    <m/>
    <m/>
    <m/>
    <m/>
    <n v="3"/>
    <s v="Mr. Ashok Jindal"/>
    <s v="Sr. Mgr. - Prod."/>
    <s v="080-41952222"/>
    <s v="Chengalpattu-Sriperamba"/>
    <s v="A-4 SIPCOT,Indl Growth C"/>
    <s v="Oragadam"/>
    <s v="Chennai"/>
    <n v="602105"/>
    <s v="TN"/>
    <s v="India"/>
    <n v="4"/>
    <n v="0"/>
    <n v="3"/>
    <n v="2"/>
    <s v="Sun"/>
    <m/>
  </r>
  <r>
    <n v="46"/>
    <s v="Stumpp Schuele &amp; Somappa Springs Pvt Ltd"/>
    <x v="45"/>
    <s v="not_filled"/>
    <m/>
    <m/>
    <m/>
    <m/>
    <m/>
    <m/>
    <m/>
    <n v="3"/>
    <s v="Mr. Suresh"/>
    <s v="Chief, QA"/>
    <s v="080-25532335"/>
    <s v="Koramangala"/>
    <s v="139/2 Hosur Road"/>
    <m/>
    <s v="Bangalore"/>
    <n v="560095"/>
    <s v="KA"/>
    <s v="India"/>
    <n v="8"/>
    <n v="0"/>
    <n v="1"/>
    <n v="2"/>
    <s v="Sun"/>
    <m/>
  </r>
  <r>
    <n v="47"/>
    <s v="Jakap Metind Pvt Ltd"/>
    <x v="46"/>
    <n v="413"/>
    <s v="2015J LX"/>
    <m/>
    <m/>
    <m/>
    <m/>
    <d v="2022-03-19T00:00:00"/>
    <d v="2023-03-18T00:00:00"/>
    <n v="3"/>
    <s v="Mr. Jayesh Anjaria"/>
    <s v="Chmn &amp; MD"/>
    <s v="020-22923721"/>
    <s v="Pirangut"/>
    <s v="No:1178 Ghotawade Phata"/>
    <s v="Taluka-Mulshi"/>
    <s v="Pune"/>
    <n v="412108"/>
    <s v="MH"/>
    <s v="India"/>
    <n v="2"/>
    <n v="4"/>
    <n v="6"/>
    <n v="1"/>
    <s v="Thu"/>
    <m/>
  </r>
  <r>
    <n v="48"/>
    <s v="Central Electrochemical Research Institute"/>
    <x v="47"/>
    <s v="not_filled"/>
    <m/>
    <m/>
    <m/>
    <m/>
    <m/>
    <m/>
    <m/>
    <n v="3"/>
    <s v="Mr. Mohan. S"/>
    <s v="Manager, Mech"/>
    <s v="04565-227550"/>
    <m/>
    <s v=" "/>
    <m/>
    <s v="Karaikudi"/>
    <n v="630006"/>
    <s v="TN"/>
    <s v="India"/>
    <n v="4"/>
    <n v="0"/>
    <n v="1"/>
    <n v="3"/>
    <s v="Sun"/>
    <m/>
  </r>
  <r>
    <n v="49"/>
    <s v="Microtech Engineers"/>
    <x v="48"/>
    <n v="59"/>
    <s v="V3.4J"/>
    <m/>
    <m/>
    <m/>
    <m/>
    <m/>
    <m/>
    <n v="3"/>
    <s v="Mr. Gunasekaran"/>
    <s v="CEO"/>
    <m/>
    <s v="St.Thomas Mount"/>
    <s v="#31 Police Office Road"/>
    <m/>
    <s v="Chennai"/>
    <n v="600000"/>
    <s v="TN"/>
    <s v="India"/>
    <n v="4"/>
    <n v="0"/>
    <n v="2"/>
    <n v="1"/>
    <s v="Sun"/>
    <m/>
  </r>
  <r>
    <n v="50"/>
    <s v="Abhi burnishing Tools"/>
    <x v="49"/>
    <n v="67"/>
    <s v="2015J HT"/>
    <m/>
    <m/>
    <m/>
    <m/>
    <d v="2021-03-20T00:00:00"/>
    <d v="2022-03-19T00:00:00"/>
    <n v="3"/>
    <s v="Mr. Nanda Gopal"/>
    <s v="Proprietor"/>
    <s v="0422-2560532"/>
    <s v="Avarampalayam"/>
    <s v="18-19 2nd Cross,Santhi Nag"/>
    <m/>
    <s v="Coimbatore"/>
    <n v="641006"/>
    <s v="TN"/>
    <s v="India"/>
    <n v="4"/>
    <n v="1"/>
    <n v="1"/>
    <n v="1"/>
    <s v="Sun"/>
    <m/>
  </r>
  <r>
    <n v="51"/>
    <s v="EssKay Corporation"/>
    <x v="50"/>
    <s v="not_filled"/>
    <m/>
    <m/>
    <m/>
    <m/>
    <m/>
    <m/>
    <m/>
    <n v="3"/>
    <s v="Mr. Sunil Soni"/>
    <s v="CEO"/>
    <s v="022- 26778473,"/>
    <s v="Block No 7 Opp Navrang"/>
    <s v="107 JP Road,Rajesh Build"/>
    <s v="Anderi (W)"/>
    <s v="Bangalore"/>
    <n v="560000"/>
    <s v="KA"/>
    <s v="India"/>
    <n v="0"/>
    <n v="0"/>
    <n v="0"/>
    <n v="0"/>
    <n v="0"/>
    <m/>
  </r>
  <r>
    <n v="52"/>
    <s v="Accusharp"/>
    <x v="51"/>
    <s v="TIS-002"/>
    <s v="TIS-2015"/>
    <m/>
    <m/>
    <m/>
    <m/>
    <m/>
    <m/>
    <n v="3"/>
    <s v="Mr.Ayaz Shaikh"/>
    <s v="CEO"/>
    <s v="020-27129016"/>
    <s v="Telco Road,MIDC"/>
    <s v="Plot No.71/1B/11 Paras Co-op Indl Est"/>
    <s v="Bhosari"/>
    <s v="Pune"/>
    <n v="411026"/>
    <s v="MH"/>
    <s v="India"/>
    <n v="2"/>
    <n v="4"/>
    <n v="1"/>
    <n v="1"/>
    <s v="Thu "/>
    <m/>
  </r>
  <r>
    <n v="53"/>
    <s v="Harkesh Rubber Industries"/>
    <x v="52"/>
    <n v="340"/>
    <n v="2015"/>
    <m/>
    <m/>
    <m/>
    <m/>
    <d v="2024-09-30T00:00:00"/>
    <d v="2025-09-29T00:00:00"/>
    <n v="3"/>
    <s v="Mr. Harish Shah"/>
    <s v="CEO"/>
    <s v="022-28364847,"/>
    <s v="1st Floor"/>
    <s v="106 Madhu Indl Est"/>
    <s v="Murga Village R"/>
    <s v="Mumbai"/>
    <n v="400069"/>
    <s v="MH"/>
    <s v="India"/>
    <n v="2"/>
    <n v="3"/>
    <n v="0"/>
    <n v="1"/>
    <s v="Sat"/>
    <m/>
  </r>
  <r>
    <n v="54"/>
    <s v="Maraica Industries"/>
    <x v="53"/>
    <n v="290"/>
    <s v="V3.5J"/>
    <m/>
    <d v="2012-03-17T00:00:00"/>
    <m/>
    <m/>
    <m/>
    <m/>
    <n v="3"/>
    <s v="Mr. D. Das"/>
    <s v="Manager"/>
    <s v="033 2237-1075"/>
    <m/>
    <s v="#29/1A Chandeney Chowk"/>
    <m/>
    <s v="Kolkata"/>
    <n v="700072"/>
    <s v="WB"/>
    <s v="India"/>
    <n v="8"/>
    <n v="0"/>
    <n v="0"/>
    <n v="5"/>
    <s v="Sun"/>
    <m/>
  </r>
  <r>
    <n v="55"/>
    <s v="Federal Mogul Bearings India Limited"/>
    <x v="54"/>
    <s v="935 (111)"/>
    <s v="4020J LX"/>
    <m/>
    <m/>
    <m/>
    <m/>
    <d v="2021-11-01T00:00:00"/>
    <d v="2022-10-31T00:00:00"/>
    <n v="3"/>
    <s v="Mr.Riten Mandel"/>
    <s v="QA, Manager"/>
    <s v="01792-232011,12"/>
    <s v="section-2"/>
    <s v="Plot No.5 Engine Bearing Division"/>
    <m/>
    <s v="Parwanoo"/>
    <n v="173220"/>
    <s v="HP"/>
    <s v="India"/>
    <n v="1"/>
    <n v="3"/>
    <n v="1"/>
    <n v="2"/>
    <s v="Sun"/>
    <m/>
  </r>
  <r>
    <n v="56"/>
    <s v="Spectrum Tool Engineers (P) Ltd"/>
    <x v="55"/>
    <n v="327"/>
    <s v="2015J LX"/>
    <m/>
    <m/>
    <m/>
    <m/>
    <d v="2021-12-24T00:00:00"/>
    <d v="2022-12-23T00:00:00"/>
    <n v="3"/>
    <s v="Mr. V. Sudarshan"/>
    <s v="MD"/>
    <s v="080-23488629"/>
    <s v="Kamashipalaya"/>
    <s v="# 97 &amp; 100 Petechennapa Indl Es"/>
    <s v="Magadi Road"/>
    <s v="Bangalore"/>
    <n v="560079"/>
    <s v="KA"/>
    <s v="India"/>
    <n v="8"/>
    <n v="0"/>
    <n v="4"/>
    <n v="1"/>
    <s v="Sun"/>
    <m/>
  </r>
  <r>
    <n v="57"/>
    <s v="JP Tools &amp; Technologies (P) Ltd"/>
    <x v="56"/>
    <n v="61"/>
    <s v="3.4J"/>
    <m/>
    <m/>
    <m/>
    <m/>
    <m/>
    <m/>
    <n v="3"/>
    <s v="Mr. Vikram"/>
    <s v="CEO"/>
    <s v="080-25534660"/>
    <s v="Koramangala"/>
    <s v="147/G 10th Main 3rd Block"/>
    <m/>
    <s v="Bangalore"/>
    <n v="560034"/>
    <s v="KA"/>
    <s v="India"/>
    <n v="8"/>
    <n v="0"/>
    <n v="1"/>
    <n v="1"/>
    <s v="Sun"/>
    <m/>
  </r>
  <r>
    <n v="58"/>
    <s v="Caparo Engg India Pvt. Ltd"/>
    <x v="57"/>
    <n v="71"/>
    <s v="2015J CX"/>
    <m/>
    <m/>
    <m/>
    <m/>
    <m/>
    <m/>
    <n v="3"/>
    <s v="Mr. Mahantesh A. Y"/>
    <s v="Mgr Quality (AF"/>
    <s v="044-32001452"/>
    <s v="Phase III,S.V.Chatram,"/>
    <s v="T1 &amp; T2 SIPCOT Ind. Park"/>
    <s v="Sriperumbudur"/>
    <s v="Kanchipuram"/>
    <n v="602105"/>
    <s v="TN"/>
    <s v="India"/>
    <n v="4"/>
    <n v="0"/>
    <n v="3"/>
    <n v="1"/>
    <s v="Sun"/>
    <m/>
  </r>
  <r>
    <n v="59"/>
    <s v="KJK Polydiamonds P Ltd"/>
    <x v="58"/>
    <n v="74"/>
    <s v="2015J CX"/>
    <m/>
    <d v="2007-09-18T00:00:00"/>
    <m/>
    <m/>
    <m/>
    <m/>
    <n v="3"/>
    <s v="Mr. Suresh Kumar"/>
    <s v="H.P."/>
    <n v="9840856572"/>
    <s v="Kandanchavadi"/>
    <s v="Mo.133 Old M.puram Road"/>
    <m/>
    <s v="Chennai"/>
    <n v="600096"/>
    <s v="TN"/>
    <s v="India"/>
    <n v="0"/>
    <n v="0"/>
    <n v="0"/>
    <n v="0"/>
    <n v="0"/>
    <m/>
  </r>
  <r>
    <n v="60"/>
    <s v="IP Rings Ltd (IP Pins Ltd)"/>
    <x v="59"/>
    <n v="62"/>
    <s v="3.4J"/>
    <m/>
    <m/>
    <m/>
    <m/>
    <d v="2021-10-27T00:00:00"/>
    <d v="2022-10-26T00:00:00"/>
    <n v="3"/>
    <s v="Mr. Prakash"/>
    <s v="GM"/>
    <s v="044-27452394"/>
    <s v="Maraimalai Nagar"/>
    <s v="OCF Division, D11/12 Industrial Estate"/>
    <m/>
    <s v="Chengalpet"/>
    <n v="603209"/>
    <s v="TN"/>
    <s v="India"/>
    <n v="4"/>
    <n v="0"/>
    <n v="2"/>
    <n v="4"/>
    <s v="Sun"/>
    <m/>
  </r>
  <r>
    <n v="61"/>
    <s v="Mudra Pressings P Ltd"/>
    <x v="60"/>
    <n v="78"/>
    <s v="3.4J"/>
    <m/>
    <m/>
    <m/>
    <m/>
    <m/>
    <m/>
    <n v="3"/>
    <s v="Mr. Thyagarajan"/>
    <s v="MD"/>
    <s v="044-26811676"/>
    <s v="Thirumzhisai"/>
    <s v="DP No.73/74 SIDCO Industrial Esta"/>
    <m/>
    <s v="Chennai"/>
    <n v="602107"/>
    <s v="TN"/>
    <s v="India"/>
    <n v="4"/>
    <n v="0"/>
    <n v="2"/>
    <n v="1"/>
    <s v="Sun"/>
    <m/>
  </r>
  <r>
    <n v="62"/>
    <s v="Rimtex Engg P Ltd."/>
    <x v="61"/>
    <n v="72"/>
    <s v="3.4J"/>
    <m/>
    <m/>
    <m/>
    <m/>
    <m/>
    <m/>
    <n v="3"/>
    <s v="Mr. Bhavesh Chauha"/>
    <s v="Manager, Projec"/>
    <s v="2752-243322"/>
    <s v="GIDC"/>
    <s v="2701 Phase IV"/>
    <s v="Wadhwan"/>
    <s v="Surender Nagar"/>
    <n v="363035"/>
    <s v="GJ"/>
    <s v="India"/>
    <n v="5"/>
    <n v="0"/>
    <n v="1"/>
    <n v="1"/>
    <s v="Sun"/>
    <m/>
  </r>
  <r>
    <n v="63"/>
    <s v="Nebula Technologies"/>
    <x v="62"/>
    <n v="287"/>
    <s v="2015J LX"/>
    <m/>
    <d v="2007-09-29T00:00:00"/>
    <m/>
    <m/>
    <m/>
    <m/>
    <n v="3"/>
    <s v="Mr. Gururaj"/>
    <s v="CEO"/>
    <s v="080-65607736"/>
    <s v="Ideal Home Township"/>
    <s v="#966 18B Cross,2nd Main"/>
    <s v="Rajarajeshwari"/>
    <s v="Bangalore"/>
    <n v="560098"/>
    <s v="KA"/>
    <s v="India"/>
    <n v="8"/>
    <n v="0"/>
    <n v="3"/>
    <n v="1"/>
    <s v="Sun"/>
    <m/>
  </r>
  <r>
    <n v="64"/>
    <s v="VMX Connectors Pvt Ltd"/>
    <x v="63"/>
    <n v="77"/>
    <s v="2015J LX"/>
    <m/>
    <m/>
    <m/>
    <m/>
    <d v="2021-09-23T00:00:00"/>
    <d v="2022-09-22T00:00:00"/>
    <n v="3"/>
    <s v="Mr.Dhananjay"/>
    <s v="CEO"/>
    <s v="080-65668008"/>
    <s v="II Stage,Estate Club"/>
    <s v="Shed No C/15 Veersandra Ind. Area"/>
    <s v="Huskur Road"/>
    <s v="Bangalore"/>
    <n v="560099"/>
    <s v="KA"/>
    <s v="India"/>
    <n v="8"/>
    <n v="0"/>
    <n v="2"/>
    <n v="2"/>
    <s v="Sun"/>
    <m/>
  </r>
  <r>
    <n v="65"/>
    <s v="Souriau India Pvt Ltd (old Mc No.79)"/>
    <x v="64"/>
    <n v="856"/>
    <s v="4020J LX"/>
    <m/>
    <d v="2021-06-08T00:00:00"/>
    <m/>
    <m/>
    <d v="2024-05-30T00:00:00"/>
    <d v="2025-05-29T00:00:00"/>
    <n v="3"/>
    <s v="Mr. Balaji.K"/>
    <s v="Senior Engineer – Sourcing"/>
    <n v="9150030719"/>
    <s v="Malumachampatti"/>
    <s v="1/5 16B Vadakuthottam Salai"/>
    <m/>
    <s v="Coimbatore"/>
    <n v="641050"/>
    <s v="TN"/>
    <s v="India"/>
    <n v="4"/>
    <n v="1"/>
    <n v="3"/>
    <n v="1"/>
    <s v="Sun"/>
    <m/>
  </r>
  <r>
    <n v="66"/>
    <s v="Universal Flexible Pvt Ltd"/>
    <x v="65"/>
    <n v="70"/>
    <s v="3.4J"/>
    <m/>
    <m/>
    <m/>
    <m/>
    <d v="2022-09-16T00:00:00"/>
    <d v="2023-09-15T00:00:00"/>
    <n v="3"/>
    <s v="Mr.V.Radhakrishnan"/>
    <s v="G.M."/>
    <n v="28511376"/>
    <s v="Whitefield Cross Road"/>
    <s v="2c, 4th Cross Dyavasandra Ind. Are"/>
    <s v="Mahadevapura"/>
    <s v="Bangalore"/>
    <n v="560004"/>
    <s v="KA"/>
    <s v="India"/>
    <n v="8"/>
    <n v="0"/>
    <n v="8"/>
    <n v="1"/>
    <s v="Sun"/>
    <m/>
  </r>
  <r>
    <n v="67"/>
    <s v="Excelon Technologies"/>
    <x v="66"/>
    <n v="81"/>
    <s v="3.4J"/>
    <m/>
    <m/>
    <m/>
    <m/>
    <d v="2020-06-19T00:00:00"/>
    <d v="2022-06-18T00:00:00"/>
    <n v="3"/>
    <s v="Mr.Binu Gopinath"/>
    <s v="CEO"/>
    <s v="080-28360216"/>
    <s v="Peenya Industrial Area"/>
    <s v="#340 9th cross,4th phase"/>
    <m/>
    <s v="Bangalore"/>
    <s v="560 058"/>
    <s v="KA"/>
    <s v="India"/>
    <n v="8"/>
    <n v="0"/>
    <n v="5"/>
    <n v="1"/>
    <s v="Sun"/>
    <m/>
  </r>
  <r>
    <n v="68"/>
    <s v="Zenith Precision Pvt Ltd"/>
    <x v="67"/>
    <n v="82"/>
    <s v="3.4J"/>
    <m/>
    <m/>
    <m/>
    <m/>
    <m/>
    <m/>
    <n v="3"/>
    <s v="Mr.Deepak Pinto"/>
    <s v="MD"/>
    <n v="41172499"/>
    <s v="Peenya Industrial Area"/>
    <s v="No.20,5th Main 3rd Phase"/>
    <m/>
    <s v="Bangalore"/>
    <s v="560 058"/>
    <s v="KA"/>
    <s v="India"/>
    <n v="8"/>
    <n v="0"/>
    <n v="5"/>
    <n v="1"/>
    <s v="Sun"/>
    <m/>
  </r>
  <r>
    <n v="69"/>
    <s v="Phoenix Textile Engg Pvt Ltd"/>
    <x v="68"/>
    <n v="80"/>
    <s v="3.4J"/>
    <m/>
    <m/>
    <m/>
    <m/>
    <d v="2022-03-19T00:00:00"/>
    <d v="2023-03-18T00:00:00"/>
    <n v="3"/>
    <s v="Mr.Raghunath Kadilk"/>
    <s v="Director"/>
    <s v="020-65619961"/>
    <s v="Hadapsar"/>
    <s v="38/5,6 Ramtekadi Ind. Estat"/>
    <m/>
    <s v="Pune"/>
    <n v="411013"/>
    <s v="MH"/>
    <s v="India"/>
    <n v="2"/>
    <n v="4"/>
    <n v="4"/>
    <n v="1"/>
    <s v="Thu"/>
    <m/>
  </r>
  <r>
    <n v="70"/>
    <s v="L G B Balakrishnan &amp; Bros Limited"/>
    <x v="69"/>
    <s v="not_filled"/>
    <m/>
    <m/>
    <m/>
    <m/>
    <m/>
    <m/>
    <m/>
    <n v="3"/>
    <s v="Mr.A.Sampanth Kum"/>
    <s v="Asst. GM-Pur"/>
    <m/>
    <s v="Annur Via, Avinashi"/>
    <s v="Forging Division Pillaippampalayam"/>
    <m/>
    <s v="Coimbatore"/>
    <n v="641653"/>
    <s v="TN"/>
    <s v="India"/>
    <n v="4"/>
    <n v="1"/>
    <n v="6"/>
    <n v="2"/>
    <s v="Sun"/>
    <m/>
  </r>
  <r>
    <n v="71"/>
    <s v="Precitherm (Do All Engg )"/>
    <x v="70"/>
    <n v="73"/>
    <s v="3.4J"/>
    <m/>
    <m/>
    <m/>
    <m/>
    <m/>
    <m/>
    <n v="3"/>
    <s v="Vaibhav A Yadav"/>
    <m/>
    <s v="0831 2441213"/>
    <s v="Udyambag"/>
    <s v="D-90 Industrial Estate"/>
    <m/>
    <s v="Belgaum"/>
    <n v="590008"/>
    <s v="KA"/>
    <s v="India"/>
    <n v="8"/>
    <n v="0"/>
    <n v="0"/>
    <n v="2"/>
    <s v="Sun"/>
    <m/>
  </r>
  <r>
    <n v="72"/>
    <s v="Sharp Industries"/>
    <x v="71"/>
    <s v="TIS004"/>
    <s v="TIS150"/>
    <m/>
    <d v="2008-02-27T00:00:00"/>
    <m/>
    <m/>
    <m/>
    <m/>
    <n v="3"/>
    <s v="Mr.Nitin Gupta"/>
    <s v="CEO"/>
    <s v="0124-2341553"/>
    <s v="Maruti Ind. Complex"/>
    <s v="Plot No 32 HSIDC"/>
    <s v="Sector-18"/>
    <s v="Gurgaon"/>
    <n v="122015"/>
    <s v="HR"/>
    <s v="India"/>
    <n v="1"/>
    <n v="1"/>
    <n v="1"/>
    <n v="1"/>
    <s v="Sun"/>
    <m/>
  </r>
  <r>
    <n v="73"/>
    <s v="Mindarika (P) Ltd"/>
    <x v="72"/>
    <n v="86"/>
    <s v="3.4J"/>
    <m/>
    <m/>
    <m/>
    <m/>
    <d v="2022-01-12T00:00:00"/>
    <d v="2023-01-11T00:00:00"/>
    <n v="3"/>
    <s v="Mr.Abhishek Jain"/>
    <s v="Manager QA"/>
    <m/>
    <s v="Sikandarpur-Badha"/>
    <s v="Navada Village, Fathepur P.O.,"/>
    <m/>
    <s v="Gurgaon"/>
    <n v="122001"/>
    <s v="HR"/>
    <s v="India"/>
    <n v="1"/>
    <n v="1"/>
    <n v="1"/>
    <n v="1"/>
    <s v="Sun"/>
    <m/>
  </r>
  <r>
    <n v="74"/>
    <s v="AeroMech Technologies (P) Ltd"/>
    <x v="73"/>
    <n v="85"/>
    <s v="2015J CX"/>
    <m/>
    <m/>
    <m/>
    <m/>
    <m/>
    <m/>
    <n v="3"/>
    <s v="Mr.Sridhar V Raju"/>
    <s v="Director"/>
    <s v="080 23455599"/>
    <s v="Lakshmipuram Main Rd,"/>
    <s v="#2 M.Geetha Bldg. G.N Ind Area,"/>
    <s v="Abbigere"/>
    <s v="Bangalore"/>
    <n v="560090"/>
    <s v="KA"/>
    <s v="India"/>
    <n v="8"/>
    <n v="0"/>
    <n v="5"/>
    <n v="1"/>
    <s v="Sun"/>
    <m/>
  </r>
  <r>
    <n v="75"/>
    <s v="Kesaria Rubber Industries (P) Ltd"/>
    <x v="74"/>
    <n v="89"/>
    <s v="V3.4J"/>
    <m/>
    <m/>
    <m/>
    <m/>
    <d v="2021-11-01T00:00:00"/>
    <d v="2022-10-31T00:00:00"/>
    <n v="3"/>
    <s v="Mr.Amith Jain"/>
    <s v="Director"/>
    <s v="0124-2307503"/>
    <s v="VPO Bhada Kalan,"/>
    <s v="57/58 Milestone Binola Industrial Area"/>
    <s v="NH8"/>
    <s v="Gurgaon"/>
    <n v="122413"/>
    <s v="HR"/>
    <s v="India"/>
    <n v="1"/>
    <n v="1"/>
    <n v="1"/>
    <n v="1"/>
    <s v="Sun"/>
    <m/>
  </r>
  <r>
    <n v="76"/>
    <s v="Best Tooling"/>
    <x v="75"/>
    <n v="83"/>
    <s v="3.4J CX"/>
    <m/>
    <d v="2003-03-29T00:00:00"/>
    <m/>
    <m/>
    <m/>
    <m/>
    <n v="3"/>
    <s v="Mr.Zawahar"/>
    <s v="C.E.O."/>
    <s v="0422-2"/>
    <s v="Ganapathy"/>
    <s v="15A / 2, FCI Road Bharathi Nagar"/>
    <m/>
    <s v="Coimbatore"/>
    <n v="641006"/>
    <s v="TN"/>
    <s v="India"/>
    <n v="4"/>
    <n v="1"/>
    <n v="6"/>
    <n v="1"/>
    <s v="Sun"/>
    <m/>
  </r>
  <r>
    <n v="77"/>
    <s v="Havells india Ltd."/>
    <x v="76"/>
    <n v="94"/>
    <s v="4020J CX"/>
    <m/>
    <m/>
    <m/>
    <m/>
    <d v="2021-08-01T00:00:00"/>
    <d v="2022-03-31T00:00:00"/>
    <n v="3"/>
    <s v="Mr. Amit Mathur"/>
    <s v="GM"/>
    <s v="0120-2377777"/>
    <s v="Mathura Road"/>
    <s v="14 / 3 Unit-Faridabad IP"/>
    <m/>
    <s v="Faridabad"/>
    <n v="121003"/>
    <s v="HR"/>
    <s v="India"/>
    <n v="1"/>
    <n v="1"/>
    <n v="6"/>
    <n v="1"/>
    <s v="Sun"/>
    <m/>
  </r>
  <r>
    <n v="78"/>
    <s v="Sun Casting"/>
    <x v="77"/>
    <n v="88"/>
    <s v="2015J CX"/>
    <m/>
    <m/>
    <m/>
    <m/>
    <m/>
    <m/>
    <n v="3"/>
    <s v="Mr. Manjunath Samp"/>
    <s v="C.E.O."/>
    <s v="080-26662001"/>
    <s v="Kanakapura Road"/>
    <s v="41, JC Ind. Estate Yelachenahalli"/>
    <m/>
    <s v="Bangalore"/>
    <n v="560062"/>
    <s v="KA"/>
    <s v="India"/>
    <n v="8"/>
    <n v="0"/>
    <n v="2"/>
    <n v="3"/>
    <s v="Sun"/>
    <m/>
  </r>
  <r>
    <n v="79"/>
    <s v="Nutech Sintered Products (P) Ltd."/>
    <x v="78"/>
    <n v="96"/>
    <s v="2015J CX"/>
    <m/>
    <m/>
    <m/>
    <m/>
    <d v="2021-12-08T00:00:00"/>
    <d v="2022-12-07T00:00:00"/>
    <n v="3"/>
    <s v="Mr.Kishor Patel"/>
    <s v="MD"/>
    <s v="02525-255107"/>
    <s v="Near Katha Factory"/>
    <s v="3 &amp; 4, New Veoor Ind.Estat"/>
    <s v="Veoor village, P"/>
    <s v="Thane"/>
    <n v="401404"/>
    <s v="MH"/>
    <s v="India"/>
    <n v="2"/>
    <n v="2"/>
    <n v="2"/>
    <n v="2"/>
    <s v="Sun"/>
    <m/>
  </r>
  <r>
    <n v="80"/>
    <s v="First Engg Plastics (I) (P) Ltd"/>
    <x v="79"/>
    <n v="100"/>
    <s v="3.4J"/>
    <m/>
    <d v="2008-06-09T00:00:00"/>
    <m/>
    <m/>
    <m/>
    <m/>
    <n v="3"/>
    <s v="Mr.Nagarajan.A"/>
    <s v="Design Manager"/>
    <s v="044-47112000"/>
    <s v="Industrial Park"/>
    <s v="Plot No.B72 SIPCOT"/>
    <s v="Irungattukottai"/>
    <s v="Sriperumbudur"/>
    <n v="602105"/>
    <s v="TN"/>
    <s v="India"/>
    <n v="4"/>
    <n v="0"/>
    <n v="3"/>
    <n v="1"/>
    <s v="Sun"/>
    <m/>
  </r>
  <r>
    <n v="81"/>
    <s v="Terminal Technologies P Ltd"/>
    <x v="80"/>
    <n v="92"/>
    <s v="2015J CX"/>
    <m/>
    <d v="2008-06-12T00:00:00"/>
    <m/>
    <m/>
    <d v="2021-12-05T00:00:00"/>
    <d v="2022-12-04T00:00:00"/>
    <n v="3"/>
    <s v="Mr. C. A. Anto"/>
    <s v="Director"/>
    <s v="0250-2456253"/>
    <s v="Merchant Industrial Com"/>
    <s v="Bldg.No.3 Terminal House"/>
    <s v="Valiv, Vasai (E)"/>
    <s v="Thane"/>
    <n v="401202"/>
    <s v="MH"/>
    <s v="India"/>
    <n v="2"/>
    <n v="2"/>
    <n v="2"/>
    <n v="2"/>
    <s v="Sun"/>
    <m/>
  </r>
  <r>
    <n v="82"/>
    <s v="Terminal Technologies P Ltd"/>
    <x v="81"/>
    <n v="93"/>
    <s v="2015J CX"/>
    <m/>
    <d v="2008-06-12T00:00:00"/>
    <m/>
    <m/>
    <d v="2021-12-05T00:00:00"/>
    <d v="2022-12-04T00:00:00"/>
    <n v="3"/>
    <s v="Mr. Prashanth"/>
    <s v="Plant Manager"/>
    <m/>
    <s v="Nanekarwadi"/>
    <s v="Bldg. No.1 Gut No.312/2"/>
    <s v="Chakan Khed"/>
    <s v="Pune"/>
    <n v="410501"/>
    <s v="MH"/>
    <s v="India"/>
    <n v="2"/>
    <n v="4"/>
    <n v="2"/>
    <n v="1"/>
    <s v="Thu"/>
    <m/>
  </r>
  <r>
    <n v="83"/>
    <s v="SSF Plastics India Pvt Ltd"/>
    <x v="14"/>
    <n v="210"/>
    <s v="2015J LX"/>
    <m/>
    <m/>
    <m/>
    <m/>
    <d v="2021-07-01T00:00:00"/>
    <d v="2022-06-30T00:00:00"/>
    <n v="3"/>
    <s v="Mr. Krishnamurthy B"/>
    <s v="Manager QA"/>
    <s v="04344-277084"/>
    <m/>
    <s v="Sub Division Plot N Sipcot Industrial Complex"/>
    <m/>
    <s v="Hosur"/>
    <n v="635126"/>
    <s v="TN"/>
    <s v="India"/>
    <n v="8"/>
    <n v="0"/>
    <n v="1"/>
    <n v="3"/>
    <s v="Sun"/>
    <m/>
  </r>
  <r>
    <n v="84"/>
    <s v="Rockman Industries Ltd (Sargam Diecastings P Ltd)"/>
    <x v="82"/>
    <n v="105"/>
    <s v="4020J LX"/>
    <m/>
    <d v="2008-07-26T00:00:00"/>
    <m/>
    <m/>
    <d v="2023-11-01T00:00:00"/>
    <d v="2024-10-31T00:00:00"/>
    <n v="3"/>
    <s v="Mr. N. Saravanan"/>
    <s v="(M QA)"/>
    <s v="044-42213333,"/>
    <s v="Thoraipakkam"/>
    <s v="3/139 OldMahabalipuram R"/>
    <m/>
    <s v="Chennai"/>
    <n v="600096"/>
    <s v="TN"/>
    <s v="India"/>
    <n v="4"/>
    <n v="0"/>
    <n v="3"/>
    <n v="1"/>
    <s v="Sun"/>
    <m/>
  </r>
  <r>
    <n v="85"/>
    <s v="Leggett &amp; Platt Automotive (I) Pvt Ltd (L&amp;P Somappa Comfort Sys I P Ltd)"/>
    <x v="83"/>
    <n v="91"/>
    <s v="3.4J"/>
    <m/>
    <m/>
    <m/>
    <m/>
    <d v="2022-01-03T00:00:00"/>
    <d v="2022-12-31T00:00:00"/>
    <n v="3"/>
    <s v="Mr. L. Madanagopal"/>
    <s v="(SM-O)"/>
    <s v="044 - 27699816"/>
    <s v="Perambakkam PO"/>
    <s v="139 Karanai Village"/>
    <m/>
    <s v="Tiruvallur"/>
    <n v="631402"/>
    <s v="TN"/>
    <s v="India"/>
    <n v="4"/>
    <n v="0"/>
    <n v="4"/>
    <n v="3"/>
    <s v="Sun"/>
    <m/>
  </r>
  <r>
    <n v="86"/>
    <s v="Souriau India P Ltd."/>
    <x v="84"/>
    <n v="106"/>
    <s v="4020J CX"/>
    <m/>
    <d v="2008-08-13T00:00:00"/>
    <m/>
    <m/>
    <d v="2024-01-10T00:00:00"/>
    <d v="2025-01-09T00:00:00"/>
    <n v="3"/>
    <s v="Mr. K. Boopalan"/>
    <s v="(SE-Q)"/>
    <s v="0422-2530914"/>
    <s v="Malumachampatti"/>
    <s v="1/5 16B Vadakuthottam Salai"/>
    <m/>
    <s v="Coimbatore"/>
    <n v="641050"/>
    <s v="TN"/>
    <s v="India"/>
    <n v="4"/>
    <n v="1"/>
    <n v="3"/>
    <n v="1"/>
    <s v="Sun"/>
    <m/>
  </r>
  <r>
    <n v="87"/>
    <s v="Patco Precision Components P Ltd"/>
    <x v="85"/>
    <n v="97"/>
    <s v="3.4J CX"/>
    <m/>
    <m/>
    <m/>
    <m/>
    <d v="2022-02-23T00:00:00"/>
    <d v="2023-02-22T00:00:00"/>
    <n v="3"/>
    <s v="Mr. R.D. Patil"/>
    <m/>
    <s v="0253 6601764"/>
    <s v="Ambad"/>
    <s v="A 25 MIDC"/>
    <m/>
    <s v="Nashik"/>
    <n v="422010"/>
    <s v="MH"/>
    <s v="India"/>
    <n v="2"/>
    <n v="3"/>
    <n v="0"/>
    <n v="1"/>
    <s v="Sat "/>
    <m/>
  </r>
  <r>
    <n v="88"/>
    <s v="RR Precision (India) Pvt Ltd (RR Engg &amp; Export)"/>
    <x v="86"/>
    <n v="107"/>
    <s v="3.4J CX"/>
    <m/>
    <m/>
    <m/>
    <m/>
    <d v="2025-10-22T00:00:00"/>
    <d v="2026-10-21T00:00:00"/>
    <n v="3"/>
    <s v="Mr. Praveen Jayaraj"/>
    <m/>
    <s v="08512-41313607"/>
    <s v="Tamka"/>
    <s v="No. 25 Tamka Industrial Esta"/>
    <m/>
    <s v="Kolar"/>
    <n v="563101"/>
    <s v="KA"/>
    <s v="India"/>
    <n v="8"/>
    <n v="0"/>
    <n v="8"/>
    <n v="2"/>
    <s v="Sun"/>
    <m/>
  </r>
  <r>
    <n v="89"/>
    <s v="Delphi TVS Diesel Systems Ltd."/>
    <x v="87"/>
    <n v="102"/>
    <s v="2015J CX"/>
    <m/>
    <m/>
    <m/>
    <m/>
    <d v="2022-02-26T00:00:00"/>
    <d v="2023-02-25T00:00:00"/>
    <n v="3"/>
    <s v="Mr.S.S.Balasubraman"/>
    <s v="(AGM QA)"/>
    <s v="044-27659222"/>
    <m/>
    <s v="Mannur Koottu Roa Thodukadu (Post)"/>
    <m/>
    <s v="Sriperumbudur"/>
    <n v="602105"/>
    <s v="TN"/>
    <s v="India"/>
    <n v="4"/>
    <n v="0"/>
    <n v="3"/>
    <n v="1"/>
    <s v="Sun"/>
    <m/>
  </r>
  <r>
    <n v="90"/>
    <s v="Supreme Automech I P Ltd"/>
    <x v="88"/>
    <n v="145"/>
    <n v="2015"/>
    <m/>
    <m/>
    <m/>
    <m/>
    <m/>
    <m/>
    <n v="3"/>
    <s v="Mr. S. Sundarapandia"/>
    <s v="(Mgr-QA)"/>
    <s v="0413 - 2660933"/>
    <s v="Mangalam,"/>
    <s v="R.S No. 74/2B Madukkarai Main Ro"/>
    <s v="Villianur Comm"/>
    <s v="Pondicherry"/>
    <n v="605110"/>
    <s v="TN"/>
    <s v="India"/>
    <n v="4"/>
    <n v="0"/>
    <n v="1"/>
    <n v="3"/>
    <s v="Sun"/>
    <m/>
  </r>
  <r>
    <n v="91"/>
    <s v="CNC Engravers"/>
    <x v="89"/>
    <n v="108"/>
    <s v="3.4J CX"/>
    <m/>
    <d v="2008-10-07T00:00:00"/>
    <m/>
    <m/>
    <m/>
    <m/>
    <n v="3"/>
    <s v="Mr. Praveen Harti"/>
    <m/>
    <s v="020-26456085"/>
    <s v="45/2,"/>
    <s v="No 12, Kumar Inds Estate"/>
    <s v="Shankarshet Ro"/>
    <s v="Pune"/>
    <n v="411037"/>
    <s v="MH"/>
    <s v="India"/>
    <n v="2"/>
    <n v="4"/>
    <n v="4"/>
    <n v="1"/>
    <s v="Thu"/>
    <m/>
  </r>
  <r>
    <n v="92"/>
    <s v="BVGK Engg P Ltd"/>
    <x v="90"/>
    <s v="not_filled"/>
    <m/>
    <m/>
    <m/>
    <m/>
    <m/>
    <m/>
    <m/>
    <n v="3"/>
    <s v="Mr. S. Krishnamurthy"/>
    <s v="(GM -O)"/>
    <s v="044-43108494"/>
    <s v="Ambattur"/>
    <s v="SP-25, 26&amp;27, XVII phase,"/>
    <s v="Industrial Estate"/>
    <s v="Chennai"/>
    <n v="600058"/>
    <s v="TN"/>
    <s v="India"/>
    <n v="4"/>
    <n v="0"/>
    <n v="4"/>
    <n v="1"/>
    <s v="Sun"/>
    <m/>
  </r>
  <r>
    <n v="93"/>
    <s v="GE Renewabla Energy Technologies Pvt Ltd (GE India Tech Centre)"/>
    <x v="91"/>
    <n v="109"/>
    <s v="2015J CX"/>
    <m/>
    <m/>
    <m/>
    <m/>
    <d v="2021-07-07T00:00:00"/>
    <d v="2022-07-06T00:00:00"/>
    <n v="3"/>
    <s v="Mr. Girish Shastry"/>
    <m/>
    <s v="080- 40121135"/>
    <s v="Phase 2, Hoodi Village,"/>
    <s v="Plot No.122 Exp Promotion Indsl"/>
    <s v="White Field"/>
    <s v="Bangalore"/>
    <n v="560066"/>
    <s v="KA"/>
    <s v="India"/>
    <n v="8"/>
    <n v="0"/>
    <n v="8"/>
    <n v="1"/>
    <s v="Sun"/>
    <m/>
  </r>
  <r>
    <n v="94"/>
    <s v="Reliance Diamond Tools"/>
    <x v="92"/>
    <n v="113"/>
    <s v="V2015"/>
    <m/>
    <m/>
    <m/>
    <m/>
    <d v="2020-03-04T00:00:00"/>
    <d v="2021-03-03T00:00:00"/>
    <n v="3"/>
    <s v="Mr. R. Venkataraman"/>
    <m/>
    <s v="044-25587523"/>
    <s v="Main Street"/>
    <s v="4A, Venkatesan nagar,"/>
    <s v="Sembiam"/>
    <s v="Chennai"/>
    <n v="600011"/>
    <s v="TN"/>
    <s v="India"/>
    <n v="4"/>
    <n v="0"/>
    <n v="4"/>
    <n v="1"/>
    <s v="Sun"/>
    <m/>
  </r>
  <r>
    <n v="95"/>
    <s v="Sesha Tools Pvt Ltd"/>
    <x v="0"/>
    <n v="202"/>
    <s v="4020J LX"/>
    <m/>
    <m/>
    <m/>
    <m/>
    <d v="2021-06-01T00:00:00"/>
    <d v="2022-05-31T00:00:00"/>
    <n v="3"/>
    <s v="Mr.Sridhar"/>
    <s v="Proprietor"/>
    <s v="080-26686505"/>
    <s v="N.S.Palya,"/>
    <s v="45/2,19th Cross, 9th Main"/>
    <s v="BTM II Stage"/>
    <s v="Bangalore"/>
    <n v="560076"/>
    <s v="KA"/>
    <s v="India"/>
    <n v="8"/>
    <n v="0"/>
    <n v="3"/>
    <n v="1"/>
    <s v="Sun"/>
    <m/>
  </r>
  <r>
    <n v="96"/>
    <s v="Sesha Tools Pvt Ltd"/>
    <x v="0"/>
    <s v="TIS003"/>
    <s v="TIS2015"/>
    <m/>
    <m/>
    <m/>
    <m/>
    <m/>
    <m/>
    <n v="3"/>
    <s v="Mr.Sridhar"/>
    <s v="Proprietor"/>
    <s v="080-26686505"/>
    <s v="N.S.Palya,"/>
    <s v="45/2,19th Cross, 9th Main"/>
    <s v="BTM II Stage"/>
    <s v="Bangalore"/>
    <n v="560076"/>
    <s v="KA"/>
    <s v="India"/>
    <n v="8"/>
    <n v="0"/>
    <n v="3"/>
    <n v="1"/>
    <s v="Sun"/>
    <m/>
  </r>
  <r>
    <n v="97"/>
    <s v="Anand Testing Machine Services"/>
    <x v="93"/>
    <n v="103"/>
    <s v="2015J CX"/>
    <m/>
    <d v="2008-12-02T00:00:00"/>
    <m/>
    <m/>
    <m/>
    <m/>
    <n v="3"/>
    <s v="Mr. S.V. Anandache"/>
    <m/>
    <s v="2422457, 3351,"/>
    <s v="Ichalkaranji"/>
    <s v="55A Yashwant Colony"/>
    <m/>
    <s v="Kolhapur"/>
    <n v="416115"/>
    <s v="MH"/>
    <s v="India"/>
    <n v="8"/>
    <n v="0"/>
    <n v="0"/>
    <n v="4"/>
    <s v="Sun"/>
    <m/>
  </r>
  <r>
    <n v="98"/>
    <s v="Goodrich Aerospace Services P Ltd"/>
    <x v="94"/>
    <n v="120"/>
    <s v="4020J CX"/>
    <m/>
    <d v="2008-12-31T00:00:00"/>
    <m/>
    <m/>
    <d v="2021-12-28T00:00:00"/>
    <d v="2022-12-27T00:00:00"/>
    <n v="3"/>
    <s v="Mr. Guruprasad"/>
    <m/>
    <s v="080- 66165501"/>
    <s v="Rajapalya"/>
    <s v="#135/2 Maruthi Industrial Ar"/>
    <s v="ITPL Rd"/>
    <s v="Bangalore"/>
    <n v="560048"/>
    <s v="KA"/>
    <s v="India"/>
    <n v="8"/>
    <n v="0"/>
    <n v="7"/>
    <n v="1"/>
    <s v="Sun"/>
    <m/>
  </r>
  <r>
    <n v="99"/>
    <s v="Prisms India P Ltd"/>
    <x v="95"/>
    <n v="117"/>
    <s v="4020J LX"/>
    <m/>
    <m/>
    <m/>
    <m/>
    <m/>
    <m/>
    <n v="3"/>
    <s v="Mr. V.Jayaram"/>
    <m/>
    <s v="0413 - 2277059"/>
    <s v="Industrial Estate"/>
    <s v="C-92 PIPDIC"/>
    <s v="Mettupalayam"/>
    <s v="Pondicherry"/>
    <n v="605009"/>
    <s v="TN"/>
    <s v="India"/>
    <n v="4"/>
    <n v="0"/>
    <n v="1"/>
    <n v="3"/>
    <s v="Sun"/>
    <m/>
  </r>
  <r>
    <n v="100"/>
    <s v="Toyota Kirloskar Auto Parts P Ltd"/>
    <x v="96"/>
    <s v="not_filled"/>
    <m/>
    <m/>
    <m/>
    <m/>
    <m/>
    <m/>
    <m/>
    <n v="3"/>
    <s v="Mr. Ajay Kumar"/>
    <m/>
    <s v="08027287141/143"/>
    <s v="Bidadi"/>
    <s v="#21 Bidadi Indstrl Area"/>
    <m/>
    <s v="Bangalore"/>
    <n v="562109"/>
    <s v="KA"/>
    <s v="India"/>
    <n v="8"/>
    <n v="0"/>
    <n v="3"/>
    <n v="2"/>
    <s v="Sun"/>
    <m/>
  </r>
  <r>
    <n v="101"/>
    <s v="Besmak Components P Ltd"/>
    <x v="97"/>
    <n v="119"/>
    <s v="2015J CX"/>
    <m/>
    <m/>
    <m/>
    <m/>
    <d v="2024-07-09T00:00:00"/>
    <d v="2025-07-08T00:00:00"/>
    <n v="3"/>
    <s v="Mr. V. Nagarajan"/>
    <m/>
    <s v="044-26802210"/>
    <s v="Poonamalle MnRoad,"/>
    <s v="No.241, Avadi, Kaduvetti,"/>
    <s v="Veeraraghavapu"/>
    <s v="Chennai"/>
    <n v="600077"/>
    <s v="TN"/>
    <s v="India"/>
    <n v="4"/>
    <n v="0"/>
    <n v="4"/>
    <n v="2"/>
    <s v="Sun"/>
    <m/>
  </r>
  <r>
    <n v="102"/>
    <s v="Bhumi Brass and Alloy"/>
    <x v="98"/>
    <n v="115"/>
    <s v="2015J LX"/>
    <m/>
    <m/>
    <m/>
    <m/>
    <d v="2020-01-20T00:00:00"/>
    <d v="2021-01-19T00:00:00"/>
    <n v="3"/>
    <s v="Mr. Tushar"/>
    <m/>
    <s v="0288-2730269"/>
    <s v="Dared"/>
    <s v="G.I.D.C. Phase - II,"/>
    <m/>
    <s v="Jamnagar"/>
    <n v="361004"/>
    <s v="GJ"/>
    <s v="India"/>
    <n v="5"/>
    <n v="4"/>
    <n v="0"/>
    <n v="1"/>
    <s v="Fri"/>
    <m/>
  </r>
  <r>
    <n v="103"/>
    <s v="Quality Needles (P) Ltd"/>
    <x v="25"/>
    <n v="123"/>
    <s v="3.4M"/>
    <m/>
    <d v="2011-06-10T00:00:00"/>
    <m/>
    <m/>
    <m/>
    <m/>
    <n v="3"/>
    <s v="Mr. Dilber Singh Bisht"/>
    <m/>
    <s v="0120-2581002"/>
    <m/>
    <s v="A-8, Sector 57,"/>
    <m/>
    <s v="Noida"/>
    <n v="201307"/>
    <s v="UP"/>
    <s v="India"/>
    <n v="1"/>
    <n v="1"/>
    <n v="5"/>
    <n v="1"/>
    <s v="Sun"/>
    <m/>
  </r>
  <r>
    <n v="104"/>
    <s v="West Pharmaceutical Services Singapore Pte Ltd"/>
    <x v="99"/>
    <n v="122"/>
    <s v="2015J LX"/>
    <m/>
    <m/>
    <m/>
    <m/>
    <d v="2017-08-19T00:00:00"/>
    <d v="2018-08-18T00:00:00"/>
    <n v="3"/>
    <m/>
    <m/>
    <n v="6568623400"/>
    <m/>
    <s v="#15 Joo Koon Circle "/>
    <m/>
    <m/>
    <n v="629046"/>
    <s v="OC"/>
    <s v="Singapore"/>
    <n v="0"/>
    <n v="0"/>
    <n v="0"/>
    <n v="0"/>
    <n v="0"/>
    <m/>
  </r>
  <r>
    <n v="105"/>
    <s v="Precihole Machine Tools Pvt. Ltd."/>
    <x v="100"/>
    <n v="921"/>
    <s v="4020J LX"/>
    <m/>
    <d v="2021-08-24T00:00:00"/>
    <m/>
    <m/>
    <d v="2021-08-24T00:00:00"/>
    <d v="2022-08-23T00:00:00"/>
    <n v="3"/>
    <s v="Mr.Prashant Shinde"/>
    <m/>
    <n v="9167620638"/>
    <s v="Ranjnoli, Behaind Balaji Motors"/>
    <s v="524-Group GramPanchayat Pimpalghar, Bhoomi Industrial Estate"/>
    <s v=" Bhiwandi Kalyan Road"/>
    <s v="Kalyan"/>
    <n v="421311"/>
    <s v="MH"/>
    <s v="India"/>
    <n v="2"/>
    <n v="2"/>
    <n v="2"/>
    <n v="4"/>
    <s v="Sun"/>
    <m/>
  </r>
  <r>
    <n v="106"/>
    <s v="Chakradhara Aerospace &amp; Cargo Pvt Ltd"/>
    <x v="101"/>
    <n v="721"/>
    <s v="4020J LX"/>
    <m/>
    <m/>
    <m/>
    <m/>
    <d v="2025-10-10T00:00:00"/>
    <d v="2026-10-09T00:00:00"/>
    <n v="3"/>
    <s v="Mr. Saravana Sridhar"/>
    <s v="(SM-QMS)"/>
    <s v="0422-2666151"/>
    <s v="Kalapatti"/>
    <s v="#20 SITRA - Kalapatti Roa"/>
    <m/>
    <s v="Coimbatore"/>
    <n v="641035"/>
    <s v="TN"/>
    <s v="India"/>
    <n v="4"/>
    <n v="1"/>
    <n v="1"/>
    <n v="1"/>
    <s v="Sun"/>
    <m/>
  </r>
  <r>
    <n v="107"/>
    <s v="Optics &amp; Allied Engg Pvt Ltd"/>
    <x v="102"/>
    <n v="118"/>
    <s v="4020J LX"/>
    <m/>
    <m/>
    <m/>
    <m/>
    <m/>
    <m/>
    <n v="3"/>
    <s v="Mr. Prasad"/>
    <m/>
    <s v="41163153/32911329"/>
    <m/>
    <s v="ITI Industrial Estate Mahadevapura"/>
    <m/>
    <s v="Bangalore"/>
    <n v="560000"/>
    <s v="KA"/>
    <s v="India"/>
    <n v="8"/>
    <n v="0"/>
    <n v="8"/>
    <n v="1"/>
    <s v="Sun"/>
    <m/>
  </r>
  <r>
    <n v="108"/>
    <s v="PT. Tradisi Manufacturing Industry"/>
    <x v="103"/>
    <n v="171"/>
    <s v="2015JLX"/>
    <m/>
    <m/>
    <m/>
    <m/>
    <m/>
    <m/>
    <n v="3"/>
    <m/>
    <m/>
    <s v="+622189114065"/>
    <s v="Karawang"/>
    <s v="L. Permata Raya Lo Kawasan Industri KIIC"/>
    <m/>
    <s v="Jawa Barat"/>
    <n v="41361"/>
    <s v="OC"/>
    <s v="Indonesia"/>
    <n v="0"/>
    <n v="0"/>
    <n v="0"/>
    <n v="0"/>
    <n v="0"/>
    <m/>
  </r>
  <r>
    <n v="109"/>
    <s v="Amritha Tool Crafts Pvt. Ltd."/>
    <x v="104"/>
    <n v="126"/>
    <s v="4020J LX"/>
    <m/>
    <m/>
    <m/>
    <m/>
    <d v="2021-07-01T00:00:00"/>
    <d v="2022-06-30T00:00:00"/>
    <n v="3"/>
    <s v="Mr. Sajeed E.A"/>
    <s v="(C.E.O)"/>
    <s v="040-27260813"/>
    <s v="Cheralapally"/>
    <s v="PlotNo.203/9, Phase II. IDA,"/>
    <m/>
    <s v="Hyderabad"/>
    <n v="500051"/>
    <s v="AP"/>
    <s v="India"/>
    <n v="6"/>
    <n v="0"/>
    <n v="2"/>
    <n v="1"/>
    <s v="Sun"/>
    <m/>
  </r>
  <r>
    <n v="110"/>
    <s v="Craftsman Automation Ltd"/>
    <x v="105"/>
    <n v="125"/>
    <s v="2015J LX"/>
    <m/>
    <m/>
    <m/>
    <m/>
    <d v="2024-04-23T00:00:00"/>
    <d v="2025-04-22T00:00:00"/>
    <n v="3"/>
    <s v="MrA. Natarajan"/>
    <s v="(M-QA)"/>
    <s v="0422-3051000"/>
    <s v="Arasur Post"/>
    <s v="123/4 Sengothipalayam Roa"/>
    <m/>
    <s v="Coimbatore"/>
    <n v="641407"/>
    <s v="TN"/>
    <s v="India"/>
    <n v="4"/>
    <n v="1"/>
    <n v="1"/>
    <n v="1"/>
    <s v="Sun"/>
    <m/>
  </r>
  <r>
    <n v="111"/>
    <s v="GESCO Healthcare Pvt Ltd (General Surgical Company (I) PVT. Ltd)"/>
    <x v="106"/>
    <n v="131"/>
    <s v="2015J LX"/>
    <m/>
    <m/>
    <m/>
    <m/>
    <d v="2024-02-28T00:00:00"/>
    <d v="2025-02-27T00:00:00"/>
    <n v="3"/>
    <s v="Mr. Samuel W. George"/>
    <m/>
    <s v="044-28360602"/>
    <s v="114,"/>
    <s v="G-6, Gee Gee Crescent"/>
    <s v="Poonamallee Hi"/>
    <s v="Chennai"/>
    <n v="600084"/>
    <s v="TN"/>
    <s v="India"/>
    <n v="4"/>
    <n v="0"/>
    <n v="3"/>
    <n v="2"/>
    <s v="Sun"/>
    <m/>
  </r>
  <r>
    <n v="112"/>
    <s v="Rams Engg Industries"/>
    <x v="107"/>
    <n v="129"/>
    <s v="2015J LX"/>
    <m/>
    <m/>
    <m/>
    <m/>
    <d v="2021-10-21T00:00:00"/>
    <d v="2022-10-20T00:00:00"/>
    <n v="3"/>
    <s v="Mr.Pradeep Ramakris"/>
    <s v="MD"/>
    <s v="044-26246523"/>
    <s v="Ambattur"/>
    <s v="25/A/1/5 SIDCO Indl Estate"/>
    <m/>
    <s v="Chennai"/>
    <n v="600098"/>
    <s v="TN"/>
    <s v="India"/>
    <n v="4"/>
    <n v="0"/>
    <n v="4"/>
    <n v="1"/>
    <s v="Sun"/>
    <m/>
  </r>
  <r>
    <n v="113"/>
    <s v="Sunikh Precision P Ltd"/>
    <x v="108"/>
    <n v="127"/>
    <s v="2015J CX"/>
    <m/>
    <d v="2009-04-11T00:00:00"/>
    <m/>
    <m/>
    <m/>
    <m/>
    <n v="3"/>
    <s v="Mr. M. A. Khadar"/>
    <s v="MD"/>
    <s v="080-32901400"/>
    <s v="Electronics City,"/>
    <s v="No.14-P Phase-II"/>
    <s v="Hosur Road"/>
    <s v="Bangalore"/>
    <n v="560100"/>
    <s v="KA"/>
    <s v="India"/>
    <n v="8"/>
    <n v="0"/>
    <n v="1"/>
    <n v="3"/>
    <s v="Sun"/>
    <m/>
  </r>
  <r>
    <n v="114"/>
    <s v="Sunvision Technologies P Ltd"/>
    <x v="109"/>
    <n v="133"/>
    <s v="2015J LX"/>
    <m/>
    <m/>
    <m/>
    <m/>
    <m/>
    <m/>
    <n v="3"/>
    <s v="Mr. Ashish Potdar"/>
    <s v="Chairman"/>
    <s v="022-2879 3358"/>
    <s v="Tilak Nagar, Rd. 2,M.G. R"/>
    <s v="B 0 1/27, Shri Narayan Niwas,"/>
    <s v="Goregaon (W)"/>
    <s v="Mumbai"/>
    <n v="400062"/>
    <s v="MH"/>
    <s v="India"/>
    <n v="2"/>
    <n v="1"/>
    <n v="1"/>
    <n v="4"/>
    <s v="Sun"/>
    <m/>
  </r>
  <r>
    <n v="115"/>
    <s v="Savio India Ltd (Itema Spinning India Limited)"/>
    <x v="110"/>
    <n v="134"/>
    <s v="4020J LX"/>
    <m/>
    <m/>
    <m/>
    <m/>
    <d v="2021-10-27T00:00:00"/>
    <d v="2022-10-26T00:00:00"/>
    <n v="3"/>
    <s v="Mr. B.Mohan Gandhi"/>
    <s v="(M-QC)"/>
    <s v="04259-259959"/>
    <s v="Pollachi TK"/>
    <s v="Tamaraikulam P.O.,"/>
    <m/>
    <s v="Coimbatore"/>
    <n v="642109"/>
    <s v="TN"/>
    <s v="India"/>
    <n v="4"/>
    <n v="1"/>
    <n v="3"/>
    <n v="1"/>
    <s v="Sun"/>
    <m/>
  </r>
  <r>
    <n v="116"/>
    <s v="Trucut Tool Inc."/>
    <x v="111"/>
    <s v="TIS002"/>
    <s v="TIS2015"/>
    <m/>
    <m/>
    <m/>
    <m/>
    <m/>
    <m/>
    <n v="3"/>
    <s v="Mr.Zuzer. T Lokat"/>
    <m/>
    <s v="044-26350520"/>
    <s v="Vanagaram Road,"/>
    <s v="236/1, Nageshwara Rao,1stC"/>
    <s v="Athipet, Ambattur"/>
    <s v="Chennai"/>
    <n v="600058"/>
    <s v="TN"/>
    <s v="India"/>
    <n v="4"/>
    <n v="0"/>
    <n v="4"/>
    <n v="1"/>
    <s v="Sun"/>
    <m/>
  </r>
  <r>
    <n v="117"/>
    <s v="Protectron Electromech P Ltd"/>
    <x v="112"/>
    <n v="130"/>
    <s v="2015J LX"/>
    <m/>
    <m/>
    <m/>
    <m/>
    <d v="2021-12-15T00:00:00"/>
    <d v="2022-12-14T00:00:00"/>
    <n v="2"/>
    <s v="Mr. Sachin Ujalambkar"/>
    <m/>
    <s v="080-26766696"/>
    <s v="Brigade mm,"/>
    <s v="D-14 D-Block, New KR Roa"/>
    <s v="Jayanagar 7th b"/>
    <s v="Bangalore"/>
    <n v="560070"/>
    <s v="KA"/>
    <s v="India"/>
    <n v="8"/>
    <n v="0"/>
    <n v="3"/>
    <n v="1"/>
    <s v="Sun"/>
    <m/>
  </r>
  <r>
    <n v="118"/>
    <s v="Microfine Bushings P Ltd"/>
    <x v="113"/>
    <n v="114"/>
    <s v="2015J CX"/>
    <m/>
    <m/>
    <m/>
    <m/>
    <m/>
    <m/>
    <n v="3"/>
    <s v="Mr. Girish Venkatasu"/>
    <s v="(JMD)"/>
    <s v="044-26250432"/>
    <s v="Ambattur"/>
    <s v="107, Sidco Indl Estate"/>
    <m/>
    <s v="Chennai"/>
    <n v="600098"/>
    <s v="TN"/>
    <s v="India"/>
    <n v="4"/>
    <n v="0"/>
    <n v="4"/>
    <n v="1"/>
    <s v="Sun"/>
    <m/>
  </r>
  <r>
    <n v="119"/>
    <s v="Bhavani Industries"/>
    <x v="114"/>
    <n v="104"/>
    <s v="2015J LX"/>
    <m/>
    <m/>
    <m/>
    <m/>
    <d v="2021-09-05T00:00:00"/>
    <d v="2022-09-04T00:00:00"/>
    <n v="3"/>
    <s v="Mr. Chethan J Hegde"/>
    <m/>
    <s v="080 41107365"/>
    <s v="Phase 2(East)"/>
    <s v="Unit III, Plot.#8B Electronics City"/>
    <s v="Hosur Road"/>
    <s v="Bangalore"/>
    <n v="560100"/>
    <s v="KA"/>
    <s v="India"/>
    <n v="8"/>
    <n v="0"/>
    <n v="1"/>
    <n v="1"/>
    <s v="Sun"/>
    <m/>
  </r>
  <r>
    <n v="120"/>
    <s v="Rohit Industries group P Ltd"/>
    <x v="115"/>
    <n v="132"/>
    <s v="2015J LX"/>
    <m/>
    <m/>
    <m/>
    <m/>
    <d v="2021-07-01T00:00:00"/>
    <d v="2022-06-30T00:00:00"/>
    <n v="3"/>
    <s v="Mr. Aditya Duggal"/>
    <m/>
    <s v="01276-267253"/>
    <s v="Part A"/>
    <s v="655-656 M.I.E."/>
    <s v="Bahadurgh"/>
    <s v="Haryana"/>
    <n v="110015"/>
    <s v="HR"/>
    <s v="India"/>
    <n v="1"/>
    <n v="1"/>
    <n v="2"/>
    <n v="1"/>
    <s v="Sun"/>
    <m/>
  </r>
  <r>
    <n v="121"/>
    <s v="Piano Presitel"/>
    <x v="116"/>
    <n v="141"/>
    <s v="2015J LX"/>
    <m/>
    <m/>
    <m/>
    <m/>
    <d v="2021-06-17T00:00:00"/>
    <d v="2022-06-16T00:00:00"/>
    <n v="3"/>
    <s v="Mr. K.V. Balaramaiah"/>
    <m/>
    <s v="2819 2573 / 74"/>
    <s v="Goddev Road,"/>
    <s v="P.O.Box - 25 Dayasagar Indl Estate"/>
    <s v="Bhayandar East,"/>
    <s v="Mumbai"/>
    <n v="401105"/>
    <s v="MH"/>
    <s v="India"/>
    <n v="2"/>
    <n v="1"/>
    <n v="1"/>
    <n v="5"/>
    <s v="Sun"/>
    <m/>
  </r>
  <r>
    <n v="122"/>
    <s v="Newtech Filter India P Ltd"/>
    <x v="117"/>
    <n v="139"/>
    <s v="2015J CX"/>
    <m/>
    <m/>
    <m/>
    <m/>
    <d v="2021-10-23T00:00:00"/>
    <d v="2022-10-22T00:00:00"/>
    <n v="3"/>
    <m/>
    <m/>
    <m/>
    <s v="Sainimajra"/>
    <s v="Village Bairsen (Manjholi)"/>
    <s v="Tehsil: Nalagarh"/>
    <s v="Solan"/>
    <n v="174101"/>
    <s v="HP"/>
    <s v="India"/>
    <n v="1"/>
    <n v="3"/>
    <n v="1"/>
    <n v="3"/>
    <s v="Sun"/>
    <m/>
  </r>
  <r>
    <n v="123"/>
    <s v="Exa Thermometrics India P Ltd"/>
    <x v="118"/>
    <n v="138"/>
    <s v="2015J CX"/>
    <m/>
    <m/>
    <m/>
    <m/>
    <m/>
    <m/>
    <n v="3"/>
    <s v="Mr. Chetana"/>
    <m/>
    <s v="080-28520048"/>
    <s v="Electronics City"/>
    <s v="#85/A Unit II"/>
    <m/>
    <s v="Bangalore"/>
    <n v="560100"/>
    <s v="KA"/>
    <s v="India"/>
    <n v="8"/>
    <n v="0"/>
    <n v="1"/>
    <n v="1"/>
    <s v="Sun"/>
    <m/>
  </r>
  <r>
    <n v="124"/>
    <s v="Bhansali Precision (Bhansali Precision Components)"/>
    <x v="119"/>
    <s v="450 (136)"/>
    <s v="4020J LX"/>
    <m/>
    <m/>
    <m/>
    <m/>
    <d v="2021-06-15T00:00:00"/>
    <d v="2022-06-14T00:00:00"/>
    <n v="3"/>
    <s v="Mr. Mukesh Bhansali"/>
    <s v="Executive Direct"/>
    <s v="080-250- 6453811"/>
    <s v="Haji Ahmed Ayub Khan Compound"/>
    <s v="Gala No.8/9 Ground Floor"/>
    <s v="Vasai Phata, Vasai"/>
    <s v="Palghar"/>
    <n v="401208"/>
    <s v="MH"/>
    <s v="India"/>
    <n v="2"/>
    <n v="1"/>
    <n v="1"/>
    <n v="2"/>
    <s v="Sun"/>
    <m/>
  </r>
  <r>
    <n v="125"/>
    <s v="Smith Industrial Corporation Pvt Ltd"/>
    <x v="120"/>
    <n v="140"/>
    <s v="2015J CX"/>
    <m/>
    <m/>
    <m/>
    <m/>
    <d v="2021-11-19T00:00:00"/>
    <d v="2022-11-18T00:00:00"/>
    <n v="3"/>
    <s v="Mr. Parimal Pal"/>
    <s v="QA Manager"/>
    <s v="011-22144552"/>
    <s v="Patparganj"/>
    <s v="#147 F.I.E"/>
    <m/>
    <s v="Delhi"/>
    <n v="110092"/>
    <s v="DL"/>
    <s v="India"/>
    <n v="1"/>
    <n v="1"/>
    <n v="6"/>
    <n v="2"/>
    <s v="Sun"/>
    <m/>
  </r>
  <r>
    <n v="126"/>
    <s v="Master Moulds Pvt Ltd"/>
    <x v="121"/>
    <n v="146"/>
    <s v="4020J LX"/>
    <m/>
    <m/>
    <m/>
    <m/>
    <d v="2022-03-28T00:00:00"/>
    <d v="2023-03-27T00:00:00"/>
    <n v="3"/>
    <s v="Mr. M. C. Kulkarni"/>
    <s v="Director"/>
    <s v="0253 - 2381917"/>
    <s v="Ambad"/>
    <s v="D-1/4 MIDC"/>
    <m/>
    <s v="Nashik"/>
    <n v="422010"/>
    <s v="MH"/>
    <s v="India"/>
    <n v="2"/>
    <n v="3"/>
    <n v="0"/>
    <n v="1"/>
    <s v="Sat "/>
    <m/>
  </r>
  <r>
    <n v="127"/>
    <s v="Bosch Electrical Drives I P Ltd"/>
    <x v="122"/>
    <n v="149"/>
    <s v="4020J LX"/>
    <m/>
    <d v="2009-08-09T00:00:00"/>
    <m/>
    <m/>
    <d v="2022-03-10T00:00:00"/>
    <d v="2023-03-09T00:00:00"/>
    <n v="3"/>
    <s v="Mr. Sankaran Namboodiri"/>
    <m/>
    <s v="044-67410000"/>
    <s v="Karanaipudducheri village"/>
    <s v="2D Nelikuppam road,"/>
    <s v="Guduvancheri"/>
    <s v="Chennai"/>
    <n v="603202"/>
    <s v="TN"/>
    <s v="India"/>
    <n v="4"/>
    <n v="0"/>
    <n v="1"/>
    <n v="1"/>
    <s v="Sun"/>
    <m/>
  </r>
  <r>
    <n v="128"/>
    <s v="IP Rings Ltd (OCF Division)"/>
    <x v="123"/>
    <n v="142"/>
    <s v="2015J LX"/>
    <m/>
    <m/>
    <m/>
    <m/>
    <d v="2024-12-16T00:00:00"/>
    <d v="2025-12-15T00:00:00"/>
    <n v="3"/>
    <s v="Mr.Suresh"/>
    <m/>
    <s v="044-27452816"/>
    <s v="Maraimalai Nagar"/>
    <s v="D 11/12 Industrial Estate"/>
    <m/>
    <s v="Kanchipuram"/>
    <n v="603209"/>
    <s v="TN"/>
    <s v="India"/>
    <n v="4"/>
    <n v="0"/>
    <n v="3"/>
    <n v="1"/>
    <s v="Sun"/>
    <m/>
  </r>
  <r>
    <n v="129"/>
    <s v="Continental Automotive Components (I) P L"/>
    <x v="124"/>
    <n v="143"/>
    <s v="4020J CX"/>
    <m/>
    <m/>
    <m/>
    <m/>
    <m/>
    <m/>
    <n v="3"/>
    <s v="Mr.Krishna Kiran Nay"/>
    <s v="Standards Room"/>
    <s v="080- 66115893"/>
    <s v="Phase I"/>
    <s v="#53B Bommasandra Indl A"/>
    <s v="Hosur Road"/>
    <s v="Bangalore"/>
    <n v="560009"/>
    <s v="KA"/>
    <s v="India"/>
    <n v="8"/>
    <n v="0"/>
    <n v="1"/>
    <n v="3"/>
    <s v="Sun"/>
    <m/>
  </r>
  <r>
    <n v="130"/>
    <s v="Elgi Equipments Ltd"/>
    <x v="125"/>
    <n v="137"/>
    <s v="2015J LX"/>
    <m/>
    <m/>
    <m/>
    <m/>
    <d v="2019-04-23T00:00:00"/>
    <d v="2020-04-22T00:00:00"/>
    <n v="3"/>
    <s v="Mr.Murli Ramasamy"/>
    <m/>
    <s v="0422-2589555"/>
    <s v="Singanallur"/>
    <s v="# Trichy Road"/>
    <m/>
    <s v="Coimbatore"/>
    <n v="641005"/>
    <s v="TN"/>
    <s v="India"/>
    <n v="4"/>
    <n v="1"/>
    <n v="3"/>
    <n v="1"/>
    <s v="Sun"/>
    <m/>
  </r>
  <r>
    <n v="131"/>
    <s v="Right Industries (Numann Industries)"/>
    <x v="126"/>
    <n v="148"/>
    <s v="2015J LX"/>
    <m/>
    <m/>
    <m/>
    <m/>
    <d v="2021-12-09T00:00:00"/>
    <d v="2022-12-08T00:00:00"/>
    <n v="3"/>
    <m/>
    <m/>
    <m/>
    <s v="Rajeswari Layout"/>
    <s v="No.7    Techno Industrial Park"/>
    <s v="Zuzuwadi"/>
    <s v="Hosur"/>
    <n v="635126"/>
    <s v="TN"/>
    <s v="India"/>
    <n v="8"/>
    <n v="0"/>
    <n v="1"/>
    <n v="3"/>
    <s v="Sun"/>
    <m/>
  </r>
  <r>
    <n v="132"/>
    <s v="Ess Enn Auto CNC P Ltd"/>
    <x v="127"/>
    <n v="151"/>
    <s v="2015J LX"/>
    <m/>
    <m/>
    <m/>
    <m/>
    <d v="2022-03-11T00:00:00"/>
    <d v="2023-03-10T00:00:00"/>
    <n v="3"/>
    <s v="Mr.Anand Hosmane"/>
    <s v="MD"/>
    <s v="080- 23226272"/>
    <s v="III Stage"/>
    <s v="#82, II Main II Block,"/>
    <s v="Basaveshwaran"/>
    <s v="Bangalore"/>
    <n v="560079"/>
    <s v="KA"/>
    <s v="India"/>
    <n v="8"/>
    <n v="0"/>
    <n v="5"/>
    <n v="1"/>
    <s v="Sun"/>
    <m/>
  </r>
  <r>
    <n v="133"/>
    <s v="Samit Writing Alds P Ltd"/>
    <x v="128"/>
    <n v="144"/>
    <s v="2015J LX"/>
    <m/>
    <m/>
    <m/>
    <m/>
    <m/>
    <m/>
    <n v="3"/>
    <s v="Mr.Harshad Gandhi"/>
    <s v="Director"/>
    <s v="022-28755729"/>
    <s v="S.V.Road,"/>
    <s v="Gala no.23 7-Udyog Nagar"/>
    <s v="Goregoan(W)"/>
    <s v="Mumbai"/>
    <n v="400062"/>
    <s v="MH"/>
    <s v="India"/>
    <n v="2"/>
    <n v="1"/>
    <n v="1"/>
    <n v="4"/>
    <s v="Sun"/>
    <m/>
  </r>
  <r>
    <n v="134"/>
    <s v="Robert Bosch Engg &amp; Business Solns Ltd"/>
    <x v="129"/>
    <n v="147"/>
    <s v="2015J LX"/>
    <m/>
    <m/>
    <m/>
    <m/>
    <m/>
    <m/>
    <n v="3"/>
    <s v="Mr.Sudhir Sattigeri"/>
    <m/>
    <s v="080- 41916411"/>
    <s v="Hosur Road,"/>
    <s v="Gold Hill Sqare, No. 690,"/>
    <s v="Bommanahalli,"/>
    <s v="Bangalore"/>
    <n v="562068"/>
    <s v="KA"/>
    <s v="India"/>
    <n v="8"/>
    <n v="0"/>
    <n v="1"/>
    <n v="2"/>
    <s v="Sun"/>
    <m/>
  </r>
  <r>
    <n v="135"/>
    <s v="Micro Plastics"/>
    <x v="130"/>
    <n v="153"/>
    <s v="2015J LX"/>
    <m/>
    <m/>
    <m/>
    <m/>
    <d v="2021-10-25T00:00:00"/>
    <d v="2022-10-24T00:00:00"/>
    <n v="3"/>
    <s v="Mr.Johnson"/>
    <s v="Quality Manage"/>
    <s v="080-27825121/131"/>
    <s v="Jigani Industrial area"/>
    <s v="Plot No.112 Road No.4, Phase 2"/>
    <s v="Anekal Taluk"/>
    <s v="Bangalore"/>
    <n v="560106"/>
    <s v="KA"/>
    <s v="India"/>
    <n v="8"/>
    <n v="0"/>
    <n v="2"/>
    <n v="1"/>
    <s v="Sun"/>
    <m/>
  </r>
  <r>
    <n v="136"/>
    <s v="Tex Tech Industries (India) Pvt Ltd"/>
    <x v="131"/>
    <n v="155"/>
    <s v="4020J LX"/>
    <m/>
    <d v="2009-10-31T00:00:00"/>
    <m/>
    <m/>
    <m/>
    <m/>
    <n v="3"/>
    <s v="Mr.Malligarjunan.S"/>
    <s v="Managing Director"/>
    <s v="0422-2566667"/>
    <s v="Bharathy Colony"/>
    <s v="27-D V.N.Industrial Estate"/>
    <s v="Peelamedu"/>
    <s v="Coimbatore"/>
    <n v="641004"/>
    <s v="TN"/>
    <s v="India"/>
    <n v="4"/>
    <n v="1"/>
    <n v="1"/>
    <n v="2"/>
    <s v="Sun"/>
    <m/>
  </r>
  <r>
    <n v="137"/>
    <s v="Rytiks Auto P Ltd"/>
    <x v="132"/>
    <n v="152"/>
    <s v="2015J LX"/>
    <m/>
    <m/>
    <m/>
    <m/>
    <m/>
    <m/>
    <n v="3"/>
    <s v="Mr.Ashok Kumar Shetty"/>
    <m/>
    <s v="044-26174649"/>
    <s v="Villicakkam"/>
    <s v="L-15 SIDCO Indl state"/>
    <m/>
    <s v="Chennai"/>
    <n v="600049"/>
    <s v="TN"/>
    <s v="India"/>
    <n v="4"/>
    <n v="0"/>
    <n v="4"/>
    <n v="1"/>
    <s v="Sun"/>
    <m/>
  </r>
  <r>
    <n v="138"/>
    <s v="Uni - Automation (I)P Ltd"/>
    <x v="133"/>
    <n v="150"/>
    <s v="2015J LX"/>
    <m/>
    <m/>
    <m/>
    <m/>
    <d v="2021-10-06T00:00:00"/>
    <d v="2022-10-05T00:00:00"/>
    <n v="3"/>
    <s v="Mr.V. K. Mahajan"/>
    <s v="MD"/>
    <s v="020-24440890"/>
    <s v="Shindewadi"/>
    <s v="Off NH-4, Gat No. 318/B/1"/>
    <s v="Tal. Bhor"/>
    <s v="Pune"/>
    <n v="411009"/>
    <s v="MH"/>
    <s v="India"/>
    <n v="2"/>
    <n v="4"/>
    <n v="1"/>
    <n v="1"/>
    <s v="Thu "/>
    <m/>
  </r>
  <r>
    <n v="139"/>
    <s v="Bosch Limited"/>
    <x v="134"/>
    <n v="157"/>
    <s v="2015J LX"/>
    <m/>
    <m/>
    <m/>
    <m/>
    <d v="2022-02-03T00:00:00"/>
    <d v="2023-02-02T00:00:00"/>
    <n v="3"/>
    <s v="Mr. Kannan"/>
    <m/>
    <s v="080-4374 3314 "/>
    <s v="SIPCOT Industrial Growth Centre"/>
    <s v="Plot No.B8 to B13 + 20 Meter Road Portion +B15 to B16"/>
    <m/>
    <s v="Tirunelveli"/>
    <n v="627352"/>
    <s v="TN"/>
    <s v="India"/>
    <n v="4"/>
    <n v="1"/>
    <n v="0"/>
    <n v="2"/>
    <s v="Sun"/>
    <m/>
  </r>
  <r>
    <n v="140"/>
    <s v="Otto Bilz (I) P Ltd"/>
    <x v="135"/>
    <n v="994"/>
    <s v="2015J LX"/>
    <m/>
    <d v="2022-01-11T00:00:00"/>
    <m/>
    <m/>
    <d v="2022-01-11T00:00:00"/>
    <d v="2023-01-10T00:00:00"/>
    <n v="3"/>
    <s v="Mr.Harish P. Shenoy"/>
    <s v="Manager - Proje"/>
    <s v="080- 22638700"/>
    <s v="Doddaballapur"/>
    <s v="5A-5B/6A, KIADB Industrieal Are"/>
    <m/>
    <s v="Bangalore"/>
    <n v="561203"/>
    <s v="KA"/>
    <s v="India"/>
    <n v="8"/>
    <n v="0"/>
    <n v="6"/>
    <n v="1"/>
    <s v="Sun"/>
    <m/>
  </r>
  <r>
    <n v="141"/>
    <s v="Bosch Limited"/>
    <x v="13"/>
    <s v="not_filled"/>
    <m/>
    <m/>
    <m/>
    <m/>
    <m/>
    <m/>
    <m/>
    <n v="3"/>
    <s v="Mr.Sreenivasa Kumar"/>
    <s v="Asst.Manager Q"/>
    <s v="080- 22996427"/>
    <s v="Audugodi"/>
    <s v="P.B. No.3000 Hosur Road"/>
    <m/>
    <s v="Bangalore"/>
    <n v="560030"/>
    <s v="KA"/>
    <s v="India"/>
    <n v="8"/>
    <n v="0"/>
    <n v="1"/>
    <n v="1"/>
    <s v="Sun"/>
    <m/>
  </r>
  <r>
    <n v="142"/>
    <s v="Bosch Limited"/>
    <x v="136"/>
    <n v="161"/>
    <s v="2015J LX"/>
    <m/>
    <d v="2009-12-17T00:00:00"/>
    <m/>
    <m/>
    <m/>
    <m/>
    <n v="3"/>
    <s v="Mr.Amith Arora"/>
    <s v="Deputy Manage"/>
    <s v="0141 - 2775344"/>
    <s v="Sitapura"/>
    <s v="SP - 663 RIICO - Indl Area"/>
    <m/>
    <s v="Jaipur"/>
    <n v="302022"/>
    <s v="RJ"/>
    <s v="India"/>
    <n v="1"/>
    <n v="0"/>
    <n v="1"/>
    <n v="5"/>
    <s v="Sun"/>
    <m/>
  </r>
  <r>
    <n v="143"/>
    <s v="Bosch Limited"/>
    <x v="136"/>
    <n v="165"/>
    <s v="2015J LX"/>
    <m/>
    <d v="2009-12-24T00:00:00"/>
    <m/>
    <m/>
    <m/>
    <m/>
    <n v="3"/>
    <s v="Mr.Kanthraj"/>
    <s v="Sr. Engg"/>
    <s v="0141- 2775344"/>
    <s v="Sitapura"/>
    <s v="SP - 663 RIICO - Indl Area"/>
    <m/>
    <s v="Jaipur"/>
    <n v="302022"/>
    <s v="RJ"/>
    <s v="India"/>
    <n v="1"/>
    <n v="0"/>
    <n v="1"/>
    <n v="5"/>
    <s v="Sun"/>
    <m/>
  </r>
  <r>
    <n v="144"/>
    <s v="Dalal Plastic Corporation"/>
    <x v="137"/>
    <n v="50"/>
    <s v="3.4J"/>
    <m/>
    <m/>
    <m/>
    <m/>
    <d v="2021-07-10T00:00:00"/>
    <d v="2022-07-09T00:00:00"/>
    <n v="3"/>
    <s v="Mr.F. A. Dalal"/>
    <s v="Partner"/>
    <s v="0250-25821167"/>
    <s v="Agra road"/>
    <s v="D13 Nandanvan Indl Estat"/>
    <s v="Thane"/>
    <s v="Mumbai"/>
    <n v="401604"/>
    <s v="MH"/>
    <s v="India"/>
    <n v="2"/>
    <n v="2"/>
    <n v="2"/>
    <n v="2"/>
    <s v="Sun"/>
    <m/>
  </r>
  <r>
    <n v="145"/>
    <s v="Ujwal Industries"/>
    <x v="138"/>
    <n v="168"/>
    <s v="2015J CX"/>
    <m/>
    <m/>
    <m/>
    <m/>
    <d v="2025-08-22T00:00:00"/>
    <d v="2026-08-21T00:00:00"/>
    <n v="3"/>
    <s v="Mr.Vinayak C. Buchade"/>
    <m/>
    <s v="0251-6459138"/>
    <s v="Dombivli(E)"/>
    <s v="W 53 MIDC, Phase II"/>
    <s v="Thane"/>
    <s v="Mumbai"/>
    <n v="421204"/>
    <s v="MH"/>
    <s v="India"/>
    <n v="2"/>
    <n v="2"/>
    <n v="2"/>
    <n v="2"/>
    <s v="Sun"/>
    <m/>
  </r>
  <r>
    <n v="146"/>
    <s v="SSF Plastics India Pvt Ltd"/>
    <x v="139"/>
    <n v="101"/>
    <s v="2015J LX"/>
    <m/>
    <m/>
    <m/>
    <m/>
    <d v="2019-11-26T00:00:00"/>
    <d v="2020-11-25T00:00:00"/>
    <n v="3"/>
    <s v="Mr. Pradhan"/>
    <m/>
    <n v="7980454359"/>
    <s v="Silver Industrial Estate"/>
    <s v="Unit-II Plot No.10 &amp; 11"/>
    <s v="Bhimpore"/>
    <s v="Nani Daman"/>
    <n v="396210"/>
    <s v="D&amp;D"/>
    <s v="India"/>
    <n v="2"/>
    <n v="1"/>
    <n v="1"/>
    <n v="1"/>
    <s v="Sun"/>
    <m/>
  </r>
  <r>
    <n v="147"/>
    <s v="Vedika Machinery P Ltd"/>
    <x v="140"/>
    <n v="169"/>
    <s v="2015J LX"/>
    <m/>
    <m/>
    <m/>
    <m/>
    <m/>
    <m/>
    <n v="3"/>
    <s v="Mr.S. K. Bhootra"/>
    <s v="Director"/>
    <s v="033 3242 8215"/>
    <m/>
    <s v="209, A.J.C. Bose Road (71)"/>
    <m/>
    <s v="Kolkata"/>
    <n v="700017"/>
    <s v="WB"/>
    <s v="India"/>
    <n v="8"/>
    <n v="0"/>
    <n v="0"/>
    <n v="5"/>
    <s v="Sun"/>
    <m/>
  </r>
  <r>
    <n v="148"/>
    <s v="Easun Reyrolle Ltd"/>
    <x v="141"/>
    <n v="156"/>
    <s v="4020J LX"/>
    <m/>
    <m/>
    <m/>
    <m/>
    <m/>
    <m/>
    <n v="3"/>
    <s v="Mr.M.M. Katre"/>
    <s v="Head-GlobalOp"/>
    <s v="080- 26581023"/>
    <s v="Bannergatta Road,"/>
    <s v="# 17/3, Arakere,"/>
    <m/>
    <s v="Bangalore"/>
    <n v="562076"/>
    <s v="KA"/>
    <s v="India"/>
    <n v="8"/>
    <n v="0"/>
    <n v="3"/>
    <n v="1"/>
    <s v="Sun"/>
    <m/>
  </r>
  <r>
    <n v="149"/>
    <s v="Wahi Sons P Ltd"/>
    <x v="142"/>
    <n v="154"/>
    <s v="2015J LX"/>
    <m/>
    <m/>
    <m/>
    <m/>
    <d v="2021-11-01T00:00:00"/>
    <d v="2022-10-31T00:00:00"/>
    <n v="3"/>
    <s v="Mr.Gautam Jain"/>
    <m/>
    <m/>
    <s v="IMT Manesar,"/>
    <s v="Plot No.11 Sector-5"/>
    <m/>
    <s v="Gurgaon"/>
    <n v="122050"/>
    <s v="HR"/>
    <s v="India"/>
    <n v="1"/>
    <n v="1"/>
    <n v="1"/>
    <n v="1"/>
    <s v="Sun"/>
    <m/>
  </r>
  <r>
    <n v="150"/>
    <s v="Arun Plasto Moulders (I) (P) Ltd"/>
    <x v="143"/>
    <n v="162"/>
    <s v="4020J LX"/>
    <m/>
    <m/>
    <m/>
    <m/>
    <d v="2022-01-01T00:00:00"/>
    <d v="2022-12-31T00:00:00"/>
    <n v="3"/>
    <s v="Mr.K. Premesan"/>
    <s v="Sr.Manager Fact"/>
    <s v="044-42609011"/>
    <s v="Sidco Industrial Estate"/>
    <s v="M-6, RMD yard"/>
    <s v="Ekkattuthangal"/>
    <s v="Chennai"/>
    <n v="600032"/>
    <s v="TN"/>
    <s v="India"/>
    <n v="4"/>
    <n v="0"/>
    <n v="3"/>
    <n v="1"/>
    <s v="Sun"/>
    <m/>
  </r>
  <r>
    <n v="151"/>
    <s v="Vako Seals P Ltd"/>
    <x v="144"/>
    <n v="174"/>
    <s v="2015J LX"/>
    <m/>
    <m/>
    <m/>
    <m/>
    <d v="2021-10-05T00:00:00"/>
    <d v="2022-10-04T00:00:00"/>
    <n v="3"/>
    <s v="Mr.Dilip Chakraborty"/>
    <s v="Manager QC"/>
    <s v="022-2874 6260"/>
    <s v="Near Pravasi Ind Estate"/>
    <s v="PB No. 90633/4, KRDN Trust Estate"/>
    <s v="Off Aarey , Gore"/>
    <s v="Mumbai"/>
    <n v="400063"/>
    <s v="MH"/>
    <s v="India"/>
    <n v="2"/>
    <n v="2"/>
    <n v="2"/>
    <n v="4"/>
    <s v="Sun"/>
    <m/>
  </r>
  <r>
    <n v="152"/>
    <s v="Matchwell Die Casters Pvt Ltd"/>
    <x v="145"/>
    <n v="178"/>
    <s v="2015J LX"/>
    <m/>
    <d v="2010-03-27T00:00:00"/>
    <m/>
    <m/>
    <d v="2022-09-12T00:00:00"/>
    <d v="2023-09-11T00:00:00"/>
    <n v="3"/>
    <s v="Mr.Ajit Kumar"/>
    <m/>
    <s v="022-27781971"/>
    <s v="TTC Indl Area Mahape"/>
    <s v="A-259 MIDC"/>
    <s v="Navi Mumbai"/>
    <s v="Mumbai"/>
    <n v="400706"/>
    <s v="MH"/>
    <s v="India"/>
    <n v="2"/>
    <n v="2"/>
    <n v="2"/>
    <n v="4"/>
    <s v="Sun"/>
    <m/>
  </r>
  <r>
    <n v="153"/>
    <s v="Toyota Kirloskar Auto Parts P Ltd"/>
    <x v="96"/>
    <n v="124"/>
    <s v="2015J LX"/>
    <m/>
    <m/>
    <m/>
    <m/>
    <m/>
    <m/>
    <n v="3"/>
    <s v="Mr.Prashanth. S"/>
    <m/>
    <s v="08027287141/143"/>
    <s v="Bidadi"/>
    <s v="#21 Bidadi Indstrl Area"/>
    <m/>
    <s v="Bangalore"/>
    <n v="562109"/>
    <s v="KA"/>
    <s v="India"/>
    <n v="8"/>
    <n v="0"/>
    <n v="3"/>
    <n v="2"/>
    <s v="Sun"/>
    <m/>
  </r>
  <r>
    <n v="154"/>
    <s v="IFB Industries Ltd (Kolkata unit)"/>
    <x v="146"/>
    <n v="175"/>
    <s v="4020J LX"/>
    <m/>
    <m/>
    <m/>
    <m/>
    <d v="2021-01-14T00:00:00"/>
    <d v="2022-01-13T00:00:00"/>
    <n v="3"/>
    <s v="Mr.Subrata Chandra"/>
    <s v="Asst Mngr QA"/>
    <s v="033-30489299"/>
    <m/>
    <s v="No.14 Tharatola road"/>
    <m/>
    <s v="Kolkata"/>
    <n v="700017"/>
    <s v="WB"/>
    <s v="India"/>
    <n v="8"/>
    <n v="0"/>
    <n v="0"/>
    <n v="5"/>
    <s v="Sun"/>
    <m/>
  </r>
  <r>
    <n v="155"/>
    <s v="IFB Industries Ltd (Bangalore unit)"/>
    <x v="147"/>
    <n v="218"/>
    <s v="4020J LX "/>
    <m/>
    <m/>
    <m/>
    <m/>
    <d v="2025-07-26T00:00:00"/>
    <d v="2026-07-25T00:00:00"/>
    <n v="3"/>
    <m/>
    <m/>
    <m/>
    <s v="Mahadevapura Post"/>
    <s v="16 Visweswariah Industr"/>
    <m/>
    <s v="Bangalore"/>
    <s v="562 048"/>
    <s v="KA"/>
    <s v="India"/>
    <n v="8"/>
    <n v="0"/>
    <n v="8"/>
    <n v="2"/>
    <s v="Sun"/>
    <m/>
  </r>
  <r>
    <n v="156"/>
    <s v="Titan Industries Ltd"/>
    <x v="148"/>
    <n v="177"/>
    <s v="4020J CX"/>
    <m/>
    <m/>
    <m/>
    <m/>
    <d v="2021-10-01T00:00:00"/>
    <d v="2022-09-30T00:00:00"/>
    <n v="3"/>
    <s v="Mr.Dhinesh Raj. Y"/>
    <s v="Manager - QC&amp;"/>
    <s v="080- 40119372"/>
    <s v="Anekal Taluk"/>
    <s v="15B Bommasandra Indl ar"/>
    <m/>
    <s v="Bangalore"/>
    <n v="562158"/>
    <s v="KA"/>
    <s v="India"/>
    <n v="8"/>
    <n v="0"/>
    <n v="1"/>
    <n v="3"/>
    <s v="Sun"/>
    <m/>
  </r>
  <r>
    <n v="157"/>
    <s v="PT. Minda Asean Automotive"/>
    <x v="149"/>
    <n v="241"/>
    <s v="2015V2015J LX"/>
    <m/>
    <m/>
    <m/>
    <m/>
    <m/>
    <m/>
    <n v="3"/>
    <m/>
    <m/>
    <s v="+628889259884"/>
    <s v="Sukaluyau Taluk"/>
    <s v="JI. Permata Raya Lo Kawasan Industri KIIC"/>
    <s v="Jambe Karawan"/>
    <s v="Jawa Barat"/>
    <n v="41361"/>
    <s v="OC"/>
    <s v="Indonesia"/>
    <n v="0"/>
    <n v="0"/>
    <n v="0"/>
    <n v="0"/>
    <n v="0"/>
    <m/>
  </r>
  <r>
    <n v="158"/>
    <s v="Servocontrol Aerospace (I) Pvt Ltd (Servocontrols Hydraulics (I) Pvt Ltd)"/>
    <x v="150"/>
    <n v="180"/>
    <s v="V2015J LX"/>
    <m/>
    <m/>
    <m/>
    <m/>
    <d v="2025-05-07T00:00:00"/>
    <d v="2026-05-06T00:00:00"/>
    <n v="3"/>
    <s v="Mr.Dinesh V. Dhadut"/>
    <s v="Director"/>
    <s v="0831-24075011"/>
    <s v="Udyambag"/>
    <s v="Survey No. 683, Industrial Estate,"/>
    <m/>
    <s v="Belgaum"/>
    <n v="590008"/>
    <s v="KA"/>
    <s v="India"/>
    <n v="8"/>
    <n v="0"/>
    <n v="0"/>
    <n v="2"/>
    <s v="Sun"/>
    <m/>
  </r>
  <r>
    <n v="159"/>
    <s v="Dias-C Tools and Components"/>
    <x v="151"/>
    <n v="182"/>
    <s v="2015J LX"/>
    <m/>
    <d v="2010-04-24T00:00:00"/>
    <m/>
    <m/>
    <m/>
    <m/>
    <n v="3"/>
    <s v="Mr.A. Stephenson"/>
    <s v="Proprietor"/>
    <s v="022-27660979"/>
    <s v="PCNTDA, Near Times of In"/>
    <s v="Sector No 7, Plot No.145-A,"/>
    <s v="Bhosari"/>
    <s v="Pune"/>
    <n v="411026"/>
    <s v="MH"/>
    <s v="India"/>
    <n v="2"/>
    <n v="4"/>
    <n v="1"/>
    <n v="1"/>
    <s v="Thu "/>
    <m/>
  </r>
  <r>
    <n v="160"/>
    <s v="Arun Plasto Moulders (I) (P) Ltd (Haridwar)"/>
    <x v="152"/>
    <n v="179"/>
    <s v="2015J LX"/>
    <m/>
    <m/>
    <m/>
    <m/>
    <m/>
    <m/>
    <n v="3"/>
    <s v="Mr.Athul"/>
    <m/>
    <s v="01334-232024"/>
    <s v="SIDCUL"/>
    <s v="Plot No 4 Sector 1A"/>
    <s v="Ranipur"/>
    <s v="Haridwar"/>
    <n v="249403"/>
    <s v="UK"/>
    <s v="India"/>
    <n v="1"/>
    <n v="0"/>
    <n v="4"/>
    <n v="2"/>
    <s v="Sun"/>
    <m/>
  </r>
  <r>
    <n v="161"/>
    <s v="Jay Precision Products India P Ltd"/>
    <x v="153"/>
    <n v="188"/>
    <s v="4020J LX"/>
    <m/>
    <m/>
    <m/>
    <m/>
    <d v="2025-09-27T00:00:00"/>
    <d v="2026-09-26T00:00:00"/>
    <n v="3"/>
    <s v="Mr.Muthuthanu"/>
    <m/>
    <s v="022-32426213"/>
    <s v="Ashok Chakravarty rd"/>
    <s v="CST No. 132 Opp. Jain Temple,"/>
    <s v="Kandivli(E)"/>
    <s v="Mumbai"/>
    <n v="400101"/>
    <s v="MH"/>
    <s v="India"/>
    <n v="2"/>
    <n v="1"/>
    <n v="1"/>
    <n v="4"/>
    <s v="Sun"/>
    <m/>
  </r>
  <r>
    <n v="162"/>
    <s v="Connectwell Industries P Ltd."/>
    <x v="154"/>
    <s v="187/ E-387"/>
    <s v="2015J LX"/>
    <m/>
    <m/>
    <m/>
    <m/>
    <d v="2022-02-25T00:00:00"/>
    <d v="2023-02-24T00:00:00"/>
    <n v="3"/>
    <s v="Mr.Jiten Saheta"/>
    <s v="Manager Projec"/>
    <s v="0251-2870766"/>
    <s v="MIDC"/>
    <s v="D7, Phase 2"/>
    <s v="Dombivli"/>
    <s v="Mumbai"/>
    <n v="421204"/>
    <s v="MH"/>
    <s v="India"/>
    <n v="2"/>
    <n v="2"/>
    <n v="2"/>
    <n v="3"/>
    <s v="Sun"/>
    <m/>
  </r>
  <r>
    <n v="163"/>
    <s v="Shiv-Om Brass Industries"/>
    <x v="155"/>
    <n v="183"/>
    <s v="2015J LX"/>
    <m/>
    <m/>
    <m/>
    <m/>
    <m/>
    <m/>
    <n v="3"/>
    <s v="Mr.Snehal Gohel"/>
    <s v="Partner"/>
    <s v="91-90252 10890"/>
    <s v="Opp Ranjit Nagar"/>
    <s v="#2 Raguvir Society"/>
    <m/>
    <s v="Jamnagar"/>
    <n v="361005"/>
    <s v="GJ"/>
    <s v="India"/>
    <n v="5"/>
    <n v="4"/>
    <n v="0"/>
    <n v="1"/>
    <s v="Fri"/>
    <m/>
  </r>
  <r>
    <n v="164"/>
    <s v="NDT Consultants Ltd"/>
    <x v="156"/>
    <n v="186"/>
    <s v="2015J LX"/>
    <m/>
    <m/>
    <m/>
    <m/>
    <m/>
    <m/>
    <n v="3"/>
    <m/>
    <m/>
    <n v="442476511151"/>
    <s v="Coventry"/>
    <s v="Middlemarch Houe Siskin Drive"/>
    <s v="CV3 4FJ"/>
    <s v="England"/>
    <m/>
    <s v="OC"/>
    <s v="India"/>
    <n v="0"/>
    <n v="0"/>
    <n v="0"/>
    <n v="0"/>
    <n v="0"/>
    <m/>
  </r>
  <r>
    <n v="165"/>
    <s v="Joyson Anand Abhishek Safety Systems Pvt Ltd (KSS - Abhishek Safety Systems P Ltd)"/>
    <x v="157"/>
    <n v="192"/>
    <s v="2015J LX"/>
    <m/>
    <m/>
    <m/>
    <m/>
    <d v="2021-06-30T00:00:00"/>
    <d v="2022-06-29T00:00:00"/>
    <n v="3"/>
    <s v="Mr.Sagar Wahi"/>
    <s v="Director"/>
    <s v="0124 4172400"/>
    <s v="IMT Manesar"/>
    <s v="Plot No. 20 Sector - 5"/>
    <m/>
    <s v="Gurgaon"/>
    <n v="122050"/>
    <s v="HR"/>
    <s v="India"/>
    <n v="1"/>
    <n v="1"/>
    <n v="1"/>
    <n v="1"/>
    <s v="Sun"/>
    <m/>
  </r>
  <r>
    <n v="166"/>
    <s v="Speciality Sintered Products P Ltd"/>
    <x v="158"/>
    <n v="190"/>
    <s v="2015J LX"/>
    <m/>
    <m/>
    <m/>
    <m/>
    <d v="2025-07-21T00:00:00"/>
    <d v="2026-07-20T00:00:00"/>
    <n v="3"/>
    <s v="Mr.Jitendra. K. Chaudhari"/>
    <m/>
    <s v="02135-324135"/>
    <s v="Chakan-Talegaon Road,"/>
    <s v="Gat 409/1, Nanekarwadi"/>
    <s v="Chakan"/>
    <s v="Pune"/>
    <n v="411501"/>
    <s v="MH"/>
    <s v="India"/>
    <n v="2"/>
    <n v="4"/>
    <n v="2"/>
    <n v="1"/>
    <s v="Thu"/>
    <m/>
  </r>
  <r>
    <n v="167"/>
    <s v="Brakes India Pvt Ltd"/>
    <x v="159"/>
    <n v="193"/>
    <s v="4020J LX"/>
    <m/>
    <m/>
    <m/>
    <m/>
    <d v="2021-09-01T00:00:00"/>
    <d v="2022-02-28T00:00:00"/>
    <n v="3"/>
    <s v="Mr.B. Vivek"/>
    <s v="Manager QA"/>
    <m/>
    <s v="Polambakkam"/>
    <s v="# Near Melmaruvathur"/>
    <m/>
    <s v="Chennai"/>
    <n v="603309"/>
    <s v="TN"/>
    <s v="India"/>
    <n v="4"/>
    <n v="0"/>
    <n v="2"/>
    <n v="4"/>
    <s v="Sun"/>
    <m/>
  </r>
  <r>
    <n v="168"/>
    <s v="Kuhu Industries P Ltd"/>
    <x v="160"/>
    <n v="173"/>
    <s v="V2015"/>
    <m/>
    <m/>
    <m/>
    <m/>
    <m/>
    <m/>
    <n v="3"/>
    <s v="Mr.Ajay Kochar"/>
    <s v="Director"/>
    <s v="0141-2330483"/>
    <s v="Near Road No 17, VKI Are"/>
    <s v="SP-1 Salalsar Industrial are"/>
    <s v="Village Kaisalya"/>
    <s v="Jaipur"/>
    <n v="302013"/>
    <s v="MH"/>
    <s v="India"/>
    <n v="1"/>
    <n v="0"/>
    <n v="1"/>
    <n v="5"/>
    <s v="Sun"/>
    <m/>
  </r>
  <r>
    <n v="169"/>
    <s v="Chamundi Die Cast (P) Ltd"/>
    <x v="161"/>
    <n v="185"/>
    <s v="2015J LX"/>
    <m/>
    <m/>
    <m/>
    <m/>
    <d v="2021-02-12T00:00:00"/>
    <d v="2022-02-11T00:00:00"/>
    <n v="3"/>
    <s v="Mr.Yasin Khan"/>
    <m/>
    <m/>
    <s v="Phase-III, Nellikuppam"/>
    <s v="Plot No.S-54 SIPCOT Industrial Area"/>
    <s v="Ranipet, Walajah Taluk"/>
    <s v="Vellore"/>
    <n v="632405"/>
    <s v="TN"/>
    <s v="India"/>
    <n v="4"/>
    <n v="0"/>
    <n v="3"/>
    <n v="3"/>
    <s v="Sun"/>
    <m/>
  </r>
  <r>
    <n v="170"/>
    <s v="Toyota Boshoku Automotive (I) (P) Ltd"/>
    <x v="162"/>
    <n v="196"/>
    <s v="4020J LX"/>
    <m/>
    <m/>
    <m/>
    <m/>
    <d v="2022-03-02T00:00:00"/>
    <d v="2023-03-01T00:00:00"/>
    <n v="3"/>
    <s v="Mr.Shwetha G"/>
    <s v="QC Dept"/>
    <s v="080- 22039000"/>
    <s v="M.N. Halli PO.,"/>
    <s v="41, Bhimenahalli"/>
    <s v="Bidadi Ramanag"/>
    <s v="Bangalore"/>
    <n v="562109"/>
    <s v="KA"/>
    <s v="India"/>
    <n v="8"/>
    <n v="0"/>
    <n v="3"/>
    <n v="2"/>
    <s v="Sun"/>
    <m/>
  </r>
  <r>
    <n v="171"/>
    <s v="Poly Fluoro Ltd"/>
    <x v="163"/>
    <n v="194"/>
    <s v="2015J LX"/>
    <m/>
    <m/>
    <m/>
    <m/>
    <d v="2021-09-17T00:00:00"/>
    <d v="2022-09-16T00:00:00"/>
    <n v="3"/>
    <s v="Mr.Adhirath Sethi"/>
    <m/>
    <s v="080-27832622"/>
    <s v="Hosur Road,"/>
    <s v="260A Bommasandra Indust"/>
    <m/>
    <s v="Bangalore"/>
    <n v="560099"/>
    <s v="KA"/>
    <s v="India"/>
    <n v="8"/>
    <n v="0"/>
    <n v="1"/>
    <n v="2"/>
    <s v="Sun"/>
    <m/>
  </r>
  <r>
    <n v="172"/>
    <s v="Sundaram Industries Ltd"/>
    <x v="164"/>
    <n v="200"/>
    <s v="4020J CX"/>
    <m/>
    <m/>
    <m/>
    <m/>
    <d v="2021-10-01T00:00:00"/>
    <d v="2022-09-30T00:00:00"/>
    <n v="3"/>
    <s v="Mr.B. Saravanan"/>
    <s v="Dy Mgr QA"/>
    <s v="0452 - 4348888"/>
    <s v="Kochadai"/>
    <s v="PostBox No. 6m Usilampatti Road"/>
    <m/>
    <s v="Madurai"/>
    <n v="625016"/>
    <s v="TN"/>
    <s v="India"/>
    <n v="4"/>
    <n v="1"/>
    <n v="0"/>
    <n v="1"/>
    <s v="Sun"/>
    <m/>
  </r>
  <r>
    <n v="173"/>
    <s v="Gautam Packaging P Ltd"/>
    <x v="165"/>
    <n v="201"/>
    <s v="4020J LX"/>
    <m/>
    <m/>
    <m/>
    <m/>
    <d v="2020-07-11T00:00:00"/>
    <d v="2021-07-10T00:00:00"/>
    <n v="3"/>
    <s v="Mr.P. Ramesh"/>
    <m/>
    <m/>
    <s v="Phase 4"/>
    <s v="354 Udyog Vihar"/>
    <m/>
    <s v="Gurgaon"/>
    <n v="122015"/>
    <s v="HR"/>
    <s v="India"/>
    <n v="1"/>
    <n v="1"/>
    <n v="1"/>
    <n v="1"/>
    <s v="Sun"/>
    <m/>
  </r>
  <r>
    <n v="174"/>
    <d v="2010-11-09T00:00:00"/>
    <x v="166"/>
    <n v="189"/>
    <s v="2015J LX"/>
    <m/>
    <d v="2010-08-16T00:00:00"/>
    <m/>
    <m/>
    <m/>
    <m/>
    <n v="3"/>
    <s v="Mr.Ramesh B.S"/>
    <s v="Purchase Office"/>
    <s v="080-25084018"/>
    <s v="Airport Road"/>
    <s v="Govt. of India Department of Space"/>
    <s v="Vimanpura P.O"/>
    <s v="Bangalore"/>
    <n v="560017"/>
    <s v="KA"/>
    <s v="India"/>
    <n v="8"/>
    <n v="0"/>
    <n v="7"/>
    <n v="1"/>
    <s v="Sun"/>
    <m/>
  </r>
  <r>
    <n v="175"/>
    <s v="ISRO Satellite Centre"/>
    <x v="167"/>
    <n v="195"/>
    <s v="2015J LX"/>
    <m/>
    <d v="2010-11-09T00:00:00"/>
    <m/>
    <m/>
    <m/>
    <m/>
    <n v="3"/>
    <s v="Mr. H.K Yadav"/>
    <m/>
    <s v="080-25084018"/>
    <s v="Airport Road"/>
    <s v="Govt. of India Department of Space"/>
    <s v="Vimanpura P.O"/>
    <s v="Bangalore"/>
    <n v="560017"/>
    <s v="KA"/>
    <s v="India"/>
    <n v="8"/>
    <n v="0"/>
    <n v="7"/>
    <n v="1"/>
    <s v="Sun"/>
    <m/>
  </r>
  <r>
    <n v="176"/>
    <s v="Metalman Auto P Ltd"/>
    <x v="168"/>
    <n v="198"/>
    <s v="2015J LX"/>
    <m/>
    <d v="2010-08-23T00:00:00"/>
    <m/>
    <m/>
    <d v="2020-12-18T00:00:00"/>
    <d v="2021-12-17T00:00:00"/>
    <n v="3"/>
    <s v="Mr.Sachin Rapatwar"/>
    <m/>
    <s v="0240- 2556573"/>
    <s v="Waluj"/>
    <s v="B 30/31 MIDC"/>
    <m/>
    <s v="Aurangabad"/>
    <n v="431136"/>
    <s v="MH"/>
    <s v="India"/>
    <n v="2"/>
    <n v="0"/>
    <n v="2"/>
    <n v="1"/>
    <s v="Sun"/>
    <m/>
  </r>
  <r>
    <n v="177"/>
    <s v="SKF India Ltd"/>
    <x v="169"/>
    <n v="199"/>
    <s v="2015J LX"/>
    <m/>
    <m/>
    <m/>
    <m/>
    <d v="2022-01-13T00:00:00"/>
    <d v="2023-01-12T00:00:00"/>
    <n v="3"/>
    <s v="Mr.K. Ramesh Babu"/>
    <s v="Asst ManagerQ"/>
    <s v="080- 40329622"/>
    <s v="Bommasandra"/>
    <s v="Plot 2 Bommasandra Ind Ar"/>
    <s v="Hosur Road"/>
    <s v="Bangalore"/>
    <n v="562099"/>
    <s v="KA"/>
    <s v="India"/>
    <n v="8"/>
    <n v="0"/>
    <n v="1"/>
    <n v="3"/>
    <s v="Sun"/>
    <m/>
  </r>
  <r>
    <n v="178"/>
    <s v="Rotary Connectors P Ltd"/>
    <x v="170"/>
    <n v="208"/>
    <s v="2015J LX"/>
    <m/>
    <m/>
    <m/>
    <m/>
    <d v="2024-04-22T00:00:00"/>
    <d v="2025-04-21T00:00:00"/>
    <n v="3"/>
    <s v="Mr.Gangadhar"/>
    <m/>
    <s v="080-23353662"/>
    <s v="West of Chord Road"/>
    <s v="# 04 2nd Cross, 4th Main"/>
    <s v="Rajaji Nagar"/>
    <s v="Bangalore"/>
    <n v="560044"/>
    <s v="KA"/>
    <s v="India"/>
    <n v="8"/>
    <n v="0"/>
    <n v="7"/>
    <n v="1"/>
    <s v="Sun"/>
    <m/>
  </r>
  <r>
    <n v="179"/>
    <s v="Riyalto Enterprises"/>
    <x v="171"/>
    <n v="205"/>
    <s v="4020J LX"/>
    <m/>
    <m/>
    <m/>
    <m/>
    <m/>
    <m/>
    <n v="3"/>
    <s v="Mr.Ramanathan"/>
    <m/>
    <s v="044-32512740"/>
    <s v="Kelambakkam Road"/>
    <s v="126B/1A1 Vandalur-"/>
    <s v="Mambakkam"/>
    <s v="Chennai"/>
    <n v="600048"/>
    <s v="TN"/>
    <s v="India"/>
    <n v="4"/>
    <n v="0"/>
    <n v="2"/>
    <n v="4"/>
    <s v="Sun"/>
    <m/>
  </r>
  <r>
    <n v="180"/>
    <s v="Accumatch Die Casters"/>
    <x v="172"/>
    <n v="206"/>
    <s v="2015J LX"/>
    <m/>
    <m/>
    <m/>
    <m/>
    <m/>
    <m/>
    <n v="3"/>
    <s v="Mr.Shailesh S. Satpute"/>
    <m/>
    <s v="0230-3203711"/>
    <s v="Babasaheb Khanjire Naga"/>
    <s v="Plot No. 106 Ichalkaranji Indl.Est."/>
    <s v="Kolhapur Dist."/>
    <s v="Shahapur"/>
    <n v="416121"/>
    <s v="MH"/>
    <s v="India"/>
    <n v="8"/>
    <n v="0"/>
    <n v="0"/>
    <n v="4"/>
    <s v="Sun"/>
    <m/>
  </r>
  <r>
    <n v="181"/>
    <s v="Romsons Scientific &amp; Surgical Industries P L"/>
    <x v="173"/>
    <n v="211"/>
    <s v="4020J LX"/>
    <m/>
    <m/>
    <m/>
    <m/>
    <d v="2021-08-15T00:00:00"/>
    <d v="2022-08-14T00:00:00"/>
    <n v="3"/>
    <s v="Mr.Sangram Keshore"/>
    <m/>
    <s v="0562-2280799"/>
    <s v="Nunhai"/>
    <s v="#63, Industrial Estate"/>
    <m/>
    <s v="Agra"/>
    <n v="282006"/>
    <s v="UP"/>
    <s v="India"/>
    <n v="1"/>
    <n v="1"/>
    <n v="5"/>
    <n v="4"/>
    <s v="Sun"/>
    <m/>
  </r>
  <r>
    <n v="182"/>
    <s v="SSF Plastics India Pvt Ltd"/>
    <x v="174"/>
    <n v="170"/>
    <s v="2015J LX"/>
    <m/>
    <m/>
    <m/>
    <m/>
    <d v="2020-11-10T00:00:00"/>
    <d v="2021-11-09T00:00:00"/>
    <n v="3"/>
    <m/>
    <m/>
    <m/>
    <s v="PO Mandhala"/>
    <s v="Khasra No.1300 Village Mandhala"/>
    <s v="Tehsil Baddi"/>
    <s v="Solan"/>
    <n v="174103"/>
    <s v="HP"/>
    <s v="India"/>
    <n v="1"/>
    <n v="3"/>
    <n v="1"/>
    <n v="1"/>
    <s v="Sun"/>
    <m/>
  </r>
  <r>
    <n v="183"/>
    <s v="Kishore Industries"/>
    <x v="175"/>
    <n v="212"/>
    <s v="2015J LX"/>
    <m/>
    <m/>
    <m/>
    <m/>
    <d v="2019-06-08T00:00:00"/>
    <d v="2020-06-07T00:00:00"/>
    <n v="3"/>
    <s v="Mr.Kishore Kabra"/>
    <m/>
    <m/>
    <s v="Waluj"/>
    <s v="C-33 MIDC"/>
    <m/>
    <s v="Aurangabad"/>
    <n v="431000"/>
    <s v="MH"/>
    <s v="India"/>
    <n v="2"/>
    <n v="0"/>
    <n v="2"/>
    <n v="1"/>
    <s v="Sun"/>
    <m/>
  </r>
  <r>
    <n v="184"/>
    <s v="Geoff Poly Technologies"/>
    <x v="176"/>
    <n v="217"/>
    <s v="4020J LX"/>
    <m/>
    <m/>
    <m/>
    <m/>
    <d v="2019-04-28T00:00:00"/>
    <d v="2020-04-27T00:00:00"/>
    <n v="3"/>
    <s v="Mr.John Thamburaj"/>
    <s v="GM"/>
    <s v="044-22387090"/>
    <s v="Nagalkeni"/>
    <s v="NO. 114 Thiruneermalai Main"/>
    <s v="Chrompet"/>
    <s v="Chennai"/>
    <n v="600044"/>
    <s v="TN"/>
    <s v="India"/>
    <n v="4"/>
    <n v="0"/>
    <n v="2"/>
    <n v="2"/>
    <s v="Sun"/>
    <m/>
  </r>
  <r>
    <n v="185"/>
    <s v="West Pharmaceutical Services Singapore Pte Ltd"/>
    <x v="99"/>
    <n v="223"/>
    <s v="2015J LX"/>
    <m/>
    <m/>
    <m/>
    <m/>
    <d v="2017-08-19T00:00:00"/>
    <d v="2018-08-18T00:00:00"/>
    <n v="3"/>
    <m/>
    <m/>
    <n v="6568623400"/>
    <m/>
    <s v="#15 Joo Koon Circle "/>
    <m/>
    <s v="Singapore"/>
    <n v="629046"/>
    <s v="OC"/>
    <s v="Singapore"/>
    <n v="0"/>
    <n v="0"/>
    <n v="0"/>
    <n v="0"/>
    <n v="0"/>
    <m/>
  </r>
  <r>
    <n v="186"/>
    <s v="Nashik Engg Cluster"/>
    <x v="177"/>
    <n v="215"/>
    <s v="2015J LX"/>
    <m/>
    <m/>
    <m/>
    <m/>
    <m/>
    <m/>
    <n v="3"/>
    <s v="Mr.Kailash"/>
    <s v="Quality Incharge"/>
    <s v="0253 - 2306250"/>
    <s v="M.I.D.C. - Satpur"/>
    <s v="C17, C Road Nice Area"/>
    <m/>
    <s v="Nashik"/>
    <n v="422007"/>
    <s v="MH"/>
    <s v="India"/>
    <n v="2"/>
    <n v="3"/>
    <n v="0"/>
    <n v="1"/>
    <s v="Sat "/>
    <m/>
  </r>
  <r>
    <n v="187"/>
    <s v="Opel Auto Products P Ltd"/>
    <x v="178"/>
    <n v="230"/>
    <s v="2015J LX"/>
    <m/>
    <m/>
    <m/>
    <m/>
    <m/>
    <m/>
    <n v="3"/>
    <s v="Mr.C. Siva"/>
    <m/>
    <m/>
    <s v="Kuthambakkam village"/>
    <s v="No.5/229 Padur Road,Irulapala"/>
    <s v="Poonamolle (TK"/>
    <s v="Chennai"/>
    <n v="602107"/>
    <s v="TN"/>
    <s v="India"/>
    <n v="4"/>
    <n v="0"/>
    <n v="3"/>
    <n v="1"/>
    <s v="Sun"/>
    <m/>
  </r>
  <r>
    <n v="188"/>
    <s v="Brown Diamond Tools"/>
    <x v="179"/>
    <n v="213"/>
    <s v="2015J LX"/>
    <m/>
    <m/>
    <m/>
    <m/>
    <d v="2020-12-08T00:00:00"/>
    <d v="2021-12-07T00:00:00"/>
    <n v="3"/>
    <s v="Mr.S. Shanmugam"/>
    <s v="Manager"/>
    <s v="044-24964474"/>
    <s v="Santhosh Nagar"/>
    <s v="S.No.123/2A1B Thiru-Vi-Ka- Street,"/>
    <s v="Kandanchavadi"/>
    <s v="Chennai"/>
    <n v="600096"/>
    <s v="TN"/>
    <s v="India"/>
    <n v="4"/>
    <n v="0"/>
    <n v="2"/>
    <n v="1"/>
    <s v="Sun"/>
    <m/>
  </r>
  <r>
    <n v="189"/>
    <s v="Brakes India Pvt Ltd"/>
    <x v="180"/>
    <n v="222"/>
    <s v="4020J LX"/>
    <m/>
    <m/>
    <m/>
    <m/>
    <d v="2021-04-01T00:00:00"/>
    <d v="2022-03-31T00:00:00"/>
    <n v="3"/>
    <s v="Mr.R. Arunachalam"/>
    <s v="Asst Manager"/>
    <s v="044- 26258016"/>
    <m/>
    <s v="Brakes Division Padi"/>
    <m/>
    <s v="Chennai"/>
    <n v="600050"/>
    <s v="TN"/>
    <s v="India"/>
    <n v="4"/>
    <n v="0"/>
    <n v="4"/>
    <n v="1"/>
    <s v="Sun"/>
    <m/>
  </r>
  <r>
    <n v="190"/>
    <s v="KSH International P Ltd"/>
    <x v="181"/>
    <n v="226"/>
    <s v="2015J LX"/>
    <m/>
    <d v="2011-01-03T00:00:00"/>
    <m/>
    <m/>
    <m/>
    <m/>
    <n v="3"/>
    <s v="Mr.Ganesh Prasad"/>
    <s v="GM-Devlp"/>
    <s v="02135 256410/12"/>
    <s v="Chakan"/>
    <s v="Chakan Ambetan Road"/>
    <m/>
    <s v="Pune"/>
    <n v="410501"/>
    <s v="MH"/>
    <s v="India"/>
    <n v="2"/>
    <n v="4"/>
    <n v="2"/>
    <n v="1"/>
    <s v="Thu"/>
    <m/>
  </r>
  <r>
    <n v="191"/>
    <s v="Yazaki India Pvt Ltd (Tata Yazaki Autocomp Ltd)"/>
    <x v="182"/>
    <n v="220"/>
    <s v="2015J LX"/>
    <m/>
    <d v="2011-01-07T00:00:00"/>
    <m/>
    <m/>
    <d v="2021-10-18T00:00:00"/>
    <d v="2022-10-17T00:00:00"/>
    <n v="3"/>
    <s v="Mr.Prasanna Sole"/>
    <s v="QA"/>
    <m/>
    <s v="High Cliff Industrial Estate"/>
    <s v="93 Survey#166"/>
    <s v="Wagholi-Rahu R"/>
    <s v="Pune"/>
    <n v="412207"/>
    <s v="MH"/>
    <s v="India"/>
    <n v="5"/>
    <n v="0"/>
    <n v="1"/>
    <n v="1"/>
    <s v="Sun"/>
    <m/>
  </r>
  <r>
    <n v="192"/>
    <s v="S.N Metallurgical Services"/>
    <x v="183"/>
    <n v="224"/>
    <s v="V2015J LX"/>
    <m/>
    <m/>
    <m/>
    <m/>
    <m/>
    <m/>
    <n v="3"/>
    <s v="Mr.Shyam Choudhari"/>
    <m/>
    <s v="0240-2555253"/>
    <s v="Waluj Industrial Area"/>
    <s v="B-70 MIDC"/>
    <s v="Waluj"/>
    <s v="Aurangabad"/>
    <n v="431136"/>
    <s v="MH"/>
    <s v="India"/>
    <n v="2"/>
    <n v="0"/>
    <n v="2"/>
    <n v="1"/>
    <s v="Sun"/>
    <m/>
  </r>
  <r>
    <n v="193"/>
    <s v="SMP Autotech P Ltd"/>
    <x v="184"/>
    <n v="233"/>
    <s v="4020J LX"/>
    <m/>
    <d v="2011-02-14T00:00:00"/>
    <m/>
    <m/>
    <d v="2024-07-01T00:00:00"/>
    <d v="2025-06-30T00:00:00"/>
    <n v="3"/>
    <s v="Mr.Ravi Apte"/>
    <s v="Director"/>
    <s v="0253-2384855"/>
    <s v="Ambad"/>
    <s v="F-51 MIDC"/>
    <m/>
    <s v="Nashik"/>
    <n v="422010"/>
    <s v="MH"/>
    <s v="India"/>
    <n v="2"/>
    <n v="3"/>
    <n v="0"/>
    <n v="1"/>
    <s v="Sat "/>
    <m/>
  </r>
  <r>
    <n v="194"/>
    <s v="Mindarika (P) Ltd"/>
    <x v="72"/>
    <n v="229"/>
    <s v="2015J LX"/>
    <m/>
    <m/>
    <m/>
    <m/>
    <d v="2022-02-08T00:00:00"/>
    <d v="2023-02-07T00:00:00"/>
    <n v="3"/>
    <s v="Mr.Narendra Arya"/>
    <s v="Dy MangerSQR/"/>
    <s v="0124-2290317"/>
    <s v="Near Police station"/>
    <s v="Village Nawada Fat P O Sikanderpur Bad"/>
    <m/>
    <s v="Gurgaon"/>
    <n v="122004"/>
    <s v="HR"/>
    <s v="India"/>
    <n v="1"/>
    <n v="1"/>
    <n v="1"/>
    <n v="1"/>
    <s v="Sun"/>
    <m/>
  </r>
  <r>
    <n v="195"/>
    <s v="Ashvini Magnets P Ltd"/>
    <x v="185"/>
    <n v="237"/>
    <s v="2015J LX"/>
    <m/>
    <m/>
    <m/>
    <m/>
    <d v="2025-06-13T00:00:00"/>
    <d v="2026-06-12T00:00:00"/>
    <n v="3"/>
    <s v="Mr.Vikram Dhoot"/>
    <s v="Director"/>
    <s v="022 -66745673"/>
    <s v="Hinjewadi"/>
    <s v="Plot no 5 Survey no 255/1"/>
    <m/>
    <s v="Pune"/>
    <n v="411057"/>
    <s v="MH"/>
    <s v="India"/>
    <n v="2"/>
    <n v="4"/>
    <n v="2"/>
    <n v="1"/>
    <s v="Thu"/>
    <m/>
  </r>
  <r>
    <n v="196"/>
    <s v="Mastercraft Engineers P Ltd"/>
    <x v="10"/>
    <n v="260"/>
    <s v="4020J LX"/>
    <m/>
    <m/>
    <m/>
    <m/>
    <d v="2022-02-04T00:00:00"/>
    <d v="2023-02-03T00:00:00"/>
    <n v="3"/>
    <s v="Mr.Pandian"/>
    <s v="General Manag"/>
    <s v="080-7834750"/>
    <s v="IV Phase,"/>
    <s v="#126 &amp; 127 Bommasandra Indl A"/>
    <s v="Jigani Hobli"/>
    <s v="Bangalore"/>
    <n v="560099"/>
    <s v="KA"/>
    <s v="India"/>
    <n v="8"/>
    <n v="0"/>
    <n v="1"/>
    <n v="2"/>
    <s v="Sun"/>
    <m/>
  </r>
  <r>
    <n v="197"/>
    <s v="Aurolab"/>
    <x v="186"/>
    <n v="232"/>
    <s v="2015J LX"/>
    <m/>
    <m/>
    <m/>
    <m/>
    <d v="2022-03-03T00:00:00"/>
    <d v="2023-03-02T00:00:00"/>
    <n v="3"/>
    <s v="Mr. Sundara Ganesh"/>
    <s v="Product Develo"/>
    <s v="0452 - 2446100"/>
    <s v="Veerapanjan"/>
    <s v="No, 1 Sivagangai Main Roa"/>
    <m/>
    <s v="Madurai"/>
    <n v="6250201"/>
    <s v="TN"/>
    <s v="India"/>
    <n v="4"/>
    <n v="1"/>
    <n v="0"/>
    <n v="1"/>
    <s v="Sun"/>
    <m/>
  </r>
  <r>
    <n v="198"/>
    <s v="Appasamy Associates"/>
    <x v="187"/>
    <n v="359"/>
    <s v="2015J LX"/>
    <m/>
    <d v="2013-03-03T00:00:00"/>
    <m/>
    <m/>
    <d v="2025-04-15T00:00:00"/>
    <d v="2026-04-14T00:00:00"/>
    <n v="3"/>
    <s v="Mr. Sudhakaran"/>
    <s v="Production Man"/>
    <s v="0413-3293511 /329305"/>
    <s v="Thennal Post"/>
    <s v="S.F No. 144/1 Navamal Kapper Villa"/>
    <s v="Kandamangalam"/>
    <s v="Villupuram"/>
    <n v="605102"/>
    <s v="TN"/>
    <s v="India"/>
    <n v="4"/>
    <n v="0"/>
    <n v="1"/>
    <n v="3"/>
    <s v="Sun"/>
    <m/>
  </r>
  <r>
    <n v="199"/>
    <s v="Saturn Industries"/>
    <x v="188"/>
    <n v="235"/>
    <s v="2015J LX"/>
    <m/>
    <d v="2011-03-25T00:00:00"/>
    <m/>
    <m/>
    <d v="2024-05-15T00:00:00"/>
    <d v="2025-05-14T00:00:00"/>
    <n v="3"/>
    <s v="Mr Harish Kumar"/>
    <s v="QA- Manger"/>
    <s v="080 - 30772960"/>
    <s v="Off White field"/>
    <s v="B 22 Dyavasandra Ind. Are"/>
    <s v="Mahadevapura"/>
    <s v="Bangalore"/>
    <s v="560 048"/>
    <s v="KA"/>
    <s v="India"/>
    <n v="8"/>
    <n v="0"/>
    <n v="8"/>
    <n v="1"/>
    <s v="Sun"/>
    <m/>
  </r>
  <r>
    <n v="200"/>
    <s v="Brakes India Ltd"/>
    <x v="189"/>
    <n v="242"/>
    <s v="4020J LX"/>
    <m/>
    <m/>
    <m/>
    <m/>
    <d v="2021-09-01T00:00:00"/>
    <d v="2022-02-28T00:00:00"/>
    <n v="3"/>
    <s v="Mr.K. Chakrapanu"/>
    <s v="M-QA"/>
    <s v="044 - 26529652"/>
    <s v="Near Melmaruvathur"/>
    <s v="Unit 64 Polambakkam"/>
    <m/>
    <s v="Kanchipuram"/>
    <n v="603309"/>
    <s v="TN"/>
    <s v="India"/>
    <n v="4"/>
    <n v="0"/>
    <n v="3"/>
    <n v="1"/>
    <s v="Sun"/>
    <m/>
  </r>
  <r>
    <n v="201"/>
    <s v="Unique Instruments &amp; Mfrs P Ltd"/>
    <x v="190"/>
    <n v="225"/>
    <s v="4020J LX"/>
    <m/>
    <m/>
    <m/>
    <m/>
    <m/>
    <m/>
    <n v="3"/>
    <s v="Mr.Devang Shah"/>
    <s v="MD"/>
    <s v="080 - 28362765"/>
    <s v="Peenya Industrial Area"/>
    <s v="423 11th cross,3rd Main"/>
    <s v="IV Phase"/>
    <s v="Bangalore"/>
    <n v="560058"/>
    <s v="KA"/>
    <s v="India"/>
    <n v="8"/>
    <n v="0"/>
    <n v="5"/>
    <n v="1"/>
    <s v="Sun"/>
    <m/>
  </r>
  <r>
    <n v="202"/>
    <s v="Reliance Diamond Tools"/>
    <x v="92"/>
    <n v="236"/>
    <s v="2015J LX"/>
    <m/>
    <m/>
    <m/>
    <m/>
    <m/>
    <m/>
    <n v="3"/>
    <s v="Mr. R Venkakaraman"/>
    <m/>
    <s v="044 - 25587523"/>
    <s v="Main Street"/>
    <s v="4A Venkatesan nagar"/>
    <s v="Sembiam"/>
    <s v="Chennai"/>
    <n v="600011"/>
    <s v="TN"/>
    <s v="India"/>
    <n v="4"/>
    <n v="0"/>
    <n v="4"/>
    <n v="1"/>
    <s v="Sun"/>
    <m/>
  </r>
  <r>
    <n v="203"/>
    <s v="Alfanar Electrical System"/>
    <x v="191"/>
    <s v="not_filled"/>
    <m/>
    <m/>
    <m/>
    <m/>
    <m/>
    <m/>
    <m/>
    <n v="3"/>
    <s v="Mr. Prakash Narendr"/>
    <s v="M-QA"/>
    <s v="966 1 265 1114"/>
    <s v="Between Exit 5 &amp; 6"/>
    <s v="P O Box 301 Northern ring road"/>
    <s v="Nr King Abdulazziz"/>
    <m/>
    <n v="11411"/>
    <s v="OC"/>
    <s v="Saudi Arab"/>
    <n v="0"/>
    <n v="0"/>
    <n v="0"/>
    <n v="0"/>
    <n v="0"/>
    <m/>
  </r>
  <r>
    <n v="204"/>
    <s v="PT. Minda Asean Automotive"/>
    <x v="149"/>
    <n v="124"/>
    <s v="2015J LX"/>
    <m/>
    <m/>
    <m/>
    <m/>
    <m/>
    <m/>
    <n v="3"/>
    <m/>
    <m/>
    <s v="+628889259884"/>
    <s v="Sukaluyau Taluk"/>
    <s v="JI. Permata Raya Lo Kawasan Industri KIIC"/>
    <s v="Jambe Karawan"/>
    <s v="Jawa Barat"/>
    <n v="41361"/>
    <s v="OC"/>
    <s v="Indonesia"/>
    <n v="0"/>
    <n v="0"/>
    <n v="0"/>
    <n v="0"/>
    <n v="0"/>
    <m/>
  </r>
  <r>
    <n v="205"/>
    <s v="Maruthi Suzuki India Ltd"/>
    <x v="192"/>
    <n v="234"/>
    <s v="4020J LX"/>
    <m/>
    <m/>
    <m/>
    <m/>
    <m/>
    <m/>
    <n v="3"/>
    <s v="Mr. Anil Agarwal"/>
    <s v="M-QA"/>
    <s v="0124- 23403341"/>
    <m/>
    <s v="Palam Gurgaon Road "/>
    <m/>
    <s v="Gurgaon"/>
    <n v="122015"/>
    <s v="HR"/>
    <s v="India"/>
    <n v="1"/>
    <n v="1"/>
    <n v="1"/>
    <n v="1"/>
    <s v="Sun"/>
    <m/>
  </r>
  <r>
    <n v="206"/>
    <s v="Napino Auto &amp; Electronics Ltd"/>
    <x v="193"/>
    <n v="274"/>
    <s v="2015J LX"/>
    <m/>
    <m/>
    <m/>
    <m/>
    <m/>
    <m/>
    <n v="3"/>
    <s v="Mr. A K Singh"/>
    <s v="M-QA"/>
    <m/>
    <s v="Phase V"/>
    <s v="753 - 754 Udyog Vihar"/>
    <m/>
    <s v="Gurgaon"/>
    <s v="122 016"/>
    <s v="HR"/>
    <s v="India"/>
    <n v="1"/>
    <n v="1"/>
    <n v="1"/>
    <n v="1"/>
    <s v="Sun"/>
    <m/>
  </r>
  <r>
    <n v="207"/>
    <s v="Quality Needles (P) Ltd"/>
    <x v="25"/>
    <n v="248"/>
    <s v="2015M"/>
    <m/>
    <d v="2012-09-25T00:00:00"/>
    <m/>
    <m/>
    <m/>
    <m/>
    <n v="3"/>
    <s v="Mr. Chiranjiv Singh"/>
    <s v="Director"/>
    <s v="0120 - 2581002"/>
    <s v="Gautam Budha Nagar"/>
    <s v="A-8 Sector 57"/>
    <m/>
    <s v="G.B Nagar"/>
    <n v="201307"/>
    <s v="UP"/>
    <s v="India"/>
    <n v="1"/>
    <n v="1"/>
    <n v="5"/>
    <n v="1"/>
    <s v="Sun"/>
    <m/>
  </r>
  <r>
    <n v="208"/>
    <s v="Vikson Spring Pvt Ltd"/>
    <x v="194"/>
    <n v="247"/>
    <s v="2015J LX"/>
    <m/>
    <m/>
    <m/>
    <m/>
    <d v="2024-11-07T00:00:00"/>
    <d v="2025-11-06T00:00:00"/>
    <n v="3"/>
    <s v="Mr. Sanjay"/>
    <m/>
    <m/>
    <s v="Phase I"/>
    <s v="C 29 Chakan MIDC"/>
    <s v="Dist Pune"/>
    <s v="Pune"/>
    <n v="410501"/>
    <s v="MH"/>
    <s v="India"/>
    <n v="2"/>
    <n v="4"/>
    <n v="2"/>
    <n v="1"/>
    <s v="Thu"/>
    <m/>
  </r>
  <r>
    <n v="209"/>
    <s v="MSS India Private Limited"/>
    <x v="195"/>
    <n v="256"/>
    <s v="4020J LX"/>
    <m/>
    <m/>
    <m/>
    <m/>
    <d v="2025-10-15T00:00:00"/>
    <d v="2026-10-14T00:00:00"/>
    <n v="3"/>
    <s v="Mr. Ajay Chaudhary"/>
    <m/>
    <s v="91 253 6611124"/>
    <s v="Ambad"/>
    <s v="H-8 MIDC Area"/>
    <s v="Nasik"/>
    <s v="Nashik"/>
    <s v="422 101"/>
    <s v="MH"/>
    <s v="India"/>
    <n v="2"/>
    <n v="3"/>
    <n v="0"/>
    <n v="1"/>
    <s v="Sat"/>
    <m/>
  </r>
  <r>
    <n v="210"/>
    <s v="CG Power &amp; Industrial soln Ltd (Crompton Greaves Ltd)"/>
    <x v="196"/>
    <n v="269"/>
    <s v="4020J LX"/>
    <m/>
    <m/>
    <m/>
    <m/>
    <d v="2021-12-16T00:00:00"/>
    <d v="2022-06-15T00:00:00"/>
    <n v="3"/>
    <s v="Mr. Sanjay Kshemkalyani"/>
    <m/>
    <s v="0253 2301331"/>
    <s v="Ambad"/>
    <s v="A-3 MIDC Area"/>
    <s v="Nasik"/>
    <s v="Nashik"/>
    <n v="422010"/>
    <s v="MH"/>
    <s v="India"/>
    <n v="2"/>
    <n v="3"/>
    <n v="0"/>
    <n v="1"/>
    <s v="Sat"/>
    <m/>
  </r>
  <r>
    <n v="211"/>
    <s v="DS Techno Rubber"/>
    <x v="197"/>
    <n v="245"/>
    <s v="2015J LX"/>
    <m/>
    <m/>
    <m/>
    <m/>
    <d v="2020-11-05T00:00:00"/>
    <d v="2021-11-04T00:00:00"/>
    <n v="3"/>
    <m/>
    <m/>
    <m/>
    <s v="Industrial Estate"/>
    <s v="243 SIDCO"/>
    <s v="Thirumudivakka"/>
    <s v="Chennai"/>
    <m/>
    <s v="TN"/>
    <s v="India"/>
    <n v="4"/>
    <n v="0"/>
    <n v="2"/>
    <n v="2"/>
    <s v="Sun"/>
    <m/>
  </r>
  <r>
    <n v="212"/>
    <s v="Sealtite Dichtungs Pvt Ltd"/>
    <x v="198"/>
    <n v="243"/>
    <s v="2015J LX"/>
    <m/>
    <d v="2011-06-07T00:00:00"/>
    <m/>
    <m/>
    <d v="2021-02-22T00:00:00"/>
    <d v="2022-02-21T00:00:00"/>
    <n v="3"/>
    <m/>
    <m/>
    <m/>
    <s v="Hosur Road,"/>
    <s v="112 B Bommasandra Indust"/>
    <m/>
    <s v="Bangalore"/>
    <m/>
    <s v="KA"/>
    <s v="India"/>
    <n v="8"/>
    <n v="0"/>
    <n v="1"/>
    <n v="2"/>
    <s v="Sun"/>
    <m/>
  </r>
  <r>
    <n v="213"/>
    <s v="Esya Engg Pvt Ltd"/>
    <x v="199"/>
    <s v="not_filled"/>
    <m/>
    <m/>
    <m/>
    <m/>
    <m/>
    <m/>
    <m/>
    <n v="3"/>
    <m/>
    <m/>
    <m/>
    <s v="Arumbakkam,"/>
    <s v="9-B, AKCET Tower, TSD Nagar main Road"/>
    <m/>
    <s v="Chennai"/>
    <s v="600 106"/>
    <s v="TN"/>
    <s v="India"/>
    <n v="4"/>
    <n v="0"/>
    <n v="4"/>
    <n v="1"/>
    <s v="Sun"/>
    <m/>
  </r>
  <r>
    <n v="214"/>
    <s v="Sri Engg Works"/>
    <x v="200"/>
    <n v="257"/>
    <s v="4020J LX"/>
    <m/>
    <m/>
    <m/>
    <m/>
    <m/>
    <m/>
    <n v="3"/>
    <s v="Mr. Sudhakar G"/>
    <s v="Mg - QA"/>
    <m/>
    <s v="Doddenkundi indl area,"/>
    <s v="31 / 3 1 st A Cross"/>
    <s v="Whitefield Road"/>
    <s v="Bangalore"/>
    <s v="560 048"/>
    <s v="KA"/>
    <s v="India"/>
    <n v="8"/>
    <n v="0"/>
    <n v="8"/>
    <n v="1"/>
    <s v="Sun"/>
    <m/>
  </r>
  <r>
    <n v="215"/>
    <s v="Accusharp"/>
    <x v="51"/>
    <n v="252"/>
    <s v="2015J HT"/>
    <m/>
    <m/>
    <m/>
    <m/>
    <m/>
    <m/>
    <n v="3"/>
    <s v="Mr. Ayaz Shaikh"/>
    <s v="(GM)"/>
    <s v="020-27129016"/>
    <s v="Paras Co-op Ind. Estate"/>
    <s v="No.71/1B/11 Next to JBM Tools"/>
    <s v="MIDC, Bhosari"/>
    <s v="Pune"/>
    <n v="411026"/>
    <s v="MH"/>
    <s v="India"/>
    <n v="2"/>
    <n v="4"/>
    <n v="1"/>
    <n v="1"/>
    <s v="Thu "/>
    <m/>
  </r>
  <r>
    <n v="216"/>
    <s v="Rane (Madras) Ltd ((Rane Engine Valve Ltd (Kar Mobiles Limited))"/>
    <x v="201"/>
    <n v="251"/>
    <s v="2015J LX"/>
    <m/>
    <m/>
    <m/>
    <m/>
    <d v="2021-01-28T00:00:00"/>
    <d v="2022-01-27T00:00:00"/>
    <n v="3"/>
    <s v="Mr. M Richard"/>
    <s v="Quality"/>
    <n v="9551609822"/>
    <s v="Redhills Road"/>
    <s v="Plant-3 P.N.No.4"/>
    <s v="Madhavaram"/>
    <s v="Ponneri"/>
    <n v="601204"/>
    <s v="TN"/>
    <s v="India"/>
    <n v="4"/>
    <n v="0"/>
    <n v="2"/>
    <n v="1"/>
    <s v="Sun"/>
    <m/>
  </r>
  <r>
    <n v="217"/>
    <s v="Polycab India Ltd (Polycab Wires Pvt Ltd)"/>
    <x v="202"/>
    <n v="246"/>
    <s v="2015J LX"/>
    <m/>
    <m/>
    <m/>
    <m/>
    <d v="2022-07-24T00:00:00"/>
    <d v="2023-07-23T00:00:00"/>
    <n v="3"/>
    <s v="Mr. Victor Fernandez"/>
    <m/>
    <s v="0253-6699712"/>
    <s v="MIDC Area"/>
    <s v="E-56 D Road"/>
    <s v="Ambad"/>
    <s v="Nashik"/>
    <n v="422010"/>
    <s v="MH"/>
    <s v="India"/>
    <n v="2"/>
    <n v="3"/>
    <n v="0"/>
    <n v="1"/>
    <s v="Sat"/>
    <m/>
  </r>
  <r>
    <n v="218"/>
    <s v="Classic Stripes Pvt Ltd"/>
    <x v="203"/>
    <n v="258"/>
    <s v="4020J LX"/>
    <m/>
    <d v="2011-08-19T00:00:00"/>
    <m/>
    <m/>
    <d v="2021-11-23T00:00:00"/>
    <d v="2022-11-22T00:00:00"/>
    <n v="3"/>
    <s v="Mr. Bhushan Kasar"/>
    <s v="Executive SCM"/>
    <s v="0250 2571111"/>
    <s v="Nalasopara Road"/>
    <s v="Survey No 188 Sopara Phata"/>
    <s v="Pelhar"/>
    <s v="Thane"/>
    <n v="401208"/>
    <s v="MH"/>
    <s v="India"/>
    <n v="2"/>
    <n v="2"/>
    <n v="2"/>
    <n v="2"/>
    <s v="Sun"/>
    <m/>
  </r>
  <r>
    <n v="219"/>
    <s v="Stumpp Schuele &amp; Somappa Springs Pvt Ltd"/>
    <x v="45"/>
    <n v="303"/>
    <s v="2015J LX"/>
    <m/>
    <m/>
    <m/>
    <m/>
    <d v="2022-01-25T00:00:00"/>
    <d v="2023-01-24T00:00:00"/>
    <n v="3"/>
    <s v="Mr. Suresh"/>
    <s v="Chief, QA"/>
    <s v="080-25532335"/>
    <s v="Koramangala"/>
    <s v="139/2 Hosur Road"/>
    <m/>
    <s v="Bangalore"/>
    <n v="560095"/>
    <s v="KA"/>
    <s v="India"/>
    <n v="8"/>
    <n v="0"/>
    <n v="1"/>
    <n v="2"/>
    <s v="Sun"/>
    <m/>
  </r>
  <r>
    <n v="220"/>
    <s v="Esbee Industrial Combines"/>
    <x v="204"/>
    <n v="250"/>
    <s v="2015J LX"/>
    <m/>
    <m/>
    <m/>
    <m/>
    <d v="2025-05-05T00:00:00"/>
    <d v="2026-05-04T00:00:00"/>
    <n v="3"/>
    <s v="Mr. Mallikarjun Hawari"/>
    <m/>
    <s v="022-30681002/6"/>
    <s v="Bhosari"/>
    <s v="J - 159 MIDC"/>
    <s v="Pune"/>
    <s v="Pune"/>
    <n v="411026"/>
    <s v="MH"/>
    <s v="India"/>
    <n v="2"/>
    <n v="4"/>
    <n v="1"/>
    <n v="1"/>
    <s v="Thu "/>
    <m/>
  </r>
  <r>
    <n v="221"/>
    <s v="Pappu Engg Works,"/>
    <x v="205"/>
    <n v="253"/>
    <s v="2015J LX"/>
    <m/>
    <m/>
    <m/>
    <m/>
    <m/>
    <m/>
    <n v="3"/>
    <s v="Mr. Pappu Sharma"/>
    <m/>
    <s v="022-24919955/66"/>
    <s v="A-Wings,"/>
    <s v="212, 2nd Floor"/>
    <s v="Kewal Industrie"/>
    <s v="Mumbai"/>
    <n v="400013"/>
    <s v="MH"/>
    <s v="India"/>
    <n v="2"/>
    <n v="2"/>
    <n v="2"/>
    <n v="4"/>
    <s v="Sun"/>
    <m/>
  </r>
  <r>
    <n v="222"/>
    <s v="Paloma Turning Co. Pvt. Ltd"/>
    <x v="206"/>
    <n v="262"/>
    <s v="2015J LX"/>
    <m/>
    <m/>
    <m/>
    <m/>
    <d v="2021-10-01T00:00:00"/>
    <d v="2022-09-30T00:00:00"/>
    <n v="3"/>
    <s v="Mr. Ashok"/>
    <m/>
    <s v="080-27820688"/>
    <s v="Behind AVS Concrete"/>
    <s v="173/2 Bandapura Village Rd"/>
    <s v="Off Hosur Road"/>
    <s v="Bangalore"/>
    <n v="562106"/>
    <s v="KA"/>
    <s v="India"/>
    <n v="8"/>
    <n v="0"/>
    <n v="1"/>
    <n v="3"/>
    <s v="Sun"/>
    <m/>
  </r>
  <r>
    <n v="223"/>
    <s v="Schneider Electric India Pvt. Ltd."/>
    <x v="207"/>
    <n v="259"/>
    <s v="4020J LX"/>
    <m/>
    <m/>
    <m/>
    <m/>
    <d v="2021-11-01T00:00:00"/>
    <d v="2022-10-31T00:00:00"/>
    <n v="3"/>
    <s v="Mr. Kiran Kumar CK"/>
    <s v="Senior Engineer"/>
    <s v="080-27820211"/>
    <s v="Neralur"/>
    <s v="No 16 (K) Attibele Industrial Ar"/>
    <s v="Attibele"/>
    <s v="Bangalore"/>
    <n v="562107"/>
    <s v="KA"/>
    <s v="India"/>
    <n v="8"/>
    <n v="0"/>
    <n v="1"/>
    <n v="2"/>
    <s v="Sun"/>
    <m/>
  </r>
  <r>
    <n v="224"/>
    <s v="Phoenix Precision Parts"/>
    <x v="208"/>
    <n v="261"/>
    <s v="2015J LX"/>
    <m/>
    <m/>
    <m/>
    <m/>
    <m/>
    <m/>
    <n v="3"/>
    <s v="Mr. Girish G S"/>
    <m/>
    <s v="080- 28391138"/>
    <s v="1st stage"/>
    <s v="SB51 4th Cross"/>
    <s v="Peenya Industri"/>
    <s v="Bangalore"/>
    <n v="560058"/>
    <s v="KA"/>
    <s v="India"/>
    <n v="8"/>
    <n v="0"/>
    <n v="5"/>
    <n v="1"/>
    <s v="Sun"/>
    <m/>
  </r>
  <r>
    <n v="225"/>
    <s v="Sandhar Automotives"/>
    <x v="209"/>
    <n v="266"/>
    <s v="4020J LX"/>
    <m/>
    <d v="2011-10-08T00:00:00"/>
    <m/>
    <m/>
    <d v="2018-10-01T00:00:00"/>
    <d v="2019-09-30T00:00:00"/>
    <n v="3"/>
    <s v="Mr. Deep Chandra Pa"/>
    <s v="Manager"/>
    <s v="0124-4959930"/>
    <s v="Sector 18"/>
    <s v="03-04-2011 HSIDC Industrial Area"/>
    <s v="Gurgaon"/>
    <s v="Gurgaon"/>
    <n v="122015"/>
    <s v="HR"/>
    <s v="India"/>
    <n v="1"/>
    <n v="1"/>
    <n v="1"/>
    <n v="1"/>
    <s v="Sun"/>
    <m/>
  </r>
  <r>
    <n v="226"/>
    <s v="HPL Electric &amp; Power Pvt. Ltd"/>
    <x v="210"/>
    <n v="264"/>
    <s v="2015J LX"/>
    <m/>
    <m/>
    <m/>
    <m/>
    <d v="2021-10-04T00:00:00"/>
    <d v="2022-10-03T00:00:00"/>
    <n v="3"/>
    <m/>
    <m/>
    <m/>
    <s v="Sector 57, Kundli Industrial Area"/>
    <s v="Plot No 76 B HSIIDC Phase-4"/>
    <m/>
    <s v="Sonipat"/>
    <n v="131028"/>
    <s v="HR"/>
    <s v="India"/>
    <n v="1"/>
    <n v="1"/>
    <n v="3"/>
    <n v="2"/>
    <s v="Sun"/>
    <m/>
  </r>
  <r>
    <n v="227"/>
    <s v="Indo-MIM Pvt Ltd (INDO MIM Tec Pvt Ltd)"/>
    <x v="211"/>
    <n v="926"/>
    <s v="4020J LX"/>
    <m/>
    <d v="2022-01-11T00:00:00"/>
    <m/>
    <m/>
    <d v="2022-01-11T00:00:00"/>
    <d v="2023-01-10T00:00:00"/>
    <n v="3"/>
    <s v="Mr. Ashok"/>
    <s v="QA Manager"/>
    <n v="8892880778"/>
    <s v="KIADB Industrial Area"/>
    <s v="Formerly Know as Indo-US MIM Tec Pvt Ltd) 45 (P)"/>
    <s v="Dodballapur"/>
    <s v="Bangalore"/>
    <n v="561203"/>
    <s v="KA"/>
    <s v="India"/>
    <n v="8"/>
    <n v="0"/>
    <n v="6"/>
    <n v="1"/>
    <s v="Sun"/>
    <m/>
  </r>
  <r>
    <n v="228"/>
    <s v="Magna Automotive India Pvt Ltd (Magna Closures Automotive P Ltd)"/>
    <x v="212"/>
    <n v="268"/>
    <s v="4020J LX"/>
    <m/>
    <m/>
    <m/>
    <m/>
    <d v="2021-08-12T00:00:00"/>
    <d v="2022-08-11T00:00:00"/>
    <n v="3"/>
    <s v="Mr. Saravanan"/>
    <m/>
    <m/>
    <s v="Maraimalainagar"/>
    <s v="Plot No 17 Chithamanoor Indust"/>
    <s v="Changalpattu"/>
    <s v="Chennai"/>
    <n v="603209"/>
    <s v="TN"/>
    <s v="India"/>
    <n v="4"/>
    <n v="0"/>
    <n v="2"/>
    <n v="4"/>
    <s v="Sun"/>
    <m/>
  </r>
  <r>
    <n v="229"/>
    <s v="Delphi TVS Diesel Systems Ltd."/>
    <x v="87"/>
    <n v="254"/>
    <s v="2015J LX"/>
    <m/>
    <m/>
    <m/>
    <m/>
    <m/>
    <m/>
    <n v="3"/>
    <s v="Mr. S S Balasubraman"/>
    <s v="AGM QA"/>
    <s v="044-27659222"/>
    <m/>
    <s v="Mannur Koottu Roa Thodukadu (Post)"/>
    <m/>
    <s v="Sriperumbudur"/>
    <n v="602105"/>
    <s v="TN"/>
    <s v="India"/>
    <n v="4"/>
    <n v="0"/>
    <n v="3"/>
    <n v="1"/>
    <s v="Sun"/>
    <m/>
  </r>
  <r>
    <n v="230"/>
    <s v="Navkar Technologies"/>
    <x v="213"/>
    <n v="221"/>
    <s v="2015J LX"/>
    <m/>
    <m/>
    <m/>
    <m/>
    <m/>
    <m/>
    <n v="3"/>
    <s v="Mr. Nimesh F Bhandari"/>
    <m/>
    <s v="0253-3292444"/>
    <s v="Mahatama Nagar"/>
    <s v="1st Floor Adgonkar Plaza"/>
    <m/>
    <s v="Nashik"/>
    <n v="422007"/>
    <s v="MH"/>
    <s v="India"/>
    <n v="2"/>
    <n v="3"/>
    <n v="0"/>
    <n v="1"/>
    <s v="Sat"/>
    <m/>
  </r>
  <r>
    <n v="231"/>
    <s v="Rane Engine Valves Ltd (Kar Mobiles Limited)"/>
    <x v="214"/>
    <n v="238"/>
    <s v="2015J LX"/>
    <m/>
    <m/>
    <m/>
    <m/>
    <d v="2021-06-20T00:00:00"/>
    <d v="2022-06-19T00:00:00"/>
    <n v="3"/>
    <s v="Mr. T C Santosh Kumar"/>
    <m/>
    <s v="0816-2243106"/>
    <s v="Tumkur"/>
    <s v="Plot no 36 B &amp; 37 Hirehally Industrial A"/>
    <m/>
    <s v="Tumkur"/>
    <n v="572168"/>
    <s v="KA"/>
    <s v="India"/>
    <n v="8"/>
    <n v="0"/>
    <n v="5"/>
    <n v="2"/>
    <s v="Sun"/>
    <m/>
  </r>
  <r>
    <n v="232"/>
    <s v="Fastenex Pvt Ltd (Leo Fasteners)"/>
    <x v="215"/>
    <n v="285"/>
    <s v="4020J LX"/>
    <m/>
    <m/>
    <m/>
    <m/>
    <d v="2021-10-21T00:00:00"/>
    <d v="2022-10-20T00:00:00"/>
    <n v="3"/>
    <s v="Mr. Saravanan. A."/>
    <m/>
    <s v="0413-2248225"/>
    <s v="Vanur Taluk"/>
    <s v="RS No.:31/4 Thiruchitambalam"/>
    <s v="Villupuram Dist"/>
    <s v="Pondicherry"/>
    <s v="605 111"/>
    <s v="TN"/>
    <s v="India"/>
    <n v="4"/>
    <n v="0"/>
    <n v="1"/>
    <n v="3"/>
    <s v="Sun"/>
    <m/>
  </r>
  <r>
    <n v="233"/>
    <s v="Shining Tools Pvt Ltd (Shine Industries)"/>
    <x v="216"/>
    <n v="273"/>
    <s v="2015J LX"/>
    <m/>
    <d v="2012-12-12T00:00:00"/>
    <m/>
    <m/>
    <m/>
    <m/>
    <n v="3"/>
    <s v="Mr. Kiran Ghonia"/>
    <m/>
    <n v="9825121514"/>
    <s v="Behind Parin Furniture, N"/>
    <s v="Shreenathji Estate- Rani Industrial Area"/>
    <s v="Vavdi"/>
    <s v="Rajkot"/>
    <n v="360004"/>
    <s v="GJ"/>
    <s v="India"/>
    <n v="5"/>
    <n v="3"/>
    <n v="0"/>
    <n v="1"/>
    <s v="Wed"/>
    <m/>
  </r>
  <r>
    <n v="234"/>
    <s v="Sanjith Moulds Pvt. Ltd.,"/>
    <x v="217"/>
    <n v="275"/>
    <s v="2015J LX"/>
    <m/>
    <m/>
    <m/>
    <m/>
    <d v="2021-09-27T00:00:00"/>
    <d v="2022-09-26T00:00:00"/>
    <n v="3"/>
    <s v="Mr. Sunil Bagul"/>
    <s v="MD"/>
    <s v="0253-6603771"/>
    <s v="Ambad"/>
    <s v="G-61 MIDC"/>
    <s v="Nashik"/>
    <s v="Nashik"/>
    <n v="422010"/>
    <s v="MH"/>
    <s v="India"/>
    <n v="2"/>
    <n v="3"/>
    <n v="0"/>
    <n v="1"/>
    <s v="Sat"/>
    <m/>
  </r>
  <r>
    <n v="235"/>
    <s v="AG Industries"/>
    <x v="218"/>
    <n v="281"/>
    <s v="V4020J LX"/>
    <m/>
    <d v="2011-12-12T00:00:00"/>
    <m/>
    <m/>
    <m/>
    <m/>
    <n v="3"/>
    <m/>
    <m/>
    <m/>
    <s v="Bawal"/>
    <s v="Plot No. 97-102&amp; 1 Sec-6"/>
    <s v="Rewari"/>
    <s v="Rewari"/>
    <n v="123401"/>
    <s v="HR"/>
    <s v="India"/>
    <n v="1"/>
    <n v="0"/>
    <n v="4"/>
    <n v="2"/>
    <s v="Sun"/>
    <m/>
  </r>
  <r>
    <n v="236"/>
    <s v="RC Engg"/>
    <x v="219"/>
    <n v="271"/>
    <s v="2015J LX"/>
    <m/>
    <d v="2012-04-02T00:00:00"/>
    <m/>
    <m/>
    <m/>
    <m/>
    <n v="3"/>
    <s v="Mr. S. Govindrajilu"/>
    <s v="MD"/>
    <n v="9382506380"/>
    <s v="Santhosh Nagar"/>
    <s v="5/302 Baba Street"/>
    <s v="Kandanchavadi"/>
    <s v="Chennai"/>
    <n v="600096"/>
    <s v="TN"/>
    <s v="India"/>
    <n v="4"/>
    <n v="0"/>
    <n v="2"/>
    <n v="1"/>
    <s v="Sun"/>
    <m/>
  </r>
  <r>
    <n v="237"/>
    <s v="Bosch Limited"/>
    <x v="220"/>
    <n v="276"/>
    <s v="2015J LX"/>
    <m/>
    <m/>
    <m/>
    <m/>
    <d v="2023-11-18T00:00:00"/>
    <d v="2024-11-17T00:00:00"/>
    <n v="3"/>
    <s v="Mr. Kale"/>
    <m/>
    <s v="0253 2294970"/>
    <s v="Satpur"/>
    <s v="75 MIDC"/>
    <m/>
    <s v="Nashik"/>
    <n v="422007"/>
    <s v="MH"/>
    <s v="India"/>
    <n v="2"/>
    <n v="3"/>
    <n v="0"/>
    <n v="1"/>
    <s v="Sat"/>
    <m/>
  </r>
  <r>
    <n v="238"/>
    <s v="Bosch Limited"/>
    <x v="220"/>
    <n v="277"/>
    <s v="2015J LX"/>
    <m/>
    <m/>
    <m/>
    <m/>
    <d v="2023-11-18T00:00:00"/>
    <d v="2024-11-17T00:00:00"/>
    <n v="3"/>
    <s v="Mr. Sameeulhaq Dandoti"/>
    <m/>
    <s v="0253 2294970"/>
    <s v="Satpur"/>
    <s v="75 MIDC"/>
    <m/>
    <s v="Nashik"/>
    <n v="422007"/>
    <s v="MH"/>
    <s v="India"/>
    <n v="2"/>
    <n v="3"/>
    <n v="0"/>
    <n v="1"/>
    <s v="Sat"/>
    <m/>
  </r>
  <r>
    <n v="239"/>
    <s v="Narmada Rings Pvt Ltd"/>
    <x v="221"/>
    <n v="265"/>
    <s v="2015J LX"/>
    <m/>
    <m/>
    <m/>
    <m/>
    <m/>
    <m/>
    <n v="3"/>
    <s v="Mr. Subhashbhai. Vac"/>
    <s v="MD"/>
    <s v="02827 253150"/>
    <s v="Kotda Sangani"/>
    <s v="13 Vrundavan Ind. Estat"/>
    <s v="Shapar"/>
    <s v="Rajkot"/>
    <m/>
    <s v="RJ"/>
    <s v="India"/>
    <n v="5"/>
    <n v="3"/>
    <n v="0"/>
    <n v="1"/>
    <s v="Wed"/>
    <m/>
  </r>
  <r>
    <n v="240"/>
    <s v="Allison Transmission India Pvt Ltd"/>
    <x v="222"/>
    <n v="283"/>
    <s v="4020J LX"/>
    <m/>
    <m/>
    <m/>
    <m/>
    <d v="2021-12-13T00:00:00"/>
    <d v="2022-12-12T00:00:00"/>
    <n v="3"/>
    <s v="Mr. R Baskaran"/>
    <m/>
    <m/>
    <s v="Oragadam"/>
    <s v="A 21 SIPCOT"/>
    <s v="Kanchipuram di"/>
    <s v="Chennai"/>
    <n v="602105"/>
    <s v="TN"/>
    <s v="India"/>
    <n v="4"/>
    <n v="0"/>
    <n v="3"/>
    <n v="1"/>
    <s v="Sun"/>
    <m/>
  </r>
  <r>
    <n v="241"/>
    <s v="Aurolab (Moulding Dept)"/>
    <x v="223"/>
    <n v="401"/>
    <s v="2015J LX"/>
    <m/>
    <m/>
    <m/>
    <m/>
    <d v="2021-02-05T00:00:00"/>
    <d v="2022-02-04T00:00:00"/>
    <n v="3"/>
    <s v="Mr. Sundara Ganesh"/>
    <s v="Product Develo"/>
    <s v="0452 - 2446100"/>
    <s v="Veerapanjan"/>
    <s v="No, 1 Sivagangai Main Road"/>
    <m/>
    <s v="Madurai"/>
    <n v="6250201"/>
    <s v="TN"/>
    <s v="India"/>
    <n v="4"/>
    <n v="1"/>
    <n v="0"/>
    <n v="1"/>
    <s v="Sun"/>
    <m/>
  </r>
  <r>
    <n v="242"/>
    <s v="Continental Automotive Components (I) P L"/>
    <x v="224"/>
    <n v="282"/>
    <s v="4020J LX"/>
    <m/>
    <m/>
    <m/>
    <m/>
    <d v="2021-10-10T00:00:00"/>
    <d v="2022-10-09T00:00:00"/>
    <n v="3"/>
    <s v="Mr. Ravi Anthony"/>
    <s v="Purchase"/>
    <s v="080 66115131"/>
    <s v="IMT"/>
    <s v="16 Sector 5"/>
    <s v="Manesar"/>
    <s v="Gurgaon"/>
    <n v="122001"/>
    <s v="HR"/>
    <s v="India"/>
    <n v="1"/>
    <n v="1"/>
    <n v="1"/>
    <n v="1"/>
    <s v="Sun"/>
    <m/>
  </r>
  <r>
    <n v="243"/>
    <s v="Vitesco Technologies India Pvt Ltd (Continental Automotive Components (I) P L)"/>
    <x v="225"/>
    <n v="284"/>
    <s v="4020J LX"/>
    <m/>
    <d v="2012-01-07T00:00:00"/>
    <m/>
    <m/>
    <d v="2024-07-19T00:00:00"/>
    <d v="2025-07-18T00:00:00"/>
    <n v="3"/>
    <s v="Mr. Nilesh Khanderkar"/>
    <s v="QC-Head"/>
    <n v="8390220045"/>
    <s v="Village- Badhalwadi, Post NavLak"/>
    <s v="Plot No. B2 Phase II"/>
    <s v="Tal: Maval"/>
    <s v="Pune"/>
    <n v="410507"/>
    <s v="MH"/>
    <s v="India"/>
    <n v="2"/>
    <n v="4"/>
    <n v="2"/>
    <n v="1"/>
    <s v="Thu"/>
    <m/>
  </r>
  <r>
    <n v="244"/>
    <s v="Mahindra CIE Automotive Ltd (Bill Forge Private Limited)"/>
    <x v="226"/>
    <n v="272"/>
    <s v="2015J CX"/>
    <m/>
    <m/>
    <m/>
    <m/>
    <d v="2021-06-21T00:00:00"/>
    <d v="2022-06-20T00:00:00"/>
    <n v="3"/>
    <s v="Mr. Chandrashekar"/>
    <m/>
    <s v="080 27809108"/>
    <s v="Jigani Industrial area,"/>
    <s v="Plot No 86 KIADB Industrial Area"/>
    <s v="Anekal Taluk"/>
    <s v="Bangalore"/>
    <n v="560105"/>
    <s v="KA"/>
    <s v="India"/>
    <n v="8"/>
    <n v="0"/>
    <n v="2"/>
    <n v="1"/>
    <s v="Sun"/>
    <m/>
  </r>
  <r>
    <n v="245"/>
    <s v="Fine Care Biosystems"/>
    <x v="227"/>
    <n v="278"/>
    <s v="2015J LX"/>
    <m/>
    <d v="2012-01-13T00:00:00"/>
    <m/>
    <m/>
    <m/>
    <m/>
    <n v="3"/>
    <s v="Mr. A J Rodrigues"/>
    <s v="Manager"/>
    <m/>
    <s v="Gota-Vadsar road"/>
    <s v="228/1/4 Dantali Industrial Are"/>
    <s v="Village Dantali"/>
    <s v="Gandhinagar"/>
    <n v="382721"/>
    <s v="GJ"/>
    <s v="India"/>
    <n v="5"/>
    <n v="3"/>
    <n v="0"/>
    <n v="1"/>
    <s v="Wed"/>
    <m/>
  </r>
  <r>
    <n v="246"/>
    <s v="Sathvik Engineers"/>
    <x v="228"/>
    <n v="263"/>
    <s v="2015J LX"/>
    <m/>
    <m/>
    <m/>
    <m/>
    <d v="2021-08-07T00:00:00"/>
    <d v="2022-08-06T00:00:00"/>
    <n v="3"/>
    <s v="Mr. Manjunath"/>
    <m/>
    <s v="080 2836 4185"/>
    <s v="1st Cross"/>
    <s v="No 43 1st Main"/>
    <s v="Doddanna Indus"/>
    <s v="Bangalore"/>
    <s v="560 091"/>
    <s v="KA"/>
    <s v="India"/>
    <n v="8"/>
    <n v="0"/>
    <n v="5"/>
    <n v="1"/>
    <s v="Sun"/>
    <m/>
  </r>
  <r>
    <n v="247"/>
    <s v="Metro - Gijutsu Center"/>
    <x v="229"/>
    <n v="289"/>
    <s v="2015J LX"/>
    <m/>
    <m/>
    <m/>
    <m/>
    <m/>
    <m/>
    <n v="3"/>
    <s v="Mr. Rajan Kava"/>
    <m/>
    <s v="0281 2466625"/>
    <s v="Near Gondal Road"/>
    <s v="No 7/12 Bhaktinagar Station P"/>
    <m/>
    <s v="Rajkot"/>
    <n v="360002"/>
    <s v="GJ"/>
    <s v="India"/>
    <n v="5"/>
    <n v="3"/>
    <n v="0"/>
    <n v="1"/>
    <s v="Wed"/>
    <m/>
  </r>
  <r>
    <n v="248"/>
    <s v="Precision Sintered Products"/>
    <x v="230"/>
    <n v="329"/>
    <s v="V2015"/>
    <m/>
    <m/>
    <m/>
    <m/>
    <m/>
    <m/>
    <n v="3"/>
    <s v="Mr. Manish Dadhania"/>
    <m/>
    <s v="02827 296266"/>
    <s v="Road - D"/>
    <s v="No 2611 Lodhika GIDC Estate"/>
    <s v="Kranti Gate"/>
    <s v="Rajkot"/>
    <n v="360021"/>
    <s v="GJ"/>
    <s v="India"/>
    <n v="5"/>
    <n v="3"/>
    <n v="0"/>
    <n v="1"/>
    <s v="Wed"/>
    <m/>
  </r>
  <r>
    <n v="249"/>
    <s v="Fastenex Pvt Ltd (Leo Fasteners)"/>
    <x v="215"/>
    <n v="296"/>
    <s v="4020J LX"/>
    <m/>
    <m/>
    <m/>
    <m/>
    <d v="2021-10-21T00:00:00"/>
    <d v="2022-10-20T00:00:00"/>
    <n v="3"/>
    <s v="Mr. Saravanan. A."/>
    <m/>
    <s v="0413-2248225"/>
    <s v="Vanur Taluk"/>
    <s v="RS No.:31/4 Thiruchitambalam"/>
    <s v="Villupuram Dist"/>
    <s v="Pondicherry"/>
    <s v="605 111"/>
    <s v="TN"/>
    <s v="India"/>
    <n v="4"/>
    <n v="0"/>
    <n v="1"/>
    <n v="3"/>
    <s v="Sun"/>
    <m/>
  </r>
  <r>
    <n v="250"/>
    <s v="Fastenex Pvt Ltd (Leo Fasteners)"/>
    <x v="215"/>
    <n v="270"/>
    <s v="4020J LX"/>
    <m/>
    <m/>
    <m/>
    <m/>
    <d v="2021-10-21T00:00:00"/>
    <d v="2022-10-20T00:00:00"/>
    <n v="3"/>
    <s v="Mr. Saravanan. A."/>
    <m/>
    <s v="0413-2248225"/>
    <s v="Thattanchavady"/>
    <s v="A-259 Industrial Estate"/>
    <s v="Pondicherry"/>
    <s v="Pondicherry"/>
    <s v="605 111"/>
    <s v="TN"/>
    <s v="India"/>
    <n v="4"/>
    <n v="0"/>
    <n v="1"/>
    <n v="3"/>
    <s v="Sun"/>
    <m/>
  </r>
  <r>
    <n v="251"/>
    <s v="Napino Auto &amp; Electronics Ltd"/>
    <x v="193"/>
    <n v="295"/>
    <s v="2015J LX"/>
    <m/>
    <m/>
    <m/>
    <m/>
    <d v="2021-06-01T00:00:00"/>
    <d v="2022-05-30T00:00:00"/>
    <n v="3"/>
    <s v="Mr. A K Singh"/>
    <s v="Manager"/>
    <m/>
    <s v="IMT Manesar"/>
    <s v="Plot No 131 Sector - 8"/>
    <m/>
    <s v="Gurgaon"/>
    <n v="122050"/>
    <s v="HR"/>
    <s v="India"/>
    <n v="1"/>
    <n v="1"/>
    <n v="1"/>
    <n v="1"/>
    <s v="Sun"/>
    <m/>
  </r>
  <r>
    <n v="252"/>
    <s v="Napino Auto &amp; Electronics Ltd"/>
    <x v="193"/>
    <n v="304"/>
    <s v="2015J LX"/>
    <m/>
    <m/>
    <m/>
    <m/>
    <d v="2025-07-20T00:00:00"/>
    <d v="2026-07-19T00:00:00"/>
    <n v="3"/>
    <s v="Mr. A K Singh"/>
    <s v="Manager"/>
    <s v="124 2290050"/>
    <s v="IMT Manesar"/>
    <s v="Plot No 76 B Sector - 3"/>
    <m/>
    <s v="Gurgaon"/>
    <n v="122050"/>
    <s v="HR"/>
    <s v="India"/>
    <n v="1"/>
    <n v="1"/>
    <n v="1"/>
    <n v="1"/>
    <s v="Sun"/>
    <m/>
  </r>
  <r>
    <n v="253"/>
    <s v="Ceratizit India Pvt Ltd"/>
    <x v="231"/>
    <n v="294"/>
    <s v="2015J LX"/>
    <m/>
    <m/>
    <m/>
    <m/>
    <d v="2025-05-28T00:00:00"/>
    <d v="2026-04-27T00:00:00"/>
    <n v="3"/>
    <s v="Mr. Saranath Bhaduri"/>
    <s v="VP"/>
    <s v="033 - 24940581"/>
    <s v="Barisha"/>
    <s v="58 Motilal Gupta Road"/>
    <m/>
    <s v="Kolkata"/>
    <n v="700008"/>
    <s v="WB"/>
    <s v="India"/>
    <n v="8"/>
    <n v="0"/>
    <n v="0"/>
    <n v="5"/>
    <s v="Sun"/>
    <m/>
  </r>
  <r>
    <n v="254"/>
    <s v="Bhabha Atomic Research Centre"/>
    <x v="232"/>
    <n v="286"/>
    <s v="2015J LX"/>
    <m/>
    <m/>
    <m/>
    <m/>
    <d v="2022-01-10T00:00:00"/>
    <d v="2023-01-09T00:00:00"/>
    <n v="3"/>
    <m/>
    <m/>
    <s v="022 25487104"/>
    <m/>
    <s v="V S Bhavan Anushakti Nagar"/>
    <m/>
    <s v="Mumbai"/>
    <s v="400 094"/>
    <s v="MH"/>
    <s v="India"/>
    <n v="2"/>
    <n v="2"/>
    <n v="2"/>
    <n v="4"/>
    <s v="Sun"/>
    <m/>
  </r>
  <r>
    <n v="255"/>
    <s v="Chakradhara Aerospace &amp; Cargo Pvt Ltd"/>
    <x v="101"/>
    <n v="298"/>
    <s v="4020J LX"/>
    <m/>
    <m/>
    <m/>
    <m/>
    <d v="2021-10-14T00:00:00"/>
    <d v="2022-10-13T00:00:00"/>
    <n v="3"/>
    <m/>
    <m/>
    <s v="0422 2664100"/>
    <s v="Kalapatti"/>
    <s v="No 20 SITRA - Kalapatti Roa"/>
    <m/>
    <s v="Coimbatore"/>
    <s v="641 048"/>
    <s v="TN"/>
    <s v="India"/>
    <n v="4"/>
    <n v="1"/>
    <n v="1"/>
    <n v="1"/>
    <s v="Sun"/>
    <m/>
  </r>
  <r>
    <n v="256"/>
    <s v="Imperial Pharmachines Pvt Ltd"/>
    <x v="233"/>
    <n v="307"/>
    <s v="2015J LX"/>
    <m/>
    <m/>
    <m/>
    <m/>
    <d v="2021-08-05T00:00:00"/>
    <d v="2022-08-04T00:00:00"/>
    <n v="3"/>
    <s v="Mr. Naresh Singhania"/>
    <m/>
    <s v="022-25781989"/>
    <s v="MIDC Industrial Area"/>
    <s v="Plot No. R-77 T.T.C"/>
    <s v="Rabale"/>
    <s v="Navi Mumbai"/>
    <m/>
    <s v="MH"/>
    <s v="India"/>
    <n v="2"/>
    <n v="2"/>
    <n v="2"/>
    <n v="4"/>
    <s v="Sun"/>
    <m/>
  </r>
  <r>
    <n v="257"/>
    <s v="Malvika Jewellery Pvt Ltd"/>
    <x v="234"/>
    <n v="306"/>
    <s v="2015J LX"/>
    <m/>
    <d v="2012-05-10T00:00:00"/>
    <m/>
    <m/>
    <m/>
    <m/>
    <n v="3"/>
    <s v="Mr. Ravish Pahuja"/>
    <m/>
    <s v="022-43222135"/>
    <s v="Kalachowki"/>
    <s v="Unit No. 4/8.80/88 D L Marg Opp. Hakob"/>
    <m/>
    <s v="Mumbai"/>
    <s v="400 033"/>
    <s v="MH"/>
    <s v="India"/>
    <n v="2"/>
    <n v="1"/>
    <n v="1"/>
    <n v="5"/>
    <s v="Sun"/>
    <m/>
  </r>
  <r>
    <n v="258"/>
    <s v="Amphenol Interconnect India Pvt Ltd"/>
    <x v="235"/>
    <n v="305"/>
    <s v="2015J LX"/>
    <m/>
    <d v="2019-09-09T00:00:00"/>
    <m/>
    <m/>
    <d v="2022-02-28T00:00:00"/>
    <d v="2023-02-27T00:00:00"/>
    <n v="3"/>
    <s v="Mr. Divakar Kulkarni"/>
    <m/>
    <s v="020-30688329"/>
    <s v="Bhosari Industrial Area"/>
    <s v="Plot No. 105 P.B. No.1"/>
    <s v="Landewadi"/>
    <s v="Pune"/>
    <s v="411 026"/>
    <s v="MH"/>
    <s v="India"/>
    <n v="2"/>
    <n v="4"/>
    <n v="1"/>
    <n v="1"/>
    <s v="Thu "/>
    <m/>
  </r>
  <r>
    <n v="259"/>
    <s v="Mindarika Pvt Ltd"/>
    <x v="236"/>
    <n v="310"/>
    <s v="2015J LX"/>
    <m/>
    <m/>
    <m/>
    <m/>
    <d v="2025-07-09T00:00:00"/>
    <d v="2026-07-08T00:00:00"/>
    <n v="3"/>
    <s v="Mr. T Sathishkumar"/>
    <m/>
    <s v="044-3920700"/>
    <s v="Sriperumbudur Taluk"/>
    <s v="RNS 22 Sipcot Industrial Cent"/>
    <s v="Kanchipuram district"/>
    <s v="Chennai"/>
    <s v="603 204"/>
    <s v="TN"/>
    <s v="India"/>
    <n v="4"/>
    <n v="0"/>
    <n v="3"/>
    <n v="2"/>
    <s v="Sun"/>
    <m/>
  </r>
  <r>
    <n v="260"/>
    <s v="Central Manufacturing Technology Institute"/>
    <x v="237"/>
    <n v="279"/>
    <s v="2015J LX"/>
    <m/>
    <m/>
    <m/>
    <m/>
    <d v="2021-11-26T00:00:00"/>
    <d v="2022-11-25T00:00:00"/>
    <n v="3"/>
    <m/>
    <m/>
    <m/>
    <s v="Bhavnagar Road"/>
    <s v="NSIC Campus AJI Industrial Area"/>
    <m/>
    <s v="Rajkot"/>
    <m/>
    <s v="GJ"/>
    <s v="India"/>
    <n v="5"/>
    <n v="3"/>
    <n v="0"/>
    <n v="1"/>
    <s v="Wed"/>
    <m/>
  </r>
  <r>
    <n v="261"/>
    <s v="Wonjin Autoparts India Pvt Ltd"/>
    <x v="238"/>
    <n v="297"/>
    <s v="4020J LX"/>
    <m/>
    <m/>
    <m/>
    <m/>
    <d v="2025-08-30T00:00:00"/>
    <d v="2026-08-29T00:00:00"/>
    <n v="3"/>
    <s v="Mr. William"/>
    <s v="MD"/>
    <s v="044 47404401"/>
    <s v="Maraimalai Nagar"/>
    <s v="Plot No A1K CMDA Industrial com"/>
    <m/>
    <s v="Chennai"/>
    <s v="603 209"/>
    <s v="TN"/>
    <s v="India"/>
    <n v="4"/>
    <n v="0"/>
    <n v="2"/>
    <n v="4"/>
    <s v="Sun"/>
    <m/>
  </r>
  <r>
    <n v="262"/>
    <s v="Wintage Engineers &amp; Consultants"/>
    <x v="239"/>
    <n v="309"/>
    <s v="2015J LX"/>
    <m/>
    <m/>
    <m/>
    <m/>
    <d v="2021-12-31T00:00:00"/>
    <d v="2022-12-30T00:00:00"/>
    <n v="3"/>
    <s v="Mr. Kunal Khatri"/>
    <m/>
    <s v="0120 4563943"/>
    <s v="Sahibabad"/>
    <s v="Plot No 40A/13 Site IV Industrial Area"/>
    <m/>
    <s v="Ghaziabad"/>
    <n v="201010"/>
    <s v="UP"/>
    <s v="India"/>
    <n v="5"/>
    <n v="1"/>
    <n v="1"/>
    <n v="1"/>
    <s v="Sun"/>
    <m/>
  </r>
  <r>
    <n v="263"/>
    <s v="Hilton Engine Valves"/>
    <x v="240"/>
    <n v="311"/>
    <s v="2015J LX"/>
    <m/>
    <m/>
    <m/>
    <m/>
    <m/>
    <m/>
    <n v="3"/>
    <s v="Mr. Ramesh Kotadia"/>
    <m/>
    <s v="0281 2782224"/>
    <s v="Kothariya Survey No 212"/>
    <s v="Plot No 26 Atlas Industrial Estat"/>
    <s v="Opp. Krishna Pa"/>
    <s v="Rajkot"/>
    <n v="360004"/>
    <s v="GJ"/>
    <s v="India"/>
    <n v="5"/>
    <n v="3"/>
    <n v="0"/>
    <n v="1"/>
    <s v="Wed"/>
    <m/>
  </r>
  <r>
    <n v="264"/>
    <s v="Bosch Limited"/>
    <x v="220"/>
    <n v="308"/>
    <s v="2015J LX"/>
    <m/>
    <m/>
    <m/>
    <m/>
    <d v="2023-11-18T00:00:00"/>
    <d v="2024-11-17T00:00:00"/>
    <n v="3"/>
    <s v="Mr. Nitin Yadav"/>
    <m/>
    <s v="0253 2295105"/>
    <s v="Trimbak Road"/>
    <s v="Plot No 75 MIDC Estate"/>
    <s v="Satpur"/>
    <s v="Nashik"/>
    <n v="422007"/>
    <s v="MH"/>
    <s v="India"/>
    <n v="2"/>
    <n v="3"/>
    <n v="0"/>
    <n v="1"/>
    <s v="Sat"/>
    <m/>
  </r>
  <r>
    <n v="265"/>
    <s v="Anil Plastics &amp; Enterprises"/>
    <x v="241"/>
    <n v="299"/>
    <s v="4020J LX"/>
    <m/>
    <m/>
    <m/>
    <m/>
    <d v="2022-05-03T00:00:00"/>
    <d v="2023-05-02T00:00:00"/>
    <n v="3"/>
    <s v="Mr. Anil Naik"/>
    <m/>
    <s v="020 66758036"/>
    <s v="Tirumumala Indl. Estate"/>
    <s v="Plot No 16, Sr. No. 253/2/1"/>
    <s v="Hinjewadi"/>
    <s v="Pune"/>
    <n v="411057"/>
    <s v="MH"/>
    <s v="India"/>
    <n v="2"/>
    <n v="4"/>
    <n v="2"/>
    <n v="1"/>
    <s v="Thu"/>
    <m/>
  </r>
  <r>
    <n v="266"/>
    <s v="Kennametal India Ltd"/>
    <x v="242"/>
    <n v="316"/>
    <s v="4020J HT"/>
    <m/>
    <d v="2012-06-12T00:00:00"/>
    <m/>
    <m/>
    <m/>
    <m/>
    <n v="3"/>
    <s v="Mr. Vikram Deshpand"/>
    <s v="Executive Applic"/>
    <s v="080 2219 8439"/>
    <m/>
    <s v="8/9th Mile Tumkur Road"/>
    <m/>
    <s v="Bangalore"/>
    <s v="560 073"/>
    <s v="KA"/>
    <s v="India"/>
    <n v="8"/>
    <n v="0"/>
    <n v="5"/>
    <n v="1"/>
    <s v="Sun"/>
    <m/>
  </r>
  <r>
    <n v="267"/>
    <s v="Lucas - TVS Limited"/>
    <x v="243"/>
    <n v="312"/>
    <s v="2015M"/>
    <m/>
    <d v="2012-06-27T00:00:00"/>
    <m/>
    <m/>
    <m/>
    <m/>
    <n v="3"/>
    <m/>
    <m/>
    <s v="0413 2695500"/>
    <m/>
    <s v="Eripakkam Village Nettapakkam Commune"/>
    <m/>
    <s v="Puducherry"/>
    <n v="605106"/>
    <s v="TN"/>
    <s v="India"/>
    <n v="4"/>
    <n v="0"/>
    <n v="1"/>
    <n v="3"/>
    <s v="Sun"/>
    <m/>
  </r>
  <r>
    <n v="268"/>
    <s v="Motherson Automotive Technologies And Engg"/>
    <x v="244"/>
    <n v="300"/>
    <s v="4020J LX"/>
    <m/>
    <m/>
    <m/>
    <m/>
    <m/>
    <m/>
    <n v="3"/>
    <m/>
    <m/>
    <s v="080 65620163"/>
    <s v="2nd Phase"/>
    <s v="Plot No 11 Bidadi Industrial Area"/>
    <s v="Sector 1"/>
    <s v="Bangalore"/>
    <n v="562109"/>
    <s v="KA"/>
    <s v="India"/>
    <n v="8"/>
    <n v="0"/>
    <n v="3"/>
    <n v="2"/>
    <s v="Sun"/>
    <m/>
  </r>
  <r>
    <n v="269"/>
    <s v="Jayem Automotives Limited"/>
    <x v="245"/>
    <n v="313"/>
    <s v="2015J LX"/>
    <m/>
    <m/>
    <m/>
    <m/>
    <d v="2021-04-13T00:00:00"/>
    <d v="2022-04-12T00:00:00"/>
    <n v="3"/>
    <s v="Mr. Ashok Kumar"/>
    <m/>
    <s v="0422 2270409"/>
    <s v="Singanallur"/>
    <s v="No 2 Ondipudur Road"/>
    <m/>
    <s v="Coimbatore"/>
    <n v="641005"/>
    <s v="TN"/>
    <s v="India"/>
    <n v="4"/>
    <n v="1"/>
    <n v="3"/>
    <n v="1"/>
    <s v="Sun"/>
    <m/>
  </r>
  <r>
    <n v="270"/>
    <s v="Sharma Industries"/>
    <x v="246"/>
    <n v="325"/>
    <s v="2015J LX"/>
    <m/>
    <d v="2012-07-16T00:00:00"/>
    <m/>
    <m/>
    <m/>
    <m/>
    <n v="3"/>
    <s v="Mr. Bhanu Kumar"/>
    <s v="Chief, Operation"/>
    <m/>
    <s v="Whitefield Road"/>
    <s v="No 72 3rd Cross, Singayana"/>
    <s v="Mahadevapura"/>
    <s v="Bangalore"/>
    <n v="560048"/>
    <s v="KA"/>
    <s v="India"/>
    <n v="8"/>
    <n v="0"/>
    <n v="8"/>
    <n v="1"/>
    <s v="Sun"/>
    <m/>
  </r>
  <r>
    <n v="271"/>
    <s v="AT India Auto Parts Pvt Ltd"/>
    <x v="247"/>
    <n v="409"/>
    <s v="2015J LX"/>
    <m/>
    <m/>
    <m/>
    <m/>
    <d v="2021-11-23T00:00:00"/>
    <d v="2022-11-22T00:00:00"/>
    <n v="3"/>
    <s v="Mr. Nandakumar Joshi"/>
    <m/>
    <s v="080-27287160"/>
    <s v="Bidadi"/>
    <s v="Plot No. 33 &amp; 34 Bidadi Industrial Area"/>
    <m/>
    <s v="Ramnagar"/>
    <n v="562109"/>
    <s v="KA"/>
    <s v="India"/>
    <n v="8"/>
    <n v="0"/>
    <n v="3"/>
    <n v="2"/>
    <s v="Sun"/>
    <m/>
  </r>
  <r>
    <n v="272"/>
    <s v="JetAvi Engg Private Limited"/>
    <x v="248"/>
    <n v="317"/>
    <s v="4020J LX"/>
    <m/>
    <m/>
    <m/>
    <m/>
    <d v="2025-11-04T00:00:00"/>
    <d v="2026-11-03T00:00:00"/>
    <n v="3"/>
    <s v="Mr. Arjuna"/>
    <m/>
    <s v="080 40328900"/>
    <s v="Extension Byatarayanapu"/>
    <s v="# 29 13th Main E Block"/>
    <s v="Sahakaranagar"/>
    <s v="Bangalore"/>
    <n v="560092"/>
    <s v="KA"/>
    <s v="India"/>
    <n v="8"/>
    <n v="0"/>
    <n v="7"/>
    <n v="1"/>
    <s v="Sun"/>
    <m/>
  </r>
  <r>
    <n v="273"/>
    <s v="Mitsubishi Heavy Industries India Precision"/>
    <x v="249"/>
    <n v="324"/>
    <s v="2015J HT"/>
    <m/>
    <m/>
    <m/>
    <m/>
    <d v="2021-07-01T00:00:00"/>
    <d v="2022-06-30T00:00:00"/>
    <n v="3"/>
    <s v="Mr. M A Dhanasekara"/>
    <s v="GM"/>
    <s v="04172 244361"/>
    <m/>
    <s v="No 2 SIPCOT Industrial Complex"/>
    <m/>
    <s v="Ranipet"/>
    <n v="632403"/>
    <s v="TN"/>
    <s v="India"/>
    <n v="4"/>
    <n v="0"/>
    <n v="3"/>
    <n v="3"/>
    <s v="Sun"/>
    <m/>
  </r>
  <r>
    <n v="274"/>
    <s v="BSC Rubber Industries"/>
    <x v="250"/>
    <n v="326"/>
    <s v="2015J LX"/>
    <m/>
    <m/>
    <m/>
    <m/>
    <d v="2021-03-26T00:00:00"/>
    <d v="2022-03-25T00:00:00"/>
    <n v="3"/>
    <s v="Mr. Kulkarni V B"/>
    <m/>
    <s v="0240 2556284"/>
    <s v="Waluj"/>
    <s v="E70 /30 MIDC Area"/>
    <m/>
    <s v="Aurangabad"/>
    <n v="431136"/>
    <s v="MH"/>
    <s v="India"/>
    <n v="2"/>
    <n v="0"/>
    <n v="2"/>
    <n v="1"/>
    <s v="Sun"/>
    <m/>
  </r>
  <r>
    <n v="275"/>
    <s v="Novateur Electrical &amp; Digital Systems Pvt. L"/>
    <x v="251"/>
    <n v="323"/>
    <s v="2015J LX"/>
    <m/>
    <m/>
    <m/>
    <m/>
    <d v="2025-01-01T00:00:00"/>
    <d v="2025-12-31T00:00:00"/>
    <n v="3"/>
    <s v="Mr. Dattatraya Kapse"/>
    <m/>
    <m/>
    <s v="SIDCUL Industrial Area"/>
    <s v="Plot No. 2 Sector 2"/>
    <m/>
    <s v="Haridwar"/>
    <n v="249403"/>
    <s v="UK"/>
    <s v="India"/>
    <n v="1"/>
    <n v="0"/>
    <n v="4"/>
    <n v="2"/>
    <s v="Sun"/>
    <m/>
  </r>
  <r>
    <n v="276"/>
    <s v="Kaizen International"/>
    <x v="252"/>
    <n v="328"/>
    <s v="2015J LX"/>
    <m/>
    <d v="2012-07-25T00:00:00"/>
    <m/>
    <m/>
    <m/>
    <m/>
    <n v="3"/>
    <m/>
    <m/>
    <s v="0250 2393103"/>
    <s v="No.4"/>
    <s v="27 Dewan &amp; Sons Indl. E"/>
    <s v="Navghar, Vasai "/>
    <s v="Mumbai"/>
    <n v="401210"/>
    <s v="MH"/>
    <s v="India"/>
    <n v="2"/>
    <n v="1"/>
    <n v="1"/>
    <n v="3"/>
    <s v="Sun"/>
    <m/>
  </r>
  <r>
    <n v="277"/>
    <s v="General Mechanical Industries"/>
    <x v="253"/>
    <n v="331"/>
    <s v="2015J LX"/>
    <m/>
    <d v="2012-08-07T00:00:00"/>
    <m/>
    <m/>
    <m/>
    <m/>
    <n v="3"/>
    <s v="Ms.Sujatha"/>
    <m/>
    <s v="022 - 29206269"/>
    <s v="Steel Made Component"/>
    <s v="# 5 N.T. Industrial estate"/>
    <s v="Marol Maroshi"/>
    <s v="Mumbai"/>
    <n v="400059"/>
    <s v="MH"/>
    <s v="India"/>
    <n v="2"/>
    <n v="1"/>
    <n v="1"/>
    <n v="3"/>
    <s v="Sun"/>
    <m/>
  </r>
  <r>
    <n v="278"/>
    <s v="Diamond Tooling Systems"/>
    <x v="254"/>
    <n v="213"/>
    <s v="2015J LX"/>
    <m/>
    <m/>
    <m/>
    <m/>
    <m/>
    <m/>
    <n v="3"/>
    <m/>
    <m/>
    <m/>
    <m/>
    <s v=" "/>
    <m/>
    <s v="Germany"/>
    <m/>
    <s v="OC"/>
    <m/>
    <n v="0"/>
    <n v="0"/>
    <n v="0"/>
    <n v="0"/>
    <n v="0"/>
    <m/>
  </r>
  <r>
    <n v="279"/>
    <s v="Filcomps"/>
    <x v="255"/>
    <n v="315"/>
    <s v="2015J LX"/>
    <m/>
    <m/>
    <m/>
    <m/>
    <m/>
    <m/>
    <n v="3"/>
    <s v="Mr. Vishal Gupta"/>
    <m/>
    <m/>
    <s v="Antharasanahalli Industri"/>
    <s v="Plot No 51 &amp; 52 Road No. 9"/>
    <s v="2nd Phase"/>
    <s v="Tumkur"/>
    <n v="572106"/>
    <s v="KA"/>
    <s v="India"/>
    <n v="8"/>
    <n v="0"/>
    <n v="5"/>
    <n v="2"/>
    <s v="Sun"/>
    <m/>
  </r>
  <r>
    <n v="280"/>
    <s v="Salcomp Manufacturing India Pvt Ltd"/>
    <x v="256"/>
    <n v="302"/>
    <s v="4020J LX"/>
    <m/>
    <d v="2012-09-11T00:00:00"/>
    <m/>
    <m/>
    <d v="2021-03-16T00:00:00"/>
    <d v="2022-03-15T00:00:00"/>
    <n v="3"/>
    <m/>
    <m/>
    <s v="044 371 77777"/>
    <s v="Sriperumbudur"/>
    <s v="Nokia Telecom SEZ SIPCOT Industries"/>
    <m/>
    <s v="Chennai"/>
    <n v="602105"/>
    <s v="TN"/>
    <s v="India"/>
    <n v="4"/>
    <n v="0"/>
    <n v="3"/>
    <n v="1"/>
    <s v="Sun"/>
    <m/>
  </r>
  <r>
    <n v="281"/>
    <s v="Quality Needles (P) Ltd"/>
    <x v="25"/>
    <n v="337"/>
    <s v="2015M"/>
    <m/>
    <d v="2012-09-25T00:00:00"/>
    <m/>
    <m/>
    <m/>
    <m/>
    <n v="3"/>
    <s v="Mr.Chiranjiv Singh"/>
    <s v="Director"/>
    <s v="0120-2581002"/>
    <s v="Gautam Budha Nagar"/>
    <s v="A-8 sector-57"/>
    <m/>
    <s v="G.B Nagar"/>
    <n v="201307"/>
    <s v="UP"/>
    <s v="India"/>
    <n v="1"/>
    <n v="1"/>
    <n v="5"/>
    <n v="1"/>
    <s v="Sun"/>
    <m/>
  </r>
  <r>
    <n v="282"/>
    <s v="Quality Needles (P) Ltd"/>
    <x v="25"/>
    <n v="338"/>
    <s v="2015M"/>
    <m/>
    <d v="2012-09-25T00:00:00"/>
    <m/>
    <m/>
    <m/>
    <m/>
    <n v="3"/>
    <s v="Mr.Chiranjiv Singh"/>
    <s v="Director"/>
    <s v="0120-2581002"/>
    <s v="Gautam Budha Nagar"/>
    <s v="A-8 sector-57"/>
    <m/>
    <s v="G.B Nagar"/>
    <n v="201307"/>
    <s v="UP"/>
    <s v="India"/>
    <n v="1"/>
    <n v="1"/>
    <n v="5"/>
    <n v="1"/>
    <s v="Sun"/>
    <m/>
  </r>
  <r>
    <n v="283"/>
    <s v="Prime Precision Pvt Ltd"/>
    <x v="257"/>
    <n v="334"/>
    <s v="2015J HT"/>
    <m/>
    <d v="2012-09-25T00:00:00"/>
    <m/>
    <m/>
    <m/>
    <m/>
    <n v="3"/>
    <s v="Mr. H V S Bhasin"/>
    <m/>
    <s v="0512 2691129"/>
    <s v="Panki Industrial Area"/>
    <s v="E - 22 Site - II"/>
    <m/>
    <s v="Kanpur"/>
    <n v="208022"/>
    <s v="UP"/>
    <s v="India"/>
    <n v="1"/>
    <n v="0"/>
    <n v="5"/>
    <n v="4"/>
    <s v="Sun"/>
    <m/>
  </r>
  <r>
    <n v="284"/>
    <s v="Fine Tools (India) Pvt Ltd"/>
    <x v="258"/>
    <n v="333"/>
    <s v="2015J LX"/>
    <m/>
    <d v="2012-09-25T00:00:00"/>
    <m/>
    <m/>
    <d v="2025-07-01T00:00:00"/>
    <d v="2026-06-30T00:00:00"/>
    <n v="3"/>
    <s v="Mr. T P Kallesh"/>
    <m/>
    <s v="080-28360453"/>
    <s v="Peenya Industrial Area"/>
    <s v="449P 4th Phase"/>
    <m/>
    <s v="Bangalore"/>
    <n v="560058"/>
    <s v="KA"/>
    <s v="India"/>
    <n v="8"/>
    <n v="0"/>
    <n v="5"/>
    <n v="1"/>
    <s v="Sun"/>
    <m/>
  </r>
  <r>
    <n v="285"/>
    <s v="Vhignesh Engg. Works"/>
    <x v="259"/>
    <n v="336"/>
    <s v="2015M LX"/>
    <m/>
    <d v="2012-10-18T00:00:00"/>
    <m/>
    <m/>
    <m/>
    <m/>
    <n v="3"/>
    <s v="Mr.C Raja Reddy"/>
    <m/>
    <m/>
    <s v="Srinagar"/>
    <s v="Plot no 71 New Sidco Industrial"/>
    <s v="Hosur"/>
    <s v="Hosur"/>
    <n v="635109"/>
    <s v="TN"/>
    <s v="India"/>
    <n v="8"/>
    <n v="0"/>
    <n v="1"/>
    <n v="3"/>
    <s v="Sun"/>
    <m/>
  </r>
  <r>
    <n v="286"/>
    <s v="Parshwa International"/>
    <x v="260"/>
    <n v="339"/>
    <s v="2015J HT"/>
    <m/>
    <d v="2012-10-12T00:00:00"/>
    <m/>
    <m/>
    <m/>
    <m/>
    <n v="3"/>
    <m/>
    <m/>
    <m/>
    <s v="JIE, Bhel Sidcul"/>
    <s v="Plot - 8 Sector 8A"/>
    <m/>
    <s v="Haridwar"/>
    <n v="249403"/>
    <s v="UK"/>
    <s v="India"/>
    <n v="1"/>
    <n v="0"/>
    <n v="4"/>
    <n v="2"/>
    <s v="Sun"/>
    <m/>
  </r>
  <r>
    <n v="287"/>
    <s v="JK Files (India) Ltd"/>
    <x v="261"/>
    <n v="341"/>
    <s v="2015J LX"/>
    <m/>
    <d v="2012-11-20T00:00:00"/>
    <m/>
    <m/>
    <m/>
    <m/>
    <n v="3"/>
    <s v="Mr. Pranav Patil"/>
    <m/>
    <s v="022-61528775"/>
    <m/>
    <s v="PO Jeke Gram Pokhran Road No1"/>
    <m/>
    <s v="Thane"/>
    <n v="400606"/>
    <s v="MH"/>
    <s v="India"/>
    <n v="2"/>
    <n v="2"/>
    <n v="2"/>
    <n v="2"/>
    <s v="Sun"/>
    <m/>
  </r>
  <r>
    <n v="288"/>
    <s v="Amphenol Interconnect India Pvt. Ltd."/>
    <x v="262"/>
    <n v="343"/>
    <s v="2015J LX"/>
    <m/>
    <d v="2012-11-16T00:00:00"/>
    <m/>
    <m/>
    <d v="2021-07-06T00:00:00"/>
    <d v="2022-07-05T00:00:00"/>
    <n v="3"/>
    <s v="Mr. Girish"/>
    <m/>
    <s v="080-28520418"/>
    <s v="Electronic city"/>
    <s v="61 KEOINCS"/>
    <m/>
    <s v="Bangalore"/>
    <n v="560100"/>
    <s v="KA"/>
    <s v="India"/>
    <n v="8"/>
    <n v="0"/>
    <n v="1"/>
    <n v="1"/>
    <s v="Sun"/>
    <m/>
  </r>
  <r>
    <n v="289"/>
    <s v="Lakshmi Designers"/>
    <x v="263"/>
    <n v="320"/>
    <s v="4020J LX"/>
    <m/>
    <d v="2012-11-20T00:00:00"/>
    <m/>
    <m/>
    <d v="2020-02-19T00:00:00"/>
    <d v="2021-02-18T00:00:00"/>
    <n v="3"/>
    <s v="Mr. Eashwaran"/>
    <s v="QA"/>
    <s v="080 - 4115 7507"/>
    <s v="Mahadevapure"/>
    <s v="B - 34 KSSIDC ITI Industrial"/>
    <m/>
    <s v="Bangalore"/>
    <n v="560048"/>
    <s v="KA"/>
    <s v="India"/>
    <n v="8"/>
    <n v="0"/>
    <n v="8"/>
    <n v="1"/>
    <s v="Sun"/>
    <m/>
  </r>
  <r>
    <n v="290"/>
    <s v="Headways Industries (Silcotech Bonny Products India Pvt. Ltd)"/>
    <x v="264"/>
    <n v="342"/>
    <s v="2015J LX"/>
    <m/>
    <d v="2012-11-20T00:00:00"/>
    <m/>
    <m/>
    <m/>
    <m/>
    <n v="3"/>
    <s v="Mr. Amrik Singh"/>
    <m/>
    <s v="0120 4147777"/>
    <s v="Hall A Ground Floor"/>
    <s v="D - 240 Sector - 63"/>
    <s v="Phase III"/>
    <s v="Noida"/>
    <n v="201307"/>
    <s v="UP"/>
    <s v="India"/>
    <n v="1"/>
    <n v="1"/>
    <n v="5"/>
    <n v="1"/>
    <s v="Sun"/>
    <m/>
  </r>
  <r>
    <n v="291"/>
    <s v="Zahoransky Moulds &amp; Machines (P) Ltd"/>
    <x v="265"/>
    <n v="301"/>
    <s v="4020J LX"/>
    <m/>
    <d v="2012-12-01T00:00:00"/>
    <m/>
    <m/>
    <d v="2021-04-13T00:00:00"/>
    <d v="2022-04-12T00:00:00"/>
    <n v="3"/>
    <s v="Mr. Arvind Chawla"/>
    <m/>
    <s v="0422-2665198"/>
    <s v="Chinnaveedampatti"/>
    <s v="139/B - 2 Palli Street"/>
    <s v="Ganapathy"/>
    <s v="Coimbatore"/>
    <n v="641006"/>
    <s v="TN"/>
    <s v="India"/>
    <n v="4"/>
    <n v="1"/>
    <n v="6"/>
    <n v="1"/>
    <s v="Sun"/>
    <m/>
  </r>
  <r>
    <n v="292"/>
    <s v="CTC (India) Pvt Ltd"/>
    <x v="266"/>
    <n v="335"/>
    <s v=" 2015J LX"/>
    <m/>
    <d v="2012-11-29T00:00:00"/>
    <m/>
    <m/>
    <m/>
    <m/>
    <n v="3"/>
    <s v="Mr. Manoj Sharma"/>
    <m/>
    <s v="0657-2201803"/>
    <m/>
    <s v="Aditaypur Industria Gamhaira"/>
    <m/>
    <s v="Jamshedpur"/>
    <m/>
    <s v="JH"/>
    <s v="India"/>
    <n v="0"/>
    <n v="0"/>
    <n v="0"/>
    <n v="0"/>
    <n v="0"/>
    <m/>
  </r>
  <r>
    <n v="293"/>
    <s v="ACG Pam Pharma Technologies Pvt. Ltd"/>
    <x v="267"/>
    <n v="356"/>
    <s v="2015J LX"/>
    <m/>
    <d v="2012-12-11T00:00:00"/>
    <m/>
    <m/>
    <d v="2022-04-01T00:00:00"/>
    <d v="2023-03-31T00:00:00"/>
    <n v="3"/>
    <s v="Mr. Anand Rai"/>
    <m/>
    <m/>
    <s v="Charkop"/>
    <s v="Plot 130 Kandivali Industrial E"/>
    <s v="Kandivali"/>
    <s v="Mumbai"/>
    <n v="400067"/>
    <s v="MH"/>
    <s v="India"/>
    <n v="2"/>
    <n v="2"/>
    <n v="2"/>
    <n v="4"/>
    <s v="Sun"/>
    <m/>
  </r>
  <r>
    <n v="294"/>
    <s v="Hanon Automotive Systems India Pvt Ltd (Visteon Automotive Sys I Pvt Ltd)"/>
    <x v="268"/>
    <n v="318"/>
    <s v="4020J LX"/>
    <m/>
    <d v="2012-12-13T00:00:00"/>
    <m/>
    <m/>
    <d v="2020-12-07T00:00:00"/>
    <d v="2021-12-06T00:00:00"/>
    <n v="3"/>
    <s v="Mr. Nithin Prabhu R"/>
    <m/>
    <m/>
    <s v="M M Nagar"/>
    <s v="Keelakarranai Villag Malrosapuram Post"/>
    <m/>
    <s v="Chennai"/>
    <n v="603204"/>
    <s v="TN"/>
    <s v="India"/>
    <n v="4"/>
    <n v="0"/>
    <n v="2"/>
    <n v="4"/>
    <s v="Sun"/>
    <m/>
  </r>
  <r>
    <n v="295"/>
    <s v="Bhogale Industries"/>
    <x v="269"/>
    <n v="349"/>
    <s v="2015J LX"/>
    <m/>
    <d v="2012-12-20T00:00:00"/>
    <m/>
    <m/>
    <m/>
    <m/>
    <n v="3"/>
    <m/>
    <m/>
    <s v="0240-2376214"/>
    <s v="Station Road"/>
    <s v="B - 5 MIDC"/>
    <m/>
    <s v="Aurangabad"/>
    <n v="431005"/>
    <s v="MH"/>
    <s v="India"/>
    <n v="2"/>
    <n v="0"/>
    <n v="2"/>
    <n v="1"/>
    <s v="Sun"/>
    <m/>
  </r>
  <r>
    <n v="296"/>
    <s v="College of Engg"/>
    <x v="270"/>
    <n v="346"/>
    <s v="2015J LX"/>
    <m/>
    <d v="2012-12-18T00:00:00"/>
    <m/>
    <m/>
    <m/>
    <m/>
    <n v="3"/>
    <m/>
    <s v="Principal"/>
    <s v="021-86282762"/>
    <s v="Gopalpur"/>
    <s v="54 Gopalpur- Ranjani Rd"/>
    <s v="Pandharpur"/>
    <s v="Pandharpur"/>
    <n v="413304"/>
    <s v="MH"/>
    <s v="India"/>
    <n v="2"/>
    <n v="4"/>
    <n v="4"/>
    <n v="1"/>
    <s v="Thu"/>
    <m/>
  </r>
  <r>
    <n v="297"/>
    <s v="Sri Balaji Assemblies &amp; Plastics Pvt Ltd"/>
    <x v="271"/>
    <n v="321"/>
    <s v="4020J LX"/>
    <m/>
    <d v="2012-12-23T00:00:00"/>
    <m/>
    <m/>
    <d v="2021-12-10T00:00:00"/>
    <d v="2022-12-09T00:00:00"/>
    <n v="3"/>
    <s v="Mr. S Balachandra"/>
    <m/>
    <s v="044-24780158"/>
    <s v="Thirumudivakam"/>
    <s v="AC 19 SIDCO Industrial Esta"/>
    <m/>
    <s v="Chennai"/>
    <n v="603044"/>
    <s v="TN"/>
    <s v="India"/>
    <n v="4"/>
    <n v="0"/>
    <n v="2"/>
    <n v="2"/>
    <s v="Sun"/>
    <m/>
  </r>
  <r>
    <n v="298"/>
    <s v="L G Balakrishnan &amp; Bros Limited"/>
    <x v="272"/>
    <n v="314"/>
    <s v="2015J LX"/>
    <m/>
    <m/>
    <m/>
    <m/>
    <d v="2025-05-01T00:00:00"/>
    <d v="2026-04-30T00:00:00"/>
    <n v="3"/>
    <m/>
    <m/>
    <s v="0422-2654328"/>
    <s v="Kattampatti (P.O)"/>
    <s v="Annur Plant Ganesapuram"/>
    <m/>
    <s v="Coimbatore"/>
    <n v="641107"/>
    <s v="TN"/>
    <s v="India"/>
    <n v="4"/>
    <n v="1"/>
    <n v="6"/>
    <n v="2"/>
    <s v="Sun"/>
    <m/>
  </r>
  <r>
    <n v="299"/>
    <s v="L G Balakrishnan &amp; Bros Limited (Forge Div)"/>
    <x v="273"/>
    <n v="823"/>
    <s v="2015J LX"/>
    <m/>
    <m/>
    <m/>
    <m/>
    <d v="2025-07-28T00:00:00"/>
    <d v="2026-07-27T00:00:00"/>
    <n v="3"/>
    <m/>
    <m/>
    <m/>
    <s v="Near Power House"/>
    <s v="CFD- K.Palayam Pla Pillayar Kovil Street"/>
    <s v="Kottaipalayam"/>
    <s v="Coimbatore"/>
    <n v="641110"/>
    <s v="TN"/>
    <s v="India"/>
    <n v="4"/>
    <n v="1"/>
    <n v="6"/>
    <n v="2"/>
    <s v="Sun"/>
    <m/>
  </r>
  <r>
    <n v="300"/>
    <s v="L G B Balakrishnan &amp; Bros Limited"/>
    <x v="69"/>
    <n v="350"/>
    <s v="2015J LX"/>
    <m/>
    <d v="2013-01-01T00:00:00"/>
    <m/>
    <m/>
    <d v="2021-09-08T00:00:00"/>
    <d v="2022-09-07T00:00:00"/>
    <n v="3"/>
    <s v="Mr.A.Sampanth Kum"/>
    <s v="Asst. GM-Pur"/>
    <m/>
    <s v="Annur Via, Avinashi"/>
    <s v="Forging Division Pillaippampalayam"/>
    <m/>
    <s v="Coimbatore"/>
    <n v="641653"/>
    <s v="TN"/>
    <s v="India"/>
    <n v="4"/>
    <n v="1"/>
    <n v="6"/>
    <n v="2"/>
    <s v="Sun"/>
    <m/>
  </r>
  <r>
    <n v="301"/>
    <s v="Uno Minda Limited (Minda Industries Limited)"/>
    <x v="274"/>
    <n v="358"/>
    <s v="2015J LX"/>
    <m/>
    <d v="2013-01-15T00:00:00"/>
    <m/>
    <m/>
    <d v="2021-02-06T00:00:00"/>
    <d v="2022-02-05T00:00:00"/>
    <n v="3"/>
    <s v="Mr. Praveen Gupta"/>
    <s v="Manager QA"/>
    <m/>
    <m/>
    <s v="Village Naharpur Ka P.O Nakhrola"/>
    <m/>
    <s v="Gurgaon"/>
    <n v="122050"/>
    <s v="HR"/>
    <s v="India"/>
    <n v="1"/>
    <n v="1"/>
    <n v="1"/>
    <n v="1"/>
    <s v="Sun"/>
    <m/>
  </r>
  <r>
    <n v="302"/>
    <s v="Supram Industries"/>
    <x v="275"/>
    <n v="322"/>
    <s v="4020J LX"/>
    <m/>
    <d v="2013-01-07T00:00:00"/>
    <m/>
    <m/>
    <m/>
    <m/>
    <n v="3"/>
    <s v="Mr. Prasanna"/>
    <s v="CEO"/>
    <s v="080-65677459"/>
    <s v="Alahally"/>
    <s v="34 Sir M. Vishweshwara"/>
    <s v="Anjanapura Pos"/>
    <s v="Bangalore"/>
    <n v="560062"/>
    <s v="KA"/>
    <s v="India"/>
    <n v="8"/>
    <n v="0"/>
    <n v="2"/>
    <n v="3"/>
    <s v="Sun"/>
    <m/>
  </r>
  <r>
    <n v="303"/>
    <s v="CRD Endustriyel Kontrol Sistemleri San Tic L"/>
    <x v="276"/>
    <n v="288"/>
    <s v="1515J LX"/>
    <m/>
    <d v="2012-01-25T00:00:00"/>
    <m/>
    <m/>
    <m/>
    <m/>
    <n v="3"/>
    <s v="Mr. Sevilav Basaran"/>
    <m/>
    <n v="2244437742"/>
    <s v="No 34"/>
    <s v="Alaaddin Bey Mh Otomasyon Plaza"/>
    <s v="Nilufer"/>
    <s v="Bursa"/>
    <m/>
    <s v="OC"/>
    <s v="Turkey"/>
    <n v="0"/>
    <n v="0"/>
    <n v="0"/>
    <n v="0"/>
    <n v="0"/>
    <m/>
  </r>
  <r>
    <n v="304"/>
    <s v="Minda Vietnam Automotive Company Limit"/>
    <x v="277"/>
    <n v="347"/>
    <s v="2015J LX"/>
    <m/>
    <m/>
    <m/>
    <m/>
    <m/>
    <m/>
    <n v="3"/>
    <s v="Mr. Gorav Sharma"/>
    <m/>
    <m/>
    <s v="Vinh Phuc Province"/>
    <s v="Binh Xuyen Industr Binh Xuyen District"/>
    <m/>
    <s v="Vietnam"/>
    <m/>
    <s v="OC"/>
    <s v="Vietnam"/>
    <n v="0"/>
    <n v="0"/>
    <n v="0"/>
    <n v="0"/>
    <n v="0"/>
    <m/>
  </r>
  <r>
    <n v="305"/>
    <s v="Wahi Sons P Ltd"/>
    <x v="278"/>
    <n v="362"/>
    <s v="2015J LX"/>
    <m/>
    <d v="2013-02-18T00:00:00"/>
    <m/>
    <m/>
    <d v="2021-10-08T00:00:00"/>
    <d v="2022-10-07T00:00:00"/>
    <n v="3"/>
    <s v="Mr. Gautam Jain"/>
    <m/>
    <s v="0124-2291507"/>
    <s v="Phase-II, Dist Rewari"/>
    <s v="Plot No 349 Sector - 3"/>
    <m/>
    <s v="Bawal"/>
    <m/>
    <s v="HR"/>
    <s v="India"/>
    <n v="1"/>
    <n v="1"/>
    <n v="1"/>
    <n v="2"/>
    <s v="Sun"/>
    <m/>
  </r>
  <r>
    <n v="306"/>
    <s v="Protekz Tool &amp; Die Makers"/>
    <x v="279"/>
    <n v="375"/>
    <s v="2015J LX"/>
    <m/>
    <d v="2013-03-26T00:00:00"/>
    <m/>
    <m/>
    <d v="2024-02-06T00:00:00"/>
    <d v="2025-02-05T00:00:00"/>
    <n v="3"/>
    <s v="Mr. Sam"/>
    <m/>
    <s v="080-28361320"/>
    <s v="2nd Stage"/>
    <s v="Plot No V-6 3rd Main Road"/>
    <s v="Peenya Indl. Est"/>
    <s v="Bangalore"/>
    <n v="560058"/>
    <s v="KA"/>
    <s v="India"/>
    <n v="8"/>
    <n v="0"/>
    <n v="5"/>
    <n v="1"/>
    <s v="Sun"/>
    <m/>
  </r>
  <r>
    <n v="307"/>
    <s v="Magneti Marelli Motherson Auto System Ltd."/>
    <x v="280"/>
    <n v="361"/>
    <s v="2015J LX"/>
    <m/>
    <d v="2013-02-11T00:00:00"/>
    <m/>
    <m/>
    <m/>
    <m/>
    <n v="3"/>
    <m/>
    <m/>
    <s v="02135-675824"/>
    <s v="Taluka - Khed"/>
    <s v="GAT no 148-150 Village Ambethan"/>
    <m/>
    <s v="Pune"/>
    <n v="410501"/>
    <s v="MH"/>
    <s v="India"/>
    <n v="2"/>
    <n v="4"/>
    <n v="2"/>
    <n v="1"/>
    <s v="Thu"/>
    <m/>
  </r>
  <r>
    <n v="308"/>
    <s v="Synergy Global Sourcing"/>
    <x v="281"/>
    <n v="360"/>
    <s v="2015M"/>
    <m/>
    <d v="2013-03-27T00:00:00"/>
    <m/>
    <m/>
    <d v="2022-01-22T00:00:00"/>
    <d v="2024-01-21T00:00:00"/>
    <n v="3"/>
    <s v="Mr. Ketan B C"/>
    <s v="CEO"/>
    <s v="04344 276304"/>
    <m/>
    <s v="Krishna Group Com Post Sipcot"/>
    <m/>
    <s v="Hosur"/>
    <n v="635126"/>
    <s v="TN"/>
    <s v="India"/>
    <n v="8"/>
    <n v="0"/>
    <n v="1"/>
    <n v="3"/>
    <s v="Sun"/>
    <m/>
  </r>
  <r>
    <n v="309"/>
    <s v="Aisin Automotives Haryana Pvt Ltd"/>
    <x v="282"/>
    <n v="351"/>
    <s v="4020J LX"/>
    <m/>
    <d v="2013-02-18T00:00:00"/>
    <m/>
    <m/>
    <d v="2022-03-06T00:00:00"/>
    <d v="2023-03-05T00:00:00"/>
    <n v="3"/>
    <s v="Mr. Ramesh Ostwal"/>
    <m/>
    <m/>
    <s v="3rd Floor"/>
    <s v="Plot No 97 Sector 44"/>
    <m/>
    <s v="Gurgaon"/>
    <n v="122002"/>
    <s v="HR"/>
    <s v="India"/>
    <n v="1"/>
    <n v="1"/>
    <n v="1"/>
    <n v="1"/>
    <s v="Sun"/>
    <m/>
  </r>
  <r>
    <n v="310"/>
    <s v="Ashimori India Private Limited"/>
    <x v="283"/>
    <n v="363"/>
    <s v="2015J LX"/>
    <m/>
    <d v="2013-02-28T00:00:00"/>
    <m/>
    <m/>
    <d v="2025-09-08T00:00:00"/>
    <d v="2026-09-07T00:00:00"/>
    <n v="3"/>
    <s v="Mr. Saurabh Choudhary"/>
    <m/>
    <m/>
    <s v="New Industrial Complex"/>
    <s v="Plot No SP2-11 RIICO"/>
    <s v="Neemrana Dist"/>
    <s v="Alwar"/>
    <n v="301705"/>
    <s v="HR"/>
    <s v="India"/>
    <n v="1"/>
    <n v="1"/>
    <n v="1"/>
    <n v="4"/>
    <s v="Sun"/>
    <m/>
  </r>
  <r>
    <n v="311"/>
    <s v="Kiran Machine Tools"/>
    <x v="284"/>
    <n v="364"/>
    <s v="2015J LX"/>
    <m/>
    <d v="2013-02-23T00:00:00"/>
    <m/>
    <m/>
    <d v="2022-03-24T00:00:00"/>
    <d v="2023-03-23T00:00:00"/>
    <n v="3"/>
    <s v="Mr. Chetan R Choudhary"/>
    <m/>
    <s v="0257-2211989"/>
    <s v="Ajanta Road"/>
    <s v="I-1 MIDC Area"/>
    <m/>
    <s v="Jalgaon"/>
    <n v="425003"/>
    <s v="MH"/>
    <s v="India"/>
    <n v="2"/>
    <n v="0"/>
    <n v="1"/>
    <n v="0"/>
    <s v="Sun"/>
    <m/>
  </r>
  <r>
    <n v="312"/>
    <s v="Essem Srinisons Systems Pvt Ltd (Srinisons Wiring Systems Pvt Ltd)"/>
    <x v="285"/>
    <n v="319"/>
    <s v="4020J LX"/>
    <m/>
    <d v="2013-02-26T00:00:00"/>
    <m/>
    <m/>
    <d v="2022-02-17T00:00:00"/>
    <d v="2023-02-16T00:00:00"/>
    <n v="3"/>
    <s v="Mr. S Kesavan Direct"/>
    <s v="Director"/>
    <s v="0124 4714303"/>
    <s v="IMT Manesar"/>
    <s v="76A &amp; 77A Sector-5"/>
    <m/>
    <s v="Gurgaon"/>
    <n v="122050"/>
    <s v="HR"/>
    <s v="India"/>
    <n v="1"/>
    <n v="1"/>
    <n v="1"/>
    <n v="1"/>
    <s v="Sun"/>
    <m/>
  </r>
  <r>
    <n v="313"/>
    <s v="Viney Corporation Pvt Ltd"/>
    <x v="286"/>
    <n v="352"/>
    <s v="4020J LX"/>
    <m/>
    <d v="2013-03-05T00:00:00"/>
    <m/>
    <m/>
    <d v="2025-10-11T00:00:00"/>
    <d v="2026-10-10T00:00:00"/>
    <n v="3"/>
    <s v="Mr. Neeraj Bhargav"/>
    <s v="GM Tool Room"/>
    <s v="0124-4567400"/>
    <s v="IMT Manesar"/>
    <s v="Plot No 42 Sector-3"/>
    <m/>
    <s v="Gurgaon"/>
    <n v="122050"/>
    <s v="HR"/>
    <s v="India"/>
    <n v="1"/>
    <n v="1"/>
    <n v="1"/>
    <n v="1"/>
    <s v="Sun"/>
    <m/>
  </r>
  <r>
    <n v="314"/>
    <s v="Nikash CNC Enineers Pvt Ltd"/>
    <x v="287"/>
    <n v="353"/>
    <s v="4020J LX"/>
    <m/>
    <d v="2013-03-26T00:00:00"/>
    <m/>
    <m/>
    <m/>
    <m/>
    <n v="3"/>
    <m/>
    <m/>
    <m/>
    <m/>
    <s v="G-20/6 MIDC"/>
    <m/>
    <s v="Ahmednagar"/>
    <n v="414111"/>
    <s v="MH"/>
    <s v="India"/>
    <n v="2"/>
    <n v="4"/>
    <n v="3"/>
    <n v="1"/>
    <s v="Thu"/>
    <m/>
  </r>
  <r>
    <n v="315"/>
    <s v="Bilva Technologies Pvt Ltd"/>
    <x v="288"/>
    <n v="354"/>
    <s v="4020J LX"/>
    <m/>
    <d v="2013-03-29T00:00:00"/>
    <m/>
    <m/>
    <d v="2021-08-04T00:00:00"/>
    <d v="2022-08-03T00:00:00"/>
    <n v="3"/>
    <s v="Munnoli"/>
    <m/>
    <s v="080-23471080"/>
    <s v="4th Main, 2nd Stage"/>
    <s v="21/6 Ravi Industrial Estate"/>
    <s v="YeshwanthpurIn"/>
    <s v="Bangalore"/>
    <n v="560022"/>
    <s v="KA"/>
    <s v="India"/>
    <n v="8"/>
    <n v="0"/>
    <n v="5"/>
    <n v="1"/>
    <s v="Sun"/>
    <m/>
  </r>
  <r>
    <n v="316"/>
    <s v="SAS Precision Engg P Ltd"/>
    <x v="289"/>
    <n v="368"/>
    <s v="2015J LX"/>
    <m/>
    <d v="2013-03-30T00:00:00"/>
    <m/>
    <m/>
    <d v="2021-07-06T00:00:00"/>
    <d v="2022-07-05T00:00:00"/>
    <n v="3"/>
    <s v="Mr. Sanjeev Singh"/>
    <s v="CEO"/>
    <s v="080-28367486"/>
    <s v="Peenya Industrial Area"/>
    <s v="B - 51 2nd Cross, 3rd Stage"/>
    <m/>
    <s v="Bangalore"/>
    <n v="560058"/>
    <s v="KA"/>
    <s v="India"/>
    <n v="8"/>
    <n v="0"/>
    <n v="5"/>
    <n v="1"/>
    <s v="Sun"/>
    <m/>
  </r>
  <r>
    <n v="317"/>
    <s v="Jayam Engg And Tools"/>
    <x v="290"/>
    <n v="371"/>
    <s v="2015J LX"/>
    <m/>
    <d v="2013-04-22T00:00:00"/>
    <m/>
    <m/>
    <d v="2020-03-06T00:00:00"/>
    <d v="2021-03-05T00:00:00"/>
    <n v="3"/>
    <s v="Mr. K. Saravanan"/>
    <s v="Managing Partn"/>
    <n v="9944494507"/>
    <m/>
    <s v="E - 7 SIDCO. Industrial Estate Post"/>
    <m/>
    <s v="Coimbatore"/>
    <n v="641021"/>
    <s v="TN"/>
    <s v="India"/>
    <n v="4"/>
    <n v="1"/>
    <n v="3"/>
    <n v="1"/>
    <s v="Sun"/>
    <m/>
  </r>
  <r>
    <n v="318"/>
    <s v="L G Balakrishnan &amp; Bros Limited"/>
    <x v="291"/>
    <n v="367"/>
    <s v="2015J LX"/>
    <m/>
    <d v="2013-04-20T00:00:00"/>
    <m/>
    <m/>
    <m/>
    <m/>
    <n v="3"/>
    <s v="Mr. Ashok"/>
    <m/>
    <m/>
    <s v="Jigani Link Road"/>
    <s v="4-A Bommasandra Ind Ar"/>
    <m/>
    <s v="Bangalore"/>
    <n v="560099"/>
    <s v="KA"/>
    <s v="India"/>
    <n v="8"/>
    <n v="0"/>
    <n v="2"/>
    <n v="1"/>
    <s v="Sun"/>
    <m/>
  </r>
  <r>
    <n v="319"/>
    <s v="Aureate India (Old Name:Accuplast)"/>
    <x v="292"/>
    <n v="389"/>
    <s v="2015J LX"/>
    <m/>
    <d v="2014-03-31T00:00:00"/>
    <m/>
    <m/>
    <d v="2020-07-30T00:00:00"/>
    <d v="2021-07-29T00:00:00"/>
    <n v="3"/>
    <s v="Mr. Prasoon"/>
    <s v="MD"/>
    <m/>
    <s v="Yeshwanthpur"/>
    <s v="Plot No.5/21 &amp; 22 Raghavendra Layout"/>
    <m/>
    <s v="Bangalore"/>
    <n v="560022"/>
    <s v="KA"/>
    <s v="India"/>
    <n v="8"/>
    <n v="0"/>
    <n v="5"/>
    <n v="1"/>
    <s v="Sun"/>
    <m/>
  </r>
  <r>
    <n v="320"/>
    <s v="RR Precision (India) Pvt Ltd (RR Engg &amp; Export)"/>
    <x v="86"/>
    <n v="392"/>
    <s v="2015J LX"/>
    <m/>
    <d v="2013-06-23T00:00:00"/>
    <m/>
    <m/>
    <d v="2025-10-22T00:00:00"/>
    <d v="2026-10-21T00:00:00"/>
    <n v="3"/>
    <s v="Mr. Jayaraj"/>
    <s v="MD"/>
    <m/>
    <m/>
    <s v="Tamaka Industrial Area "/>
    <m/>
    <s v="Kolar"/>
    <m/>
    <s v="KA"/>
    <s v="India"/>
    <n v="8"/>
    <n v="0"/>
    <n v="8"/>
    <n v="2"/>
    <s v="Sun"/>
    <m/>
  </r>
  <r>
    <n v="321"/>
    <s v="Shanmugha Precision Forging"/>
    <x v="293"/>
    <n v="381"/>
    <s v="4020J LX"/>
    <m/>
    <d v="2013-06-25T00:00:00"/>
    <m/>
    <m/>
    <m/>
    <m/>
    <n v="3"/>
    <s v="Mr. Sundararajan"/>
    <m/>
    <s v="04362-264 271"/>
    <s v="Thirumalaisamudram"/>
    <s v="No:121/6A, Trichy Main Road"/>
    <m/>
    <s v="Thanjavur"/>
    <n v="613401"/>
    <s v="TN"/>
    <s v="India"/>
    <n v="0"/>
    <n v="0"/>
    <n v="0"/>
    <n v="0"/>
    <n v="0"/>
    <m/>
  </r>
  <r>
    <n v="322"/>
    <s v="Srinar Electronics Pvt Ltd"/>
    <x v="294"/>
    <n v="386"/>
    <s v="2015J LX"/>
    <m/>
    <d v="2013-06-24T00:00:00"/>
    <m/>
    <m/>
    <m/>
    <m/>
    <n v="3"/>
    <s v="Mr. V.N.Parthasarath"/>
    <s v="MD"/>
    <s v="98843 06343"/>
    <s v="Egattur"/>
    <s v="34/2B NSC Bose Road"/>
    <m/>
    <s v="Chennai"/>
    <n v="603103"/>
    <s v="TN"/>
    <s v="India"/>
    <n v="4"/>
    <n v="1"/>
    <n v="0"/>
    <n v="1"/>
    <s v="Sun"/>
    <m/>
  </r>
  <r>
    <n v="323"/>
    <s v="TAL Manufacturing Solutions Ltd"/>
    <x v="295"/>
    <n v="372"/>
    <s v="2015J LX"/>
    <m/>
    <d v="2013-05-27T00:00:00"/>
    <m/>
    <m/>
    <d v="2020-09-30T00:00:00"/>
    <d v="2021-09-29T00:00:00"/>
    <n v="3"/>
    <m/>
    <m/>
    <m/>
    <s v="Chinchwad"/>
    <s v="SAP 4.6C TAL Mfg Solns Ltd"/>
    <m/>
    <s v="Pune"/>
    <n v="411033"/>
    <s v="MH"/>
    <s v="India"/>
    <n v="2"/>
    <n v="4"/>
    <n v="1"/>
    <n v="1"/>
    <s v="Thu "/>
    <m/>
  </r>
  <r>
    <n v="324"/>
    <s v="Srishti Engg Services"/>
    <x v="296"/>
    <n v="291"/>
    <s v="2015J LX"/>
    <m/>
    <d v="2013-08-01T00:00:00"/>
    <m/>
    <m/>
    <m/>
    <m/>
    <n v="3"/>
    <s v="Mr. G KarthikeyanNair"/>
    <m/>
    <m/>
    <s v="Srinagar"/>
    <s v="No. 93 New Sidco Industrial"/>
    <m/>
    <s v="Hosur"/>
    <n v="635103"/>
    <s v="TN"/>
    <s v="India"/>
    <n v="8"/>
    <n v="0"/>
    <n v="1"/>
    <n v="3"/>
    <s v="Sun"/>
    <m/>
  </r>
  <r>
    <n v="325"/>
    <s v="PLANSEE India High Performance Materials Pvt Ltd"/>
    <x v="297"/>
    <n v="393"/>
    <s v="2015J LX"/>
    <m/>
    <d v="2013-08-13T00:00:00"/>
    <m/>
    <m/>
    <d v="2025-08-02T00:00:00"/>
    <d v="2026-08-01T00:00:00"/>
    <n v="3"/>
    <s v="Mr. Chandrashekar"/>
    <m/>
    <s v="91 (821) 25 14 805"/>
    <s v="Metagalli Post"/>
    <s v="B-7 Hebbal Industrial Est"/>
    <m/>
    <s v="Mysore"/>
    <n v="570016"/>
    <s v="KA"/>
    <s v="India"/>
    <n v="8"/>
    <n v="0"/>
    <n v="3"/>
    <n v="3"/>
    <s v="Sun"/>
    <m/>
  </r>
  <r>
    <n v="326"/>
    <s v="Delphi TVS Diesel Systems Ltd. (Metring Value-with R-axis)"/>
    <x v="298"/>
    <n v="374"/>
    <s v="2015J LX"/>
    <m/>
    <m/>
    <m/>
    <m/>
    <d v="2022-03-24T00:00:00"/>
    <d v="2023-03-23T00:00:00"/>
    <n v="3"/>
    <s v="Mr.S.S.Balasubraman"/>
    <s v="(AGM QA)"/>
    <s v="044-27659222"/>
    <m/>
    <s v="Mannur Koottu Roa Thodukadu (Post)"/>
    <m/>
    <s v="Sriperumbudur"/>
    <n v="602105"/>
    <s v="TN"/>
    <s v="India"/>
    <n v="4"/>
    <n v="0"/>
    <n v="3"/>
    <n v="1"/>
    <s v="Sun"/>
    <m/>
  </r>
  <r>
    <n v="327"/>
    <s v="Bit-Tul Pvt Ltd"/>
    <x v="299"/>
    <n v="396"/>
    <s v="2015J LX"/>
    <m/>
    <d v="2013-09-02T00:00:00"/>
    <m/>
    <m/>
    <d v="2021-03-02T00:00:00"/>
    <d v="2022-03-01T00:00:00"/>
    <n v="3"/>
    <s v="Mr. Sharath Shetty"/>
    <m/>
    <s v="080- 22560166, 225602"/>
    <m/>
    <s v="Shreeshyla Kanakapura Road"/>
    <m/>
    <s v="Bangalore"/>
    <s v="560 062"/>
    <s v="KA"/>
    <s v="India"/>
    <n v="8"/>
    <n v="0"/>
    <n v="2"/>
    <n v="3"/>
    <s v="Sun"/>
    <m/>
  </r>
  <r>
    <n v="328"/>
    <s v="Delphi TVS Diesel Systems Ltd (VCO Nozzle &amp; Needle Inspection)"/>
    <x v="300"/>
    <n v="398"/>
    <s v="2015J LX"/>
    <m/>
    <d v="2013-08-17T00:00:00"/>
    <m/>
    <m/>
    <d v="2025-03-28T00:00:00"/>
    <d v="2026-03-27T00:00:00"/>
    <n v="3"/>
    <s v="Mr. Nammalwar Venkatesh"/>
    <m/>
    <s v="044-27658454"/>
    <s v="Vaipur"/>
    <s v="Oragadam SIPCO Industrial park"/>
    <m/>
    <s v="Kanchipuram"/>
    <n v="602105"/>
    <s v="TN"/>
    <s v="India"/>
    <n v="4"/>
    <n v="0"/>
    <n v="3"/>
    <n v="1"/>
    <s v="Sun"/>
    <m/>
  </r>
  <r>
    <n v="329"/>
    <s v="Techno Springs India Pvt Ltd"/>
    <x v="301"/>
    <n v="369"/>
    <s v="2015J LX"/>
    <m/>
    <d v="2013-09-05T00:00:00"/>
    <m/>
    <m/>
    <d v="2020-12-09T00:00:00"/>
    <d v="2021-12-08T00:00:00"/>
    <n v="3"/>
    <m/>
    <m/>
    <m/>
    <m/>
    <s v="Plot No. 389 Sector-24"/>
    <m/>
    <s v="Faridabad"/>
    <n v="121005"/>
    <s v="HR"/>
    <s v="India"/>
    <n v="1"/>
    <n v="1"/>
    <n v="6"/>
    <n v="1"/>
    <s v="Sun"/>
    <m/>
  </r>
  <r>
    <n v="330"/>
    <s v="Saxon Fluid Sealing Devices"/>
    <x v="302"/>
    <n v="399"/>
    <s v="2015J LX"/>
    <m/>
    <d v="2013-09-05T00:00:00"/>
    <m/>
    <m/>
    <m/>
    <m/>
    <n v="3"/>
    <s v="Mr. Anshuman Soni"/>
    <m/>
    <s v="93116 93633"/>
    <m/>
    <s v="F-168 A&amp;B, RIICO Indl Area,"/>
    <m/>
    <s v="Alwar"/>
    <n v="301019"/>
    <s v="RJ"/>
    <s v="India"/>
    <n v="1"/>
    <n v="1"/>
    <n v="1"/>
    <n v="4"/>
    <s v="Sun"/>
    <m/>
  </r>
  <r>
    <n v="331"/>
    <s v="Titan Industries Ltd"/>
    <x v="148"/>
    <n v="384"/>
    <s v="4020J LX"/>
    <m/>
    <d v="2013-09-07T00:00:00"/>
    <m/>
    <m/>
    <d v="2021-10-01T00:00:00"/>
    <d v="2022-09-30T00:00:00"/>
    <n v="3"/>
    <s v="Mr. S. Sarvanan"/>
    <m/>
    <s v="080- 40119372"/>
    <s v="Anekal Taluk"/>
    <s v="15B Bommasandra Indl ar"/>
    <m/>
    <s v="Bangalore"/>
    <n v="562158"/>
    <s v="KA"/>
    <s v="India"/>
    <n v="8"/>
    <n v="0"/>
    <n v="1"/>
    <n v="3"/>
    <s v="Sun"/>
    <m/>
  </r>
  <r>
    <n v="332"/>
    <s v="Schneider Electric India Pvt Ltd (Larsen &amp; Toubro Limited) Ref:H087"/>
    <x v="303"/>
    <n v="394"/>
    <s v="2015J LX"/>
    <m/>
    <d v="2013-10-09T00:00:00"/>
    <m/>
    <m/>
    <d v="2022-01-08T00:00:00"/>
    <d v="2023-01-07T00:00:00"/>
    <n v="3"/>
    <s v="Mr. Asif Mohammed"/>
    <m/>
    <n v="9325209325"/>
    <s v="Ahmednagar Switchgear"/>
    <s v="A-9 ESP A'Nagar Mfg Plan"/>
    <s v="MIDC"/>
    <s v="Ahmednagar"/>
    <n v="414111"/>
    <s v="MH"/>
    <s v="India"/>
    <n v="2"/>
    <n v="4"/>
    <n v="3"/>
    <n v="1"/>
    <s v="Thu"/>
    <m/>
  </r>
  <r>
    <n v="333"/>
    <s v="Souriau India P Ltd. (Cbe)"/>
    <x v="304"/>
    <n v="404"/>
    <s v="2015J LX"/>
    <m/>
    <d v="2013-12-30T00:00:00"/>
    <m/>
    <m/>
    <d v="2024-01-10T00:00:00"/>
    <d v="2025-01-09T00:00:00"/>
    <n v="3"/>
    <s v="Mr. Dinesh Nair"/>
    <s v="Mgr-QC"/>
    <n v="9944408421"/>
    <s v="Malumachampatti"/>
    <s v="71/516B Vadakkuthottamsala"/>
    <m/>
    <s v="Coimbatore"/>
    <n v="641021"/>
    <s v="TN"/>
    <s v="India"/>
    <n v="4"/>
    <n v="1"/>
    <n v="3"/>
    <n v="1"/>
    <s v="Sun"/>
    <m/>
  </r>
  <r>
    <n v="334"/>
    <s v="Kumar Industries"/>
    <x v="305"/>
    <n v="403"/>
    <s v="2015J LX"/>
    <m/>
    <d v="2013-11-13T00:00:00"/>
    <m/>
    <m/>
    <d v="2021-12-08T00:00:00"/>
    <d v="2022-12-07T00:00:00"/>
    <n v="3"/>
    <s v="Mr. T Rajagopal"/>
    <s v="GM"/>
    <n v="9500066380"/>
    <s v="Behind Ambattur Telepho"/>
    <s v="No.5 Tass Industrial Estate"/>
    <s v="Ambattur"/>
    <s v="Chennai"/>
    <n v="600098"/>
    <s v="TN"/>
    <s v="India"/>
    <n v="4"/>
    <n v="0"/>
    <n v="4"/>
    <n v="1"/>
    <s v="Sun"/>
    <m/>
  </r>
  <r>
    <n v="335"/>
    <s v="UTC Aerospace Systems"/>
    <x v="306"/>
    <n v="121"/>
    <s v="4020J LX"/>
    <m/>
    <m/>
    <m/>
    <m/>
    <m/>
    <m/>
    <n v="3"/>
    <s v="Mr. Mike Er Bak"/>
    <s v="Sr. Engg-Mfg"/>
    <s v="65 65118400"/>
    <m/>
    <s v="NO. 11 Changi North Rise"/>
    <m/>
    <m/>
    <n v="498790"/>
    <s v="OC"/>
    <s v="Singapore"/>
    <n v="0"/>
    <n v="0"/>
    <n v="0"/>
    <n v="0"/>
    <n v="0"/>
    <m/>
  </r>
  <r>
    <n v="336"/>
    <s v="West Pharmaceutical Services Shanghai Me"/>
    <x v="307"/>
    <s v="not_filled"/>
    <m/>
    <m/>
    <m/>
    <m/>
    <m/>
    <m/>
    <m/>
    <n v="3"/>
    <s v="Mr. Kelly Qiuo"/>
    <m/>
    <s v="86-21-39206351"/>
    <s v="Qing Pu"/>
    <s v="No. 111 Tianchen Road"/>
    <s v="Shanghai"/>
    <m/>
    <n v="201707"/>
    <s v="OC"/>
    <s v="China"/>
    <n v="0"/>
    <n v="0"/>
    <n v="0"/>
    <n v="0"/>
    <n v="0"/>
    <m/>
  </r>
  <r>
    <n v="337"/>
    <s v="Federal Mogul Goetze (India) Ltd"/>
    <x v="308"/>
    <n v="406"/>
    <s v="2015J LX"/>
    <m/>
    <d v="2013-11-28T00:00:00"/>
    <m/>
    <m/>
    <d v="2021-09-22T00:00:00"/>
    <d v="2022-09-21T00:00:00"/>
    <n v="3"/>
    <s v="Mr. Konetty"/>
    <m/>
    <m/>
    <m/>
    <s v="Bellary Road, Yelahanka"/>
    <m/>
    <s v="Bangalore"/>
    <n v="560064"/>
    <s v="KA"/>
    <s v="India"/>
    <n v="8"/>
    <n v="0"/>
    <n v="7"/>
    <n v="1"/>
    <s v="Sun"/>
    <m/>
  </r>
  <r>
    <n v="338"/>
    <s v="Maxeff Engg (Industrial Enginnering Syndicate)"/>
    <x v="309"/>
    <n v="402"/>
    <s v="2015J LX"/>
    <m/>
    <d v="2013-11-22T00:00:00"/>
    <m/>
    <m/>
    <d v="2021-11-22T00:00:00"/>
    <d v="2022-11-21T00:00:00"/>
    <n v="3"/>
    <s v="Mr. Rambade"/>
    <m/>
    <s v="93240 32796"/>
    <s v="Tungareshwar Industrial"/>
    <s v="11-12-2013 Walia Industrial Estat"/>
    <s v="Sativali"/>
    <s v="Vasai"/>
    <s v="401 208"/>
    <s v="MH"/>
    <s v="India"/>
    <n v="2"/>
    <n v="1"/>
    <n v="1"/>
    <n v="3"/>
    <s v="Sun"/>
    <m/>
  </r>
  <r>
    <n v="339"/>
    <s v="Renata Precision Components Pvt Ltd"/>
    <x v="310"/>
    <n v="357"/>
    <s v="2015J LX"/>
    <m/>
    <d v="2013-12-03T00:00:00"/>
    <m/>
    <m/>
    <d v="2022-01-14T00:00:00"/>
    <d v="2023-01-13T00:00:00"/>
    <n v="3"/>
    <s v="Mr. Bright Singh"/>
    <s v="GM Technical"/>
    <s v="020-66114920"/>
    <s v="Bhosari Industrial Estate"/>
    <s v="Plot No 526, J-Bloc MIDC"/>
    <s v="Bhosari"/>
    <s v="Pune"/>
    <n v="411026"/>
    <s v="MH"/>
    <s v="India"/>
    <n v="2"/>
    <n v="4"/>
    <n v="1"/>
    <n v="1"/>
    <s v="Thu "/>
    <m/>
  </r>
  <r>
    <n v="340"/>
    <s v="AO Smith India Water Heating Pvt Ltd"/>
    <x v="311"/>
    <n v="370"/>
    <s v="2015J LX"/>
    <m/>
    <d v="2013-03-27T00:00:00"/>
    <m/>
    <m/>
    <d v="2022-01-03T00:00:00"/>
    <d v="2023-01-02T00:00:00"/>
    <n v="3"/>
    <s v="Mr. Venkatakrishnan"/>
    <s v="Purchase"/>
    <s v="080-28011200"/>
    <s v="Phase-II, Harohalli"/>
    <s v="Plot No.300 KIADB Industrial Area"/>
    <s v="Kanakapura Tal"/>
    <s v="Ramnagar"/>
    <n v="562112"/>
    <s v="KA"/>
    <s v="India"/>
    <n v="8"/>
    <n v="0"/>
    <n v="2"/>
    <n v="2"/>
    <s v="Sun"/>
    <m/>
  </r>
  <r>
    <n v="341"/>
    <s v="Napino Auto &amp; Electronics Ltd"/>
    <x v="312"/>
    <n v="405"/>
    <s v="2015J LX"/>
    <m/>
    <d v="2013-12-10T00:00:00"/>
    <m/>
    <m/>
    <d v="2021-08-18T00:00:00"/>
    <d v="2022-08-17T00:00:00"/>
    <n v="3"/>
    <m/>
    <m/>
    <m/>
    <s v="Hero Honda Park"/>
    <s v="Plot No. 3/P4 Sector-10"/>
    <s v="Integrated Indu"/>
    <s v="Haridwar"/>
    <n v="249407"/>
    <s v="UK"/>
    <s v="India"/>
    <n v="1"/>
    <n v="0"/>
    <n v="4"/>
    <n v="2"/>
    <s v="Sun"/>
    <m/>
  </r>
  <r>
    <n v="342"/>
    <s v="SS Technologies (Gera Auto Industries Pvt Ltd)"/>
    <x v="313"/>
    <n v="355"/>
    <s v="4020J LX"/>
    <m/>
    <d v="2014-02-08T00:00:00"/>
    <m/>
    <m/>
    <d v="2021-11-30T00:00:00"/>
    <d v="2022-11-29T00:00:00"/>
    <n v="3"/>
    <s v="Mr. Manjunath"/>
    <m/>
    <n v="9844107555"/>
    <s v="10th Cross, Ganapathi Nagar"/>
    <s v="Site No.108B Survey No.139/2"/>
    <s v="Peenya Industrial Area"/>
    <s v="Bangalore"/>
    <n v="560058"/>
    <s v="KA"/>
    <s v="India"/>
    <n v="8"/>
    <n v="0"/>
    <n v="5"/>
    <n v="1"/>
    <s v="Sun"/>
    <m/>
  </r>
  <r>
    <n v="343"/>
    <s v="Colgate Palmolive India Ltd"/>
    <x v="314"/>
    <n v="408"/>
    <s v="2015J LX"/>
    <m/>
    <d v="2014-01-22T00:00:00"/>
    <m/>
    <m/>
    <m/>
    <m/>
    <n v="3"/>
    <s v="Mr.Lakshminarayanan"/>
    <m/>
    <n v="9820652195"/>
    <m/>
    <s v="Hiranandani Garde Powai"/>
    <m/>
    <s v="Mumbai"/>
    <n v="400086"/>
    <s v="MH"/>
    <s v="India"/>
    <n v="2"/>
    <n v="1"/>
    <n v="1"/>
    <n v="4"/>
    <s v="Sun"/>
    <m/>
  </r>
  <r>
    <n v="344"/>
    <s v="Lakshmi Ring Travellers (Coimbatore) Ltd"/>
    <x v="315"/>
    <n v="412"/>
    <s v="2015J LX"/>
    <m/>
    <d v="2014-02-20T00:00:00"/>
    <m/>
    <m/>
    <d v="2021-10-07T00:00:00"/>
    <d v="2022-10-06T00:00:00"/>
    <n v="3"/>
    <m/>
    <m/>
    <m/>
    <s v="M G Pudur"/>
    <s v="Sulur Railway Feed Kurumbapalayam"/>
    <m/>
    <s v="Coimbatore"/>
    <n v="641402"/>
    <s v="TN"/>
    <s v="India"/>
    <n v="4"/>
    <n v="1"/>
    <n v="1"/>
    <n v="2"/>
    <s v="Sun"/>
    <m/>
  </r>
  <r>
    <n v="345"/>
    <s v="Pointec Pens &amp; Energy Pvt Ltd"/>
    <x v="316"/>
    <n v="332"/>
    <s v="2015J LX"/>
    <m/>
    <d v="2014-03-29T00:00:00"/>
    <m/>
    <m/>
    <d v="2019-08-26T00:00:00"/>
    <d v="2020-08-25T00:00:00"/>
    <n v="3"/>
    <s v="Mr. M.G. Balraj"/>
    <m/>
    <m/>
    <s v="Attibele"/>
    <s v="26-A Attibele Industrial Ar"/>
    <m/>
    <s v="Bangalore"/>
    <n v="562107"/>
    <s v="KA"/>
    <s v="India"/>
    <n v="8"/>
    <n v="0"/>
    <n v="1"/>
    <n v="2"/>
    <s v="Sun"/>
    <m/>
  </r>
  <r>
    <n v="346"/>
    <s v="Cadd Pro Tooling"/>
    <x v="317"/>
    <s v="not_filled"/>
    <s v="2015J LX"/>
    <m/>
    <d v="2014-02-08T00:00:00"/>
    <m/>
    <m/>
    <m/>
    <m/>
    <n v="3"/>
    <s v="Mr. Shridhar Shanbag"/>
    <s v="Partner"/>
    <n v="9448093417"/>
    <s v="1st stage,"/>
    <s v="Plot No. M14/A 7th Cross"/>
    <s v="Peenya Industri"/>
    <s v="Bangalore"/>
    <n v="560058"/>
    <s v="KA"/>
    <s v="India"/>
    <n v="8"/>
    <n v="0"/>
    <n v="5"/>
    <n v="1"/>
    <s v="Sun"/>
    <m/>
  </r>
  <r>
    <n v="347"/>
    <s v="Star Engineers (I) Pvt Ltd"/>
    <x v="318"/>
    <n v="411"/>
    <s v="2015J LX"/>
    <m/>
    <d v="2014-02-21T00:00:00"/>
    <m/>
    <m/>
    <d v="2021-03-25T00:00:00"/>
    <d v="2023-03-24T00:00:00"/>
    <n v="3"/>
    <s v="Mr. Edwin Jules"/>
    <m/>
    <n v="8605085828"/>
    <s v="Talawade"/>
    <s v="Gat No. 67 / 68 Jyotiba Nagar"/>
    <m/>
    <s v="Pune"/>
    <n v="412114"/>
    <s v="MH"/>
    <s v="India"/>
    <n v="2"/>
    <n v="4"/>
    <n v="2"/>
    <n v="1"/>
    <s v="Thu"/>
    <m/>
  </r>
  <r>
    <n v="348"/>
    <s v="Stumpp Schuele &amp; Somappa Springs Pvt Ltd"/>
    <x v="319"/>
    <n v="416"/>
    <s v="2015J LX"/>
    <m/>
    <d v="2014-03-13T00:00:00"/>
    <m/>
    <m/>
    <d v="2021-09-04T00:00:00"/>
    <d v="2022-09-03T00:00:00"/>
    <n v="3"/>
    <s v="Mr. Jitender Raghav"/>
    <m/>
    <n v="9992508005"/>
    <s v="Roz-Ka-Meo"/>
    <s v="Plot No. 131 Roz-Ka-Meo industria"/>
    <m/>
    <s v="Mewat"/>
    <n v="122103"/>
    <s v="HR"/>
    <s v="India"/>
    <n v="1"/>
    <n v="1"/>
    <n v="2"/>
    <n v="2"/>
    <s v="Sun"/>
    <m/>
  </r>
  <r>
    <n v="349"/>
    <s v="Senor Metal Pvt Ltd"/>
    <x v="320"/>
    <n v="422"/>
    <s v="2015J LX"/>
    <m/>
    <d v="2014-03-13T00:00:00"/>
    <m/>
    <m/>
    <d v="2025-12-15T00:00:00"/>
    <d v="2026-12-14T00:00:00"/>
    <n v="3"/>
    <m/>
    <m/>
    <m/>
    <s v="GIDC III,"/>
    <s v="Unit-II, Component Division"/>
    <s v="Dared"/>
    <s v="Jamnagar"/>
    <n v="361004"/>
    <s v="GJ"/>
    <s v="India"/>
    <n v="5"/>
    <n v="4"/>
    <n v="0"/>
    <n v="1"/>
    <s v="Fri"/>
    <m/>
  </r>
  <r>
    <n v="350"/>
    <s v="Accurate Springs Pvt Ltd"/>
    <x v="321"/>
    <n v="417"/>
    <s v="2015J LX"/>
    <m/>
    <d v="2014-03-17T00:00:00"/>
    <m/>
    <m/>
    <m/>
    <m/>
    <n v="3"/>
    <m/>
    <m/>
    <s v="044-24766756/2476677"/>
    <s v="Porur"/>
    <s v="No. 41/1 Karambakkam Main"/>
    <m/>
    <s v="Chennai"/>
    <n v="600116"/>
    <s v="TN"/>
    <s v="India"/>
    <n v="4"/>
    <n v="0"/>
    <n v="2"/>
    <n v="1"/>
    <s v="Sun"/>
    <m/>
  </r>
  <r>
    <n v="351"/>
    <s v="Spectrum Electrical Industries Ltd"/>
    <x v="322"/>
    <n v="420"/>
    <s v="2015J LX"/>
    <m/>
    <d v="2014-03-24T00:00:00"/>
    <m/>
    <m/>
    <d v="2021-03-03T00:00:00"/>
    <d v="2023-03-02T00:00:00"/>
    <n v="3"/>
    <s v="Mr. Govardhan Reddy"/>
    <m/>
    <n v="9923694422"/>
    <s v="MIDC Area"/>
    <s v="Plot No.C2 &amp; 1 &amp; 2 Raymondh Chowk"/>
    <m/>
    <s v="Jalgaon"/>
    <n v="425003"/>
    <s v="MH"/>
    <s v="India"/>
    <n v="2"/>
    <n v="0"/>
    <n v="1"/>
    <n v="0"/>
    <s v="Sun"/>
    <m/>
  </r>
  <r>
    <n v="352"/>
    <s v="Spectrum Electrical Industries Ltd"/>
    <x v="322"/>
    <n v="421"/>
    <s v="2015J LX"/>
    <m/>
    <d v="2014-03-24T00:00:00"/>
    <m/>
    <m/>
    <d v="2021-03-03T00:00:00"/>
    <d v="2023-03-02T00:00:00"/>
    <n v="3"/>
    <s v="Mr. Hitendra S Phirke"/>
    <s v="Director"/>
    <n v="9422207442"/>
    <m/>
    <s v="Plot No.6B V195, MIDC"/>
    <m/>
    <s v="Jalgaon"/>
    <n v="425003"/>
    <s v="MH"/>
    <s v="India"/>
    <n v="2"/>
    <n v="0"/>
    <n v="1"/>
    <n v="0"/>
    <s v="Sun"/>
    <m/>
  </r>
  <r>
    <n v="353"/>
    <s v="Sri Acme Industries"/>
    <x v="323"/>
    <s v="not_filled"/>
    <s v="2015J LX"/>
    <m/>
    <d v="2014-03-31T00:00:00"/>
    <m/>
    <m/>
    <m/>
    <m/>
    <n v="3"/>
    <s v="Mr. Mohan"/>
    <s v="Partner"/>
    <s v="080-40943012"/>
    <s v="5th Main Road, Maheshw"/>
    <s v="No.19 Shed No.3"/>
    <s v="Mahadevapura"/>
    <s v="Bangalore"/>
    <n v="560048"/>
    <s v="KA"/>
    <s v="India"/>
    <n v="8"/>
    <n v="0"/>
    <n v="8"/>
    <n v="1"/>
    <s v="Sun"/>
    <m/>
  </r>
  <r>
    <n v="354"/>
    <s v="Star Engineers (I) Pvt Ltd"/>
    <x v="318"/>
    <n v="414"/>
    <s v="2015J LX"/>
    <m/>
    <d v="2014-03-24T00:00:00"/>
    <m/>
    <m/>
    <d v="2020-11-09T00:00:00"/>
    <d v="2021-11-08T00:00:00"/>
    <n v="3"/>
    <s v="Mr. Edwin Jules"/>
    <m/>
    <n v="8605085828"/>
    <s v="Talawade"/>
    <s v="Gat No. 67 / 68 Jyotiba Nagar"/>
    <m/>
    <s v="Pune"/>
    <n v="412114"/>
    <s v="MH"/>
    <s v="India"/>
    <n v="2"/>
    <n v="4"/>
    <n v="2"/>
    <n v="1"/>
    <s v="Thu"/>
    <m/>
  </r>
  <r>
    <n v="355"/>
    <s v="Care Group India"/>
    <x v="324"/>
    <n v="407"/>
    <s v="2015J LX"/>
    <m/>
    <d v="2014-03-26T00:00:00"/>
    <m/>
    <m/>
    <m/>
    <m/>
    <n v="3"/>
    <s v="Mr. Munavvar Hussain"/>
    <m/>
    <n v="9327753300"/>
    <s v="Tal.Padra"/>
    <s v="Block No.310 Village Sim of Dabhas"/>
    <m/>
    <s v="Vadodara"/>
    <n v="391440"/>
    <s v="GJ"/>
    <s v="India"/>
    <n v="5"/>
    <n v="1"/>
    <n v="1"/>
    <n v="2"/>
    <s v="Sun"/>
    <m/>
  </r>
  <r>
    <n v="356"/>
    <s v="Leo Precision Products"/>
    <x v="325"/>
    <n v="418"/>
    <s v="2015J LX"/>
    <m/>
    <d v="2014-03-26T00:00:00"/>
    <m/>
    <m/>
    <d v="2021-12-03T00:00:00"/>
    <d v="2022-12-02T00:00:00"/>
    <n v="3"/>
    <s v="Mr. Senthil Kumar"/>
    <m/>
    <m/>
    <s v="Survey No: 127/1, Preeti I"/>
    <s v="Unit No: 4 &amp; 5 A Building"/>
    <s v="66KVA Road, A"/>
    <s v="Silvassa"/>
    <n v="396230"/>
    <s v="D&amp;D"/>
    <s v="India"/>
    <n v="2"/>
    <n v="1"/>
    <n v="1"/>
    <n v="1"/>
    <s v="Sun"/>
    <m/>
  </r>
  <r>
    <n v="357"/>
    <s v="Cuse Metrology &amp; Quality Management Services"/>
    <x v="326"/>
    <n v="522"/>
    <s v="4020J LX"/>
    <m/>
    <d v="2014-03-28T00:00:00"/>
    <m/>
    <m/>
    <d v="2018-10-02T00:00:00"/>
    <d v="2019-10-01T00:00:00"/>
    <n v="3"/>
    <s v="Mr. Vellingiri"/>
    <m/>
    <n v="9344768490"/>
    <s v="Sidhapudur"/>
    <s v="No.487 Venkatasamy Street"/>
    <m/>
    <s v="Coimbatore"/>
    <n v="641044"/>
    <s v="TN"/>
    <s v="India"/>
    <n v="4"/>
    <n v="1"/>
    <n v="6"/>
    <n v="1"/>
    <s v="Sun"/>
    <m/>
  </r>
  <r>
    <n v="358"/>
    <s v="Viney Corporation Pvt Ltd"/>
    <x v="327"/>
    <n v="447"/>
    <s v="4020J LX"/>
    <m/>
    <d v="2014-03-28T00:00:00"/>
    <m/>
    <m/>
    <d v="2021-11-01T00:00:00"/>
    <d v="2022-10-31T00:00:00"/>
    <n v="3"/>
    <s v="Mr. G S Monga"/>
    <s v="Sr. Manager- En"/>
    <n v="9312441528"/>
    <s v="Narela Industrial Complex"/>
    <s v="Corporate Off &amp; W G-1033, 34, 35, D.S.I."/>
    <s v="Bhorgarh"/>
    <s v="Delhi"/>
    <n v="110040"/>
    <s v="DL"/>
    <s v="India"/>
    <n v="1"/>
    <n v="1"/>
    <n v="1"/>
    <n v="2"/>
    <s v="Sun"/>
    <m/>
  </r>
  <r>
    <n v="359"/>
    <s v="Indira Gandhi Centre For Atomic Research (IGCAR)"/>
    <x v="328"/>
    <n v="382"/>
    <s v="4020J LX"/>
    <m/>
    <d v="2014-03-29T00:00:00"/>
    <m/>
    <m/>
    <m/>
    <m/>
    <n v="3"/>
    <m/>
    <m/>
    <m/>
    <m/>
    <s v="Kalpakkam "/>
    <m/>
    <s v="Chennai"/>
    <n v="603102"/>
    <s v="TN"/>
    <s v="India"/>
    <n v="4"/>
    <n v="0"/>
    <n v="1"/>
    <n v="2"/>
    <s v="Sun"/>
    <m/>
  </r>
  <r>
    <n v="360"/>
    <s v="College of Engg"/>
    <x v="270"/>
    <n v="423"/>
    <s v="2015J LX"/>
    <m/>
    <d v="2014-03-31T00:00:00"/>
    <m/>
    <m/>
    <d v="2022-05-10T00:00:00"/>
    <d v="2023-05-09T00:00:00"/>
    <n v="3"/>
    <s v="Mr. Dr.B. B. Ahuja"/>
    <m/>
    <m/>
    <m/>
    <s v="Dept of Production Shivaji Nagar"/>
    <m/>
    <s v="Pune"/>
    <s v="411 010"/>
    <s v="MH"/>
    <s v="India"/>
    <n v="2"/>
    <n v="4"/>
    <n v="4"/>
    <n v="1"/>
    <s v="Thu"/>
    <m/>
  </r>
  <r>
    <n v="361"/>
    <s v="Shogini Technoarts Pvt Ltd"/>
    <x v="329"/>
    <n v="446"/>
    <s v="4020J LX"/>
    <m/>
    <d v="2014-04-09T00:00:00"/>
    <m/>
    <m/>
    <d v="2021-04-04T00:00:00"/>
    <d v="2022-04-04T00:00:00"/>
    <n v="3"/>
    <s v="Mr. Kishor Brahme"/>
    <m/>
    <s v="98220 08452"/>
    <s v="Tal: Haveli"/>
    <s v="GAT NO. 788 Khed-Shivapur"/>
    <m/>
    <s v="Pune"/>
    <n v="412205"/>
    <s v="MH"/>
    <s v="India"/>
    <n v="2"/>
    <n v="4"/>
    <n v="5"/>
    <n v="1"/>
    <s v="Thu"/>
    <m/>
  </r>
  <r>
    <n v="362"/>
    <s v="Gnutti Carlo India Pvt ltd"/>
    <x v="330"/>
    <n v="425"/>
    <s v="2015J LX"/>
    <m/>
    <d v="2014-04-09T00:00:00"/>
    <m/>
    <m/>
    <d v="2025-05-22T00:00:00"/>
    <d v="2026-05-21T00:00:00"/>
    <n v="3"/>
    <s v="Mr. Karthik"/>
    <m/>
    <n v="8940982904"/>
    <s v="Sipcot Industrial Complex"/>
    <s v="Plot No. A25 Engineering SEZ"/>
    <s v="Phase III"/>
    <s v="Ranipet"/>
    <n v="632405"/>
    <s v="TN"/>
    <s v="India"/>
    <n v="4"/>
    <n v="0"/>
    <n v="3"/>
    <n v="3"/>
    <s v="Sun"/>
    <m/>
  </r>
  <r>
    <n v="363"/>
    <s v="TVS Upasana Ltd (Upasana Engg Limited)"/>
    <x v="331"/>
    <n v="419"/>
    <s v="2015J LX"/>
    <m/>
    <d v="2014-03-30T00:00:00"/>
    <m/>
    <m/>
    <d v="2022-03-15T00:00:00"/>
    <d v="2023-03-14T00:00:00"/>
    <n v="3"/>
    <m/>
    <m/>
    <m/>
    <s v="Ambattur"/>
    <s v="298 &amp; 428 SIDCO Industrial Esta"/>
    <m/>
    <s v="Chennai"/>
    <n v="600098"/>
    <s v="TN"/>
    <s v="India"/>
    <n v="4"/>
    <n v="0"/>
    <n v="4"/>
    <n v="1"/>
    <s v="Sun"/>
    <m/>
  </r>
  <r>
    <n v="364"/>
    <s v="Aczet Pvt Ltd (Citizen Scales India Pvt Ltd)"/>
    <x v="332"/>
    <n v="427"/>
    <s v="2015J LX"/>
    <m/>
    <d v="2014-04-25T00:00:00"/>
    <m/>
    <m/>
    <d v="2020-12-01T00:00:00"/>
    <d v="2021-11-30T00:00:00"/>
    <n v="3"/>
    <m/>
    <m/>
    <m/>
    <s v=" Opp. Mumbai-Ahmedabad Highway (NH08)"/>
    <s v="Survey No.70/4 Bapane Village, Opp.Naigaon Flyover"/>
    <s v="Naigaon East"/>
    <s v="Palghar"/>
    <n v="401208"/>
    <s v="MH"/>
    <s v="India"/>
    <n v="2"/>
    <n v="1"/>
    <n v="1"/>
    <n v="2"/>
    <s v="Sun"/>
    <m/>
  </r>
  <r>
    <n v="365"/>
    <s v="Die plast Pvt Ltd"/>
    <x v="333"/>
    <n v="385"/>
    <s v="4020J LX"/>
    <m/>
    <d v="2014-05-10T00:00:00"/>
    <m/>
    <m/>
    <d v="2021-01-19T00:00:00"/>
    <d v="2022-01-18T00:00:00"/>
    <n v="3"/>
    <s v="Mr. Siddesh Bhansali"/>
    <m/>
    <s v="0250 6055524 /25 / 26"/>
    <s v="Village Waliv"/>
    <s v="Plot No.11 Survey No. 66"/>
    <s v="Naikpada, Vasai"/>
    <s v="Thane"/>
    <n v="401210"/>
    <s v="MH"/>
    <s v="India"/>
    <n v="2"/>
    <n v="2"/>
    <n v="2"/>
    <n v="2"/>
    <s v="Sun"/>
    <m/>
  </r>
  <r>
    <n v="366"/>
    <s v="Samvardhana Motherson Innovative Solns Ltd (Motherson Sintermetal Technology Ltd)"/>
    <x v="334"/>
    <n v="424"/>
    <s v="2015J LX"/>
    <m/>
    <d v="2014-06-03T00:00:00"/>
    <m/>
    <m/>
    <m/>
    <m/>
    <n v="3"/>
    <s v="Mr. R M Nagalingam"/>
    <s v="Production Man"/>
    <n v="8220047779"/>
    <s v="Mannady Pet"/>
    <s v="RS NO.72/2 Kothapuri Natham Ro"/>
    <s v="Commune, Thir"/>
    <s v="Pondicherry"/>
    <m/>
    <s v="TN"/>
    <s v="India"/>
    <n v="4"/>
    <n v="0"/>
    <n v="1"/>
    <n v="3"/>
    <s v="Sun"/>
    <m/>
  </r>
  <r>
    <n v="367"/>
    <s v="Mackel Components"/>
    <x v="335"/>
    <n v="428"/>
    <s v="2015J LX"/>
    <m/>
    <d v="2014-05-24T00:00:00"/>
    <m/>
    <m/>
    <m/>
    <m/>
    <n v="3"/>
    <s v="Mr.M.V. Raghavaiah"/>
    <s v="Manager"/>
    <s v="98499 96598"/>
    <s v="Balanagar"/>
    <s v="63 CIE Gandhi Nagar"/>
    <m/>
    <s v="Hyderabad"/>
    <n v="500037"/>
    <s v="AP"/>
    <s v="India"/>
    <n v="6"/>
    <n v="0"/>
    <n v="2"/>
    <n v="1"/>
    <s v="Sun"/>
    <m/>
  </r>
  <r>
    <n v="368"/>
    <s v="TVS Argomm Pvt Ltd (TVS Novotema Elestomeric Engineered Product Pvt ltd)"/>
    <x v="336"/>
    <n v="448"/>
    <s v="4020J LX"/>
    <m/>
    <d v="2014-06-03T00:00:00"/>
    <m/>
    <m/>
    <d v="2021-06-24T00:00:00"/>
    <d v="2022-06-23T00:00:00"/>
    <n v="3"/>
    <s v="Mr. Selvakumar"/>
    <m/>
    <s v="0452-2381531/ 962919"/>
    <s v="Thekkutheru Post"/>
    <s v="Arittapatti Road Narasingampatti"/>
    <s v="Melur Taluk"/>
    <s v="Madurai"/>
    <n v="625122"/>
    <s v="TN"/>
    <s v="India"/>
    <n v="4"/>
    <n v="1"/>
    <n v="0"/>
    <n v="1"/>
    <s v="Sun"/>
    <m/>
  </r>
  <r>
    <n v="369"/>
    <s v="Acetech (CNC Automotive)"/>
    <x v="337"/>
    <n v="377"/>
    <s v="2015J HT"/>
    <m/>
    <d v="2014-07-11T00:00:00"/>
    <m/>
    <m/>
    <d v="2021-09-20T00:00:00"/>
    <d v="2022-09-19T00:00:00"/>
    <n v="3"/>
    <s v="Mr. Gopalakrishnan."/>
    <s v="Manager"/>
    <s v="080-41158941/ 283901"/>
    <s v="Peenya Industrial Estate"/>
    <s v="B-444 1st Stage"/>
    <m/>
    <s v="Bangalore"/>
    <n v="560058"/>
    <s v="KA"/>
    <s v="India"/>
    <n v="8"/>
    <n v="0"/>
    <n v="5"/>
    <n v="1"/>
    <s v="Sun"/>
    <m/>
  </r>
  <r>
    <n v="370"/>
    <s v="Maini Precision Products (P) Ltd."/>
    <x v="338"/>
    <n v="430"/>
    <s v="2015J LX"/>
    <m/>
    <d v="2014-07-17T00:00:00"/>
    <m/>
    <m/>
    <d v="2021-07-28T00:00:00"/>
    <d v="2022-07-27T00:00:00"/>
    <n v="3"/>
    <s v="Mr. Krishnamurthy"/>
    <s v="Purchase"/>
    <m/>
    <s v="Kasaba Hobli"/>
    <s v="Filter Unit- Nelama Survey No 169"/>
    <s v="Nelamangala To"/>
    <s v="Bangalore"/>
    <n v="562123"/>
    <s v="KA"/>
    <s v="India"/>
    <n v="8"/>
    <n v="0"/>
    <n v="5"/>
    <n v="4"/>
    <s v="Sun"/>
    <m/>
  </r>
  <r>
    <n v="371"/>
    <s v="Taylor Rubber Pvt Ltd"/>
    <x v="339"/>
    <n v="449"/>
    <s v="4020J LX"/>
    <m/>
    <d v="2014-07-07T00:00:00"/>
    <m/>
    <m/>
    <d v="2025-04-01T00:00:00"/>
    <d v="2026-03-31T00:00:00"/>
    <n v="3"/>
    <s v="Mr. Srinivasan"/>
    <m/>
    <n v="9840299240"/>
    <s v="Thirumudivakkam"/>
    <s v="Plot No. 283 SIDCO Industrial Esta"/>
    <m/>
    <s v="Chennai"/>
    <n v="600044"/>
    <s v="TN"/>
    <s v="India"/>
    <n v="4"/>
    <n v="0"/>
    <n v="2"/>
    <n v="2"/>
    <s v="Sun"/>
    <m/>
  </r>
  <r>
    <n v="372"/>
    <s v="Tool Aids Pvt Ltd"/>
    <x v="340"/>
    <n v="378"/>
    <s v="2015J HT"/>
    <m/>
    <d v="2014-07-26T00:00:00"/>
    <m/>
    <m/>
    <m/>
    <m/>
    <n v="3"/>
    <s v="Mr. S. Rajendran"/>
    <m/>
    <n v="9841223428"/>
    <s v="Alapakkam"/>
    <s v="No. 5 &amp; 5 A Ekambaram Industria"/>
    <m/>
    <s v="Chennai"/>
    <n v="600116"/>
    <s v="TN"/>
    <s v="India"/>
    <n v="4"/>
    <n v="0"/>
    <n v="2"/>
    <n v="3"/>
    <s v="Sun"/>
    <m/>
  </r>
  <r>
    <n v="373"/>
    <s v="Suyash Global Pvt Ltd (Suyash Impex Pvt Ltd)"/>
    <x v="341"/>
    <n v="434"/>
    <s v="2015J LX"/>
    <m/>
    <d v="2014-07-15T00:00:00"/>
    <m/>
    <m/>
    <d v="2025-03-27T00:00:00"/>
    <d v="2026-03-26T00:00:00"/>
    <n v="3"/>
    <s v="Mr. Amol S. Chaphek"/>
    <s v="CEO"/>
    <s v="98200 79306"/>
    <s v="Mahape"/>
    <s v="A-477 MIDC"/>
    <m/>
    <s v="Navi Mumbai"/>
    <n v="400706"/>
    <s v="MH"/>
    <s v="India"/>
    <n v="2"/>
    <n v="2"/>
    <n v="2"/>
    <n v="4"/>
    <s v="Sun"/>
    <m/>
  </r>
  <r>
    <n v="374"/>
    <s v="G-Plast Pvt Ltd"/>
    <x v="342"/>
    <n v="440"/>
    <s v="2015J LX"/>
    <m/>
    <m/>
    <m/>
    <m/>
    <d v="2021-08-20T00:00:00"/>
    <d v="2022-08-19T00:00:00"/>
    <n v="3"/>
    <s v="Mr. Srivatsa"/>
    <s v="QC-Head"/>
    <n v="9894200306"/>
    <s v="Avinashi Road"/>
    <s v="Gopal Bagh No. 1065"/>
    <m/>
    <s v="Coimbatore"/>
    <n v="641018"/>
    <s v="TN"/>
    <s v="India"/>
    <n v="4"/>
    <n v="1"/>
    <n v="1"/>
    <n v="2"/>
    <s v="Sun"/>
    <m/>
  </r>
  <r>
    <n v="375"/>
    <s v="Abhi Metals"/>
    <x v="343"/>
    <n v="429"/>
    <s v="2015J LX"/>
    <m/>
    <d v="2014-08-22T00:00:00"/>
    <m/>
    <m/>
    <d v="2022-01-29T00:00:00"/>
    <d v="2023-01-28T00:00:00"/>
    <n v="3"/>
    <s v="Mr. Himanshu"/>
    <m/>
    <n v="9824211197"/>
    <s v="Udyognagar"/>
    <s v="C-2/91 G.I.D.C"/>
    <s v="Shankar Tekri"/>
    <s v="Jamnagar"/>
    <n v="361004"/>
    <s v="GJ"/>
    <s v="India"/>
    <n v="5"/>
    <n v="4"/>
    <n v="0"/>
    <n v="1"/>
    <s v="Fri"/>
    <m/>
  </r>
  <r>
    <n v="376"/>
    <s v="Speciality Sintered Products P Ltd"/>
    <x v="344"/>
    <n v="456"/>
    <s v="4020J LX"/>
    <m/>
    <d v="2014-08-18T00:00:00"/>
    <m/>
    <m/>
    <d v="2025-10-13T00:00:00"/>
    <d v="2026-10-12T00:00:00"/>
    <n v="3"/>
    <m/>
    <m/>
    <m/>
    <s v="At / Post - Shirwal"/>
    <s v="Gat No.1122,1129, Industrial Plot No. 1/"/>
    <m/>
    <s v="Khandala"/>
    <n v="412801"/>
    <s v="MH"/>
    <s v="India"/>
    <n v="2"/>
    <n v="4"/>
    <n v="5"/>
    <n v="1"/>
    <s v="Thu"/>
    <m/>
  </r>
  <r>
    <n v="377"/>
    <s v="Ustek Makina San. Tic. Ltd. Sti"/>
    <x v="345"/>
    <n v="388"/>
    <s v="2015J LX"/>
    <m/>
    <m/>
    <m/>
    <m/>
    <m/>
    <m/>
    <n v="3"/>
    <s v="Mr. Mahmut Yuksel"/>
    <m/>
    <s v="232-3757609"/>
    <s v="4 San Sit Bornova"/>
    <s v="129/12 Sokak No. 19"/>
    <s v="Izmer"/>
    <m/>
    <n v="35040"/>
    <s v="OC"/>
    <s v="Turkey"/>
    <n v="0"/>
    <n v="0"/>
    <n v="0"/>
    <n v="0"/>
    <n v="0"/>
    <m/>
  </r>
  <r>
    <n v="378"/>
    <s v="Paras Defence &amp; Space Technologies Ltd (Mechvac Fabricators (I) Pvt Ltd)"/>
    <x v="346"/>
    <n v="458"/>
    <s v="4020J LX"/>
    <m/>
    <d v="2014-09-08T00:00:00"/>
    <m/>
    <m/>
    <m/>
    <m/>
    <n v="3"/>
    <s v="Mr. Prashant Deshmukh"/>
    <m/>
    <n v="9594444439"/>
    <s v="M.I.D.C."/>
    <s v="D-112 T.T.C. Industrial Area"/>
    <s v="Nerul"/>
    <s v="Navi Mumbai"/>
    <n v="400706"/>
    <s v="MH"/>
    <s v="India"/>
    <n v="2"/>
    <n v="2"/>
    <n v="2"/>
    <n v="4"/>
    <s v="Sun"/>
    <m/>
  </r>
  <r>
    <n v="379"/>
    <s v="Connectwell Industries P Ltd."/>
    <x v="154"/>
    <s v="435/ E-472"/>
    <s v="2015J LX"/>
    <m/>
    <d v="2014-09-08T00:00:00"/>
    <m/>
    <m/>
    <d v="2021-10-04T00:00:00"/>
    <d v="2022-10-03T00:00:00"/>
    <n v="3"/>
    <s v="Mr. Daxesh Soni"/>
    <m/>
    <m/>
    <s v="M.I.D.C"/>
    <s v="D-7 Phase-2"/>
    <s v="Dombivili"/>
    <s v="Mumbai"/>
    <n v="421204"/>
    <s v="MH"/>
    <s v="India"/>
    <n v="2"/>
    <n v="2"/>
    <n v="2"/>
    <n v="3"/>
    <s v="Sun"/>
    <m/>
  </r>
  <r>
    <n v="380"/>
    <s v="Indo Tools &amp; Dies (India) Pvt Ltd"/>
    <x v="347"/>
    <n v="436"/>
    <s v="2015J LX"/>
    <m/>
    <d v="2014-09-16T00:00:00"/>
    <m/>
    <m/>
    <d v="2021-06-14T00:00:00"/>
    <d v="2022-06-13T00:00:00"/>
    <n v="3"/>
    <s v="M. Elumalai"/>
    <s v="Director"/>
    <n v="9941243612"/>
    <s v="Ayapakkam"/>
    <s v="Plot No. 6 Iyappan Nagar Extn"/>
    <s v="Ambattur"/>
    <s v="Chennai"/>
    <n v="600077"/>
    <s v="TN"/>
    <s v="India"/>
    <n v="4"/>
    <n v="0"/>
    <n v="4"/>
    <n v="1"/>
    <s v="Sun"/>
    <m/>
  </r>
  <r>
    <n v="381"/>
    <s v="Prabha Engg Pvt Ltd"/>
    <x v="348"/>
    <n v="457"/>
    <s v="4020J LX"/>
    <m/>
    <d v="2014-08-23T00:00:00"/>
    <m/>
    <m/>
    <d v="2023-12-18T00:00:00"/>
    <d v="2024-12-17T00:00:00"/>
    <n v="3"/>
    <s v="Mr. Anand Chandchankar"/>
    <m/>
    <s v="020-3291 8282/83/84"/>
    <s v="Taluka Mulshi"/>
    <s v="S. No. 519 Shelke Wadi at Ghota"/>
    <m/>
    <s v="Pune"/>
    <n v="412111"/>
    <s v="MH"/>
    <s v="India"/>
    <n v="2"/>
    <n v="4"/>
    <n v="1"/>
    <n v="2"/>
    <s v="Thu "/>
    <m/>
  </r>
  <r>
    <n v="382"/>
    <s v="Poorvik Engineers Pvt Ltd"/>
    <x v="349"/>
    <n v="438"/>
    <s v="2015J LX"/>
    <m/>
    <d v="2014-09-01T00:00:00"/>
    <m/>
    <m/>
    <m/>
    <m/>
    <n v="3"/>
    <s v="Mr. Vikram Prasad"/>
    <m/>
    <s v="044-42108400 /450884"/>
    <s v="Maraimalai Nagar"/>
    <s v="EP15, SIDCO Industrial Esta"/>
    <m/>
    <s v="Kanchipuram"/>
    <n v="603209"/>
    <s v="TN"/>
    <s v="India"/>
    <n v="4"/>
    <n v="0"/>
    <n v="3"/>
    <n v="1"/>
    <s v="Sun"/>
    <m/>
  </r>
  <r>
    <n v="383"/>
    <s v="Yazaki India Limited"/>
    <x v="350"/>
    <n v="442"/>
    <s v="2015J LX"/>
    <m/>
    <d v="2014-10-13T00:00:00"/>
    <m/>
    <m/>
    <d v="2024-05-01T00:00:00"/>
    <d v="2024-04-30T00:00:00"/>
    <n v="3"/>
    <s v="Mr. Harshad Chawla"/>
    <s v="SCM"/>
    <n v="7798988067"/>
    <s v="Shree Rajlaxmi Logistics Park"/>
    <s v="Block No. 97 &amp; 98 Block #A"/>
    <m/>
    <s v="Ahmedabad"/>
    <n v="382220"/>
    <s v="GJ"/>
    <s v="India"/>
    <n v="5"/>
    <n v="0"/>
    <n v="1"/>
    <n v="1"/>
    <s v="Sun"/>
    <m/>
  </r>
  <r>
    <n v="384"/>
    <s v="ABI Showatech (India) Limited"/>
    <x v="351"/>
    <s v="TIS05"/>
    <s v="TIS2515"/>
    <m/>
    <d v="2014-10-13T00:00:00"/>
    <m/>
    <m/>
    <d v="2021-01-04T00:00:00"/>
    <d v="2022-01-03T00:00:00"/>
    <n v="3"/>
    <s v="Mr. Azhagesan"/>
    <m/>
    <n v="9443244495"/>
    <s v="Ranipet (Via)"/>
    <s v="Pulivalam Banavaram Post"/>
    <m/>
    <s v="Vellore"/>
    <n v="632505"/>
    <s v="TN"/>
    <s v="India"/>
    <n v="4"/>
    <n v="0"/>
    <n v="3"/>
    <n v="3"/>
    <s v="Sun"/>
    <m/>
  </r>
  <r>
    <n v="385"/>
    <s v="Teklight Components Pvt. Ltd"/>
    <x v="352"/>
    <n v="461"/>
    <s v="2015J LX"/>
    <m/>
    <d v="2014-11-17T00:00:00"/>
    <m/>
    <m/>
    <m/>
    <m/>
    <n v="3"/>
    <s v="Mr. Lakshmipathy / Mr. Ramesh"/>
    <m/>
    <n v="9600119883"/>
    <s v="Thirumudivakkam"/>
    <s v="No. 1 Harish Nagar"/>
    <m/>
    <s v="Chennai"/>
    <n v="600044"/>
    <s v="TN"/>
    <s v="India"/>
    <n v="4"/>
    <n v="0"/>
    <n v="2"/>
    <n v="2"/>
    <s v="Sun"/>
    <m/>
  </r>
  <r>
    <n v="386"/>
    <s v="West Pharmaceutical Packaging India Pvt. L"/>
    <x v="353"/>
    <n v="481"/>
    <s v="4020J LX"/>
    <m/>
    <d v="2014-11-27T00:00:00"/>
    <m/>
    <m/>
    <d v="2025-11-03T00:00:00"/>
    <d v="2026-11-02T00:00:00"/>
    <n v="3"/>
    <s v="Mr. Rakesh Reddy"/>
    <m/>
    <n v="9951672672"/>
    <s v="Sector 36"/>
    <s v="900 Peepul Boulevard"/>
    <s v="Sri City"/>
    <s v="Satyavedu"/>
    <n v="517588"/>
    <s v="AP"/>
    <s v="India"/>
    <n v="4"/>
    <n v="0"/>
    <n v="5"/>
    <n v="2"/>
    <s v="Sun"/>
    <m/>
  </r>
  <r>
    <n v="387"/>
    <s v="Siddhant Engg Services"/>
    <x v="354"/>
    <n v="466"/>
    <s v="2015J LX"/>
    <m/>
    <d v="2014-12-02T00:00:00"/>
    <m/>
    <m/>
    <m/>
    <m/>
    <n v="3"/>
    <s v="Mr.Tushar Tambat / Ms.Shwetha Tam"/>
    <m/>
    <s v="0253-2357231 / 098814"/>
    <s v="Satpur"/>
    <s v="Plot No. D-44 MIDC"/>
    <m/>
    <s v="Nashik"/>
    <n v="422007"/>
    <s v="MH"/>
    <s v="India"/>
    <n v="2"/>
    <n v="3"/>
    <n v="0"/>
    <n v="1"/>
    <s v="Sat "/>
    <m/>
  </r>
  <r>
    <n v="388"/>
    <s v="Tata Consultancy Services Ltd"/>
    <x v="355"/>
    <n v="482"/>
    <s v="4020J LX"/>
    <m/>
    <d v="2014-12-08T00:00:00"/>
    <m/>
    <m/>
    <d v="2022-03-30T00:00:00"/>
    <d v="2023-03-29T00:00:00"/>
    <n v="3"/>
    <s v="Mr. Paresh"/>
    <m/>
    <n v="9923326270"/>
    <s v="Karaswada"/>
    <s v="No. 17-B Tivim Indl. Estate"/>
    <s v="Mapusa"/>
    <s v="Goa"/>
    <n v="403526"/>
    <s v="GA"/>
    <s v="India"/>
    <n v="8"/>
    <n v="0"/>
    <n v="0"/>
    <n v="3"/>
    <s v="Sun"/>
    <m/>
  </r>
  <r>
    <n v="389"/>
    <s v="Honeywell International (India) Pvt. Ltd"/>
    <x v="356"/>
    <n v="485"/>
    <s v="4020J LX"/>
    <m/>
    <d v="2014-12-19T00:00:00"/>
    <m/>
    <m/>
    <d v="2022-03-09T00:00:00"/>
    <d v="2023-03-08T00:00:00"/>
    <n v="3"/>
    <s v="Mr. Amit Puri / Mr. Raja Raj Kakkar"/>
    <m/>
    <s v="0124-6722700"/>
    <s v="Delhi-Gurgaon Highway"/>
    <s v="Sector - 36 Pace City-2"/>
    <m/>
    <s v="Gurgaon"/>
    <n v="122044"/>
    <s v="HR"/>
    <s v="India"/>
    <n v="1"/>
    <n v="1"/>
    <n v="1"/>
    <n v="1"/>
    <s v="Sun"/>
    <m/>
  </r>
  <r>
    <n v="390"/>
    <s v="Oerlikon Balzers Coating India Ltd"/>
    <x v="357"/>
    <s v="not_filled"/>
    <m/>
    <m/>
    <m/>
    <m/>
    <m/>
    <m/>
    <m/>
    <n v="3"/>
    <s v="Mr. Nair Shreekumar"/>
    <m/>
    <n v="7798982150"/>
    <s v="HSIDC Industrial Area"/>
    <s v="GP 55 Sector-18"/>
    <m/>
    <s v="Gurgaon"/>
    <n v="122001"/>
    <s v="HR"/>
    <s v="India"/>
    <n v="1"/>
    <n v="1"/>
    <n v="1"/>
    <n v="1"/>
    <s v="Sun"/>
    <m/>
  </r>
  <r>
    <n v="391"/>
    <s v="Agile Electric Subassembly Pvt. Ltd"/>
    <x v="358"/>
    <n v="468"/>
    <s v="2015J LX"/>
    <m/>
    <d v="2015-01-02T00:00:00"/>
    <m/>
    <m/>
    <m/>
    <m/>
    <n v="3"/>
    <s v="Mr. R Babu"/>
    <m/>
    <s v="044-22628199"/>
    <s v="Industrial estate"/>
    <s v="Plot No. 2 Industrial area 3"/>
    <s v="Maraimalai Nag"/>
    <s v="Chennai"/>
    <n v="603209"/>
    <s v="TN"/>
    <s v="India"/>
    <n v="4"/>
    <n v="0"/>
    <n v="2"/>
    <n v="4"/>
    <s v="Sun"/>
    <m/>
  </r>
  <r>
    <n v="392"/>
    <s v="Machroplast"/>
    <x v="359"/>
    <n v="486"/>
    <s v="4020J LX"/>
    <m/>
    <d v="2015-01-02T00:00:00"/>
    <m/>
    <m/>
    <d v="2019-10-20T00:00:00"/>
    <d v="2020-10-19T00:00:00"/>
    <n v="3"/>
    <s v="Mr. C S Shrinivasan"/>
    <m/>
    <s v="044-42852025"/>
    <s v="Sidco Industrial Estate"/>
    <s v="DP 232 8th Main Road"/>
    <s v="Thirumudivaka"/>
    <s v="Chennai"/>
    <n v="600044"/>
    <s v="TN"/>
    <s v="India"/>
    <n v="4"/>
    <n v="0"/>
    <n v="2"/>
    <n v="2"/>
    <s v="Sun"/>
    <m/>
  </r>
  <r>
    <n v="393"/>
    <s v="HPL Eletric &amp; Power Pvt. Ltd"/>
    <x v="360"/>
    <n v="465"/>
    <s v="2015J LX"/>
    <m/>
    <d v="2015-01-21T00:00:00"/>
    <m/>
    <m/>
    <d v="2025-08-26T00:00:00"/>
    <d v="2026-08-25T00:00:00"/>
    <n v="3"/>
    <s v="Mr. Ramesh Chand"/>
    <m/>
    <s v="011-23236811 / 4411"/>
    <s v="PO Jabli"/>
    <s v="Village Siula Tehsil Kasauli"/>
    <m/>
    <s v="Solan"/>
    <n v="173209"/>
    <s v="HP"/>
    <s v="India"/>
    <n v="1"/>
    <n v="3"/>
    <n v="1"/>
    <n v="3"/>
    <s v="Sun"/>
    <m/>
  </r>
  <r>
    <n v="394"/>
    <s v="Parle Elizabeth Tools Pvt. Ltd"/>
    <x v="361"/>
    <n v="441"/>
    <s v="2015J LX"/>
    <m/>
    <d v="2015-01-23T00:00:00"/>
    <m/>
    <m/>
    <d v="2024-04-01T00:00:00"/>
    <d v="2025-03-31T00:00:00"/>
    <n v="3"/>
    <m/>
    <m/>
    <m/>
    <s v="Sativali Road"/>
    <s v="No. 9 Rajvidesh, Prime Indu"/>
    <s v="Vasai East"/>
    <s v="Thane"/>
    <n v="401208"/>
    <s v="MH"/>
    <s v="India"/>
    <n v="2"/>
    <n v="2"/>
    <n v="2"/>
    <n v="2"/>
    <s v="Sun"/>
    <m/>
  </r>
  <r>
    <n v="395"/>
    <s v="Metec CNC OU"/>
    <x v="362"/>
    <n v="459"/>
    <s v="4020J LX"/>
    <m/>
    <m/>
    <m/>
    <m/>
    <m/>
    <m/>
    <n v="3"/>
    <s v="Mr. Kareel Tamul"/>
    <m/>
    <s v="372-50 50067"/>
    <m/>
    <s v="Ringtee 6 Tartu"/>
    <m/>
    <m/>
    <n v="51013"/>
    <s v="OC"/>
    <s v="Estonia"/>
    <n v="0"/>
    <n v="0"/>
    <n v="0"/>
    <n v="0"/>
    <n v="0"/>
    <m/>
  </r>
  <r>
    <n v="396"/>
    <s v="CMBF Trading &amp; Manufacturing India Pvt Ltd (Carlisle Trading &amp; Manufacturing India Pvt Ltd) (CMM)"/>
    <x v="363"/>
    <n v="469"/>
    <s v="2015J LX"/>
    <m/>
    <d v="2015-02-04T00:00:00"/>
    <m/>
    <m/>
    <d v="2025-03-28T00:00:00"/>
    <d v="2026-03-27T00:00:00"/>
    <n v="3"/>
    <s v="Mr. MohanKumar"/>
    <m/>
    <s v="044-2376 1806"/>
    <s v="Sengadu Village"/>
    <s v="No.49 MCP Industrial Comp"/>
    <m/>
    <s v="Sriperumbudur"/>
    <n v="602105"/>
    <s v="TN"/>
    <s v="India"/>
    <n v="4"/>
    <n v="0"/>
    <n v="3"/>
    <n v="1"/>
    <s v="Sun"/>
    <m/>
  </r>
  <r>
    <n v="397"/>
    <s v="J K Fenner (India) Limited"/>
    <x v="364"/>
    <n v="471"/>
    <s v="2015J LX"/>
    <m/>
    <d v="2015-02-10T00:00:00"/>
    <m/>
    <m/>
    <d v="2025-08-28T00:00:00"/>
    <d v="2026-08-27T00:00:00"/>
    <n v="3"/>
    <s v="Mr. Narayanan"/>
    <m/>
    <s v="0452-4283810"/>
    <s v="Sriperumbudur"/>
    <s v="F 21 &amp; 22 Sipcot industrial Park"/>
    <m/>
    <s v="Kanchipuram"/>
    <n v="602105"/>
    <s v="TN"/>
    <s v="India"/>
    <n v="4"/>
    <n v="0"/>
    <n v="3"/>
    <n v="1"/>
    <s v="Sun"/>
    <m/>
  </r>
  <r>
    <n v="398"/>
    <s v="R K Industries"/>
    <x v="365"/>
    <n v="463"/>
    <s v="2015J LX"/>
    <m/>
    <d v="2015-02-10T00:00:00"/>
    <m/>
    <m/>
    <d v="2021-12-14T00:00:00"/>
    <d v="2022-12-13T00:00:00"/>
    <n v="3"/>
    <s v="Mr. K Kuber"/>
    <m/>
    <s v="044-23636048"/>
    <s v="Ambattur Industrial Estate"/>
    <s v="K-13 New # 64, 8th Street"/>
    <m/>
    <s v="Chennai"/>
    <n v="600058"/>
    <s v="TN"/>
    <s v="India"/>
    <n v="4"/>
    <n v="0"/>
    <n v="4"/>
    <n v="1"/>
    <s v="Sun"/>
    <m/>
  </r>
  <r>
    <n v="399"/>
    <s v="Punch Ratna Fasteners Pvt. Ltd"/>
    <x v="366"/>
    <n v="433"/>
    <s v="2015J LX"/>
    <m/>
    <d v="2015-02-19T00:00:00"/>
    <m/>
    <m/>
    <d v="2021-08-30T00:00:00"/>
    <d v="2022-08-29T00:00:00"/>
    <n v="3"/>
    <s v="Mr. Hemant Dhingra"/>
    <m/>
    <n v="9896689577"/>
    <s v="Vill &amp; P.O. Titoli"/>
    <s v="7.4 Km Stone Jind Road"/>
    <m/>
    <s v="Rohtak"/>
    <n v="124001"/>
    <s v="HR"/>
    <s v="India"/>
    <n v="1"/>
    <n v="1"/>
    <n v="2"/>
    <n v="2"/>
    <s v="Sun"/>
    <m/>
  </r>
  <r>
    <n v="400"/>
    <s v="Toyota Industries Engine India Pvt Ltd (KTTM)"/>
    <x v="367"/>
    <n v="460"/>
    <s v="4020J HT"/>
    <m/>
    <d v="2015-02-27T00:00:00"/>
    <m/>
    <m/>
    <d v="2021-04-29T00:00:00"/>
    <d v="2022-04-28T00:00:00"/>
    <n v="3"/>
    <s v="Mr. Dayanand"/>
    <m/>
    <s v="91-8110419555"/>
    <s v="Jigani Industrial area"/>
    <s v="Plot No. 10-13 Phase II"/>
    <s v="Jigani"/>
    <s v="Bangalore"/>
    <n v="560105"/>
    <s v="KA"/>
    <s v="India"/>
    <n v="8"/>
    <n v="0"/>
    <n v="2"/>
    <n v="1"/>
    <s v="Sun"/>
    <m/>
  </r>
  <r>
    <n v="401"/>
    <s v="J K Fenner (India) Limited"/>
    <x v="368"/>
    <n v="467"/>
    <s v="2015J LX"/>
    <m/>
    <d v="2015-03-03T00:00:00"/>
    <m/>
    <m/>
    <d v="2021-04-01T00:00:00"/>
    <d v="2022-03-31T00:00:00"/>
    <n v="3"/>
    <s v="Mr. Karthik"/>
    <m/>
    <s v="08455-242636 / 50"/>
    <s v="Industrial Development Area"/>
    <s v="No. 4 &amp; 22 Phase-IV"/>
    <s v="Patancheru"/>
    <s v="Hyderabad"/>
    <n v="502319"/>
    <s v="AP"/>
    <s v="India"/>
    <n v="6"/>
    <n v="0"/>
    <n v="1"/>
    <n v="1"/>
    <s v="Sun"/>
    <m/>
  </r>
  <r>
    <n v="402"/>
    <s v="Novateur Electrical &amp; Digital Systems Pvt. L"/>
    <x v="369"/>
    <n v="439"/>
    <s v="2015J LX"/>
    <m/>
    <d v="2015-03-03T00:00:00"/>
    <m/>
    <m/>
    <d v="2021-02-10T00:00:00"/>
    <d v="2022-02-09T00:00:00"/>
    <n v="3"/>
    <s v="Mr. Bhaskar Reddy"/>
    <m/>
    <s v="0257-2272401/2/3/4"/>
    <s v="Ajanta Road"/>
    <s v="D-4 MIDC Area"/>
    <m/>
    <s v="Jalgaon"/>
    <n v="425003"/>
    <s v="MH"/>
    <s v="India"/>
    <n v="2"/>
    <n v="0"/>
    <n v="1"/>
    <n v="0"/>
    <s v="Sun"/>
    <m/>
  </r>
  <r>
    <n v="403"/>
    <s v="Pavna Zadi Security Systems Ltd"/>
    <x v="370"/>
    <n v="483"/>
    <s v="4020J LX"/>
    <m/>
    <d v="2015-03-10T00:00:00"/>
    <m/>
    <m/>
    <d v="2024-01-17T00:00:00"/>
    <d v="2025-01-16T00:00:00"/>
    <n v="3"/>
    <s v="Mr. Binnami Sharma"/>
    <m/>
    <s v="0-8006409320"/>
    <s v="Bhankari"/>
    <s v="9th Km Aligarh - Delhi Road"/>
    <s v="G.T. Road"/>
    <s v="Aligarh"/>
    <n v="202001"/>
    <s v="UP"/>
    <s v="India"/>
    <n v="1"/>
    <n v="1"/>
    <n v="5"/>
    <n v="3"/>
    <s v="Sun"/>
    <m/>
  </r>
  <r>
    <n v="404"/>
    <s v="Numann Auto Products India Pvt. Ltd"/>
    <x v="371"/>
    <n v="462"/>
    <s v="2015J LX"/>
    <m/>
    <d v="2015-03-14T00:00:00"/>
    <m/>
    <m/>
    <d v="2020-12-14T00:00:00"/>
    <d v="2021-12-13T00:00:00"/>
    <n v="3"/>
    <s v="Mr. Ravindran"/>
    <m/>
    <s v="04344-278688 / 934431"/>
    <s v="Begapalli Road"/>
    <s v="No. 27 / 4 A Anumepalli Village"/>
    <m/>
    <s v="Hosur"/>
    <n v="635109"/>
    <s v="TN"/>
    <s v="India"/>
    <n v="8"/>
    <n v="0"/>
    <n v="1"/>
    <n v="3"/>
    <s v="Sun"/>
    <m/>
  </r>
  <r>
    <n v="405"/>
    <s v="Raviraj Hi-Tech Pvt. Ltd"/>
    <x v="372"/>
    <n v="489"/>
    <s v="4020J LX"/>
    <m/>
    <d v="2015-03-14T00:00:00"/>
    <m/>
    <m/>
    <m/>
    <m/>
    <n v="3"/>
    <s v="Mr. Rajendra Pawar"/>
    <m/>
    <s v="0-9325077177"/>
    <s v="Tal - Mulshi"/>
    <s v="Survey No. 5 / 1 / 1 Marunji"/>
    <m/>
    <s v="Pune"/>
    <n v="411057"/>
    <s v="MH"/>
    <s v="India"/>
    <n v="2"/>
    <n v="4"/>
    <n v="1"/>
    <n v="2"/>
    <s v="Thu "/>
    <m/>
  </r>
  <r>
    <n v="406"/>
    <s v="Indian Institute of Technology (Bombay)"/>
    <x v="373"/>
    <n v="472"/>
    <s v="2015J LX"/>
    <m/>
    <d v="2015-03-14T00:00:00"/>
    <m/>
    <m/>
    <m/>
    <m/>
    <n v="3"/>
    <s v="Mr. Rakesh G Mote"/>
    <m/>
    <s v="022-25768800"/>
    <m/>
    <s v="Material Managem Powai"/>
    <m/>
    <s v="Mumbai"/>
    <n v="400076"/>
    <s v="MH"/>
    <s v="India"/>
    <n v="2"/>
    <n v="1"/>
    <n v="1"/>
    <n v="4"/>
    <s v="Sun"/>
    <m/>
  </r>
  <r>
    <n v="407"/>
    <s v="Micron Instruments Pvt. Ltd.,"/>
    <x v="374"/>
    <n v="443"/>
    <s v="2015J LX"/>
    <m/>
    <d v="2015-03-16T00:00:00"/>
    <m/>
    <m/>
    <d v="2021-06-12T00:00:00"/>
    <d v="2022-06-11T00:00:00"/>
    <n v="3"/>
    <s v="Mr. AK Malhotra"/>
    <s v="Sr. Mngr Project"/>
    <s v="0172-2650223 / 265577"/>
    <s v="P.O. Box No. 657"/>
    <s v="143 - B Industrial Area Phase"/>
    <m/>
    <s v="Chandigarh"/>
    <n v="160002"/>
    <s v="HR"/>
    <s v="India"/>
    <n v="1"/>
    <n v="3"/>
    <n v="3"/>
    <n v="4"/>
    <s v="Sun"/>
    <m/>
  </r>
  <r>
    <n v="408"/>
    <s v="Indian Institute of Technology (BHU)"/>
    <x v="375"/>
    <n v="470"/>
    <s v="2015J LX"/>
    <m/>
    <d v="2015-03-17T00:00:00"/>
    <m/>
    <m/>
    <m/>
    <m/>
    <n v="3"/>
    <s v="Dr. Santosh Kumar"/>
    <s v="Proff. Mech. En"/>
    <s v="0542-2368428"/>
    <m/>
    <s v="Department of Me Banaras Hindu University"/>
    <m/>
    <s v="Varanasi"/>
    <n v="221005"/>
    <s v="UP"/>
    <s v="India"/>
    <n v="0"/>
    <n v="0"/>
    <n v="0"/>
    <n v="0"/>
    <n v="0"/>
    <m/>
  </r>
  <r>
    <n v="409"/>
    <s v="ACG Metalcrafts Private Limited"/>
    <x v="376"/>
    <n v="473"/>
    <s v="2015J LX"/>
    <m/>
    <d v="2015-03-24T00:00:00"/>
    <m/>
    <m/>
    <d v="2022-04-01T00:00:00"/>
    <d v="2023-03-31T00:00:00"/>
    <n v="3"/>
    <s v="Mr. Anthony Nadar / Mr. Samrat Roy"/>
    <m/>
    <s v="022-30780728"/>
    <s v="Charkop"/>
    <s v="Plot No. 127, PAM Kandivali Industrial E"/>
    <s v="Kandivali West"/>
    <s v="Mumbai"/>
    <n v="400067"/>
    <s v="MH"/>
    <s v="India"/>
    <n v="2"/>
    <n v="4"/>
    <n v="5"/>
    <n v="1"/>
    <s v="Thu"/>
    <m/>
  </r>
  <r>
    <n v="410"/>
    <s v="Ganesh Industries"/>
    <x v="377"/>
    <n v="476"/>
    <s v="2015J LX"/>
    <m/>
    <d v="2015-04-15T00:00:00"/>
    <m/>
    <m/>
    <d v="2022-02-24T00:00:00"/>
    <d v="2023-02-23T00:00:00"/>
    <n v="3"/>
    <s v="Mr. Ajay Dikonda"/>
    <m/>
    <s v="020-2590199 / 7720075"/>
    <s v="Near Agarwal Godown"/>
    <s v="Survey No. 79 / 2 Shed No. 19, Dangat"/>
    <s v="NDA Road, Shiv"/>
    <s v="Pune"/>
    <n v="411023"/>
    <s v="MH"/>
    <s v="India"/>
    <n v="2"/>
    <n v="4"/>
    <n v="5"/>
    <n v="1"/>
    <s v="Thu"/>
    <m/>
  </r>
  <r>
    <n v="411"/>
    <s v="Ganesh Industries"/>
    <x v="377"/>
    <n v="477"/>
    <s v="2015J LX"/>
    <m/>
    <d v="2015-04-15T00:00:00"/>
    <m/>
    <m/>
    <d v="2022-02-24T00:00:00"/>
    <d v="2023-02-23T00:00:00"/>
    <n v="3"/>
    <s v="Mr. Ajay Dikonda"/>
    <m/>
    <s v="020-2590199 / 7720075"/>
    <s v="Near Agarwal Godown"/>
    <s v="Survey No. 79 / 2 Shed No. 19, Dangat"/>
    <s v="NDA Road, Shiv"/>
    <s v="Pune"/>
    <n v="411023"/>
    <s v="MH"/>
    <s v="India"/>
    <n v="2"/>
    <n v="4"/>
    <n v="5"/>
    <n v="1"/>
    <s v="Thu"/>
    <m/>
  </r>
  <r>
    <n v="412"/>
    <s v="Aquasub Engg"/>
    <x v="378"/>
    <n v="454"/>
    <s v="4020J LX"/>
    <m/>
    <d v="2015-04-15T00:00:00"/>
    <m/>
    <m/>
    <d v="2022-01-21T00:00:00"/>
    <d v="2023-01-21T00:00:00"/>
    <n v="3"/>
    <s v="Mr. Vivek"/>
    <s v="QC"/>
    <s v="0422-2461926"/>
    <s v="Vadamadurai Post"/>
    <s v="Unit 4 Nehru Colony, JN Pal"/>
    <m/>
    <s v="Coimbatore"/>
    <n v="641017"/>
    <s v="TN"/>
    <s v="India"/>
    <n v="4"/>
    <n v="1"/>
    <n v="3"/>
    <n v="1"/>
    <s v="Sun"/>
    <m/>
  </r>
  <r>
    <n v="413"/>
    <s v="Hind High Vaccum Co. Pvt. Ltd.,"/>
    <x v="379"/>
    <n v="487"/>
    <s v="4020J LX"/>
    <m/>
    <d v="2015-04-22T00:00:00"/>
    <m/>
    <m/>
    <m/>
    <m/>
    <n v="3"/>
    <s v="Mr. Shivaswamy"/>
    <m/>
    <s v="080-41931000"/>
    <s v="Peenya Industrial Area"/>
    <s v="No. 17 Phase 1"/>
    <m/>
    <s v="Bangalore"/>
    <n v="560058"/>
    <s v="KA"/>
    <s v="India"/>
    <n v="8"/>
    <n v="0"/>
    <n v="5"/>
    <n v="1"/>
    <s v="Sun"/>
    <m/>
  </r>
  <r>
    <n v="414"/>
    <s v="Kairish Innotech Pvt Ltd (Schott Kaisha Private Limited)"/>
    <x v="380"/>
    <n v="490"/>
    <s v="4020J LX"/>
    <m/>
    <d v="2015-04-28T00:00:00"/>
    <m/>
    <m/>
    <d v="2022-04-13T00:00:00"/>
    <d v="2023-04-12T00:00:00"/>
    <n v="3"/>
    <s v="Mr. Ananth Reddy Pa"/>
    <s v="Asst. Manager Purchase"/>
    <s v="0260-2221192"/>
    <s v="Bhimpore"/>
    <s v="Sy. No. 342/3 (30) Bharat Industrial Esta"/>
    <m/>
    <s v="Daman and Diu"/>
    <n v="396210"/>
    <s v="D&amp;D"/>
    <s v="India"/>
    <n v="2"/>
    <n v="1"/>
    <n v="1"/>
    <n v="1"/>
    <s v="Sun"/>
    <m/>
  </r>
  <r>
    <n v="415"/>
    <s v="Sandhar Automotives"/>
    <x v="209"/>
    <n v="491"/>
    <s v="4020J LX"/>
    <m/>
    <d v="2015-05-01T00:00:00"/>
    <m/>
    <m/>
    <d v="2020-01-16T00:00:00"/>
    <d v="2021-03-31T00:00:00"/>
    <n v="3"/>
    <s v="Mr. Alok Bhatia"/>
    <m/>
    <s v="0-9873307109"/>
    <s v="Village Dhumaspur"/>
    <s v="Dhumuspur-HSCI D A Unit of Sandhar Te"/>
    <m/>
    <s v="Gurgaon"/>
    <n v="122101"/>
    <s v="HR"/>
    <s v="India"/>
    <n v="1"/>
    <n v="1"/>
    <n v="1"/>
    <n v="1"/>
    <s v="Sun"/>
    <m/>
  </r>
  <r>
    <n v="416"/>
    <s v="Ashok Leyland Ltd (Candid Micron)"/>
    <x v="381"/>
    <n v="484"/>
    <s v="4020J LX"/>
    <m/>
    <d v="2015-05-07T00:00:00"/>
    <m/>
    <m/>
    <d v="2022-02-02T00:00:00"/>
    <d v="2023-02-01T00:00:00"/>
    <n v="3"/>
    <s v="Mr.Viswanathan"/>
    <s v="Managing Director"/>
    <s v="0422-3955527"/>
    <s v="Athipalayam Junction"/>
    <s v="238A, V.J.Complex,"/>
    <s v="Sathy Main Roa"/>
    <s v="Coimbatore"/>
    <n v="641006"/>
    <s v="TN"/>
    <s v="India"/>
    <n v="4"/>
    <n v="1"/>
    <n v="6"/>
    <n v="1"/>
    <s v="Sun"/>
    <m/>
  </r>
  <r>
    <n v="417"/>
    <s v="Ace Multi Axes Systems Ltd.,"/>
    <x v="382"/>
    <n v="478"/>
    <s v="2015J LX"/>
    <m/>
    <d v="2015-05-09T00:00:00"/>
    <m/>
    <m/>
    <d v="2025-06-01T00:00:00"/>
    <d v="2026-05-31T00:00:00"/>
    <n v="3"/>
    <s v="Mr. Mahabaleshwara"/>
    <m/>
    <s v="080-28362651"/>
    <s v="2nd Main, 2nd Stage"/>
    <s v="Unit - 1 A-50/49"/>
    <s v="Peenya Industri"/>
    <s v="Bangalore"/>
    <n v="560058"/>
    <s v="KA"/>
    <s v="India"/>
    <n v="8"/>
    <n v="0"/>
    <n v="5"/>
    <n v="1"/>
    <s v="Sun"/>
    <m/>
  </r>
  <r>
    <n v="418"/>
    <s v="Rohit Industries group P Ltd"/>
    <x v="115"/>
    <n v="481"/>
    <s v="4020J HT"/>
    <m/>
    <d v="2015-05-11T00:00:00"/>
    <m/>
    <m/>
    <d v="2021-07-01T00:00:00"/>
    <d v="2022-06-30T00:00:00"/>
    <n v="3"/>
    <s v="Mr. Anshuman Duggal"/>
    <m/>
    <s v="01276-267253 / 325887"/>
    <s v="Part - A"/>
    <s v="655 - 656 M.I.E."/>
    <m/>
    <s v="Bahadurgarh"/>
    <n v="124507"/>
    <s v="HR"/>
    <s v="India"/>
    <n v="1"/>
    <n v="1"/>
    <n v="2"/>
    <n v="1"/>
    <s v="Sun"/>
    <m/>
  </r>
  <r>
    <n v="419"/>
    <s v="Micro Measures"/>
    <x v="383"/>
    <n v="475"/>
    <s v="2015J LX"/>
    <m/>
    <d v="2015-05-16T00:00:00"/>
    <m/>
    <m/>
    <m/>
    <m/>
    <n v="3"/>
    <s v="Mr. Sandip V Deshmu"/>
    <s v="C.E.O."/>
    <s v="0253-2338143 / 0-9822"/>
    <s v="Behind Hotel Apurwai"/>
    <s v="Gruhalaxmi Bunglow No. 49"/>
    <s v="Serene Meadow"/>
    <s v="Nashik"/>
    <n v="422013"/>
    <s v="MH"/>
    <s v="India"/>
    <n v="2"/>
    <n v="3"/>
    <n v="0"/>
    <n v="1"/>
    <s v="Sat"/>
    <m/>
  </r>
  <r>
    <n v="420"/>
    <s v="SML Mahindra Ltd (SML ISUZU Ltd)"/>
    <x v="384"/>
    <n v="474"/>
    <s v="2015J LX"/>
    <m/>
    <d v="2015-05-21T00:00:00"/>
    <m/>
    <m/>
    <d v="2025-11-24T00:00:00"/>
    <d v="2026-11-23T00:00:00"/>
    <n v="3"/>
    <s v="Mr. Ram Kumar Tara"/>
    <s v="Purchase Office"/>
    <s v="0-7087971308"/>
    <s v="Distt. Shahi Bhagar Singh Nagar"/>
    <s v="Village Asron Near Ropar"/>
    <m/>
    <s v="Nawanshahar"/>
    <n v="144533"/>
    <s v="PB"/>
    <s v="India"/>
    <n v="1"/>
    <n v="1"/>
    <n v="2"/>
    <n v="2"/>
    <s v="Sun"/>
    <m/>
  </r>
  <r>
    <n v="421"/>
    <s v="Orient Components Pvt. Ltd.,"/>
    <x v="385"/>
    <n v="391"/>
    <s v="2015J LX"/>
    <m/>
    <d v="2015-05-23T00:00:00"/>
    <m/>
    <m/>
    <m/>
    <m/>
    <n v="3"/>
    <s v="Mr. Subramaniam"/>
    <m/>
    <s v="044-26533537 / 2700"/>
    <s v="Ayanambakkam"/>
    <s v="No - 9 Ponniamman Nagar"/>
    <m/>
    <s v="Chennai"/>
    <n v="600095"/>
    <s v="TN"/>
    <s v="India"/>
    <n v="4"/>
    <n v="0"/>
    <n v="4"/>
    <n v="1"/>
    <s v="Sun"/>
    <m/>
  </r>
  <r>
    <n v="422"/>
    <s v="G.M. Industries"/>
    <x v="386"/>
    <n v="492"/>
    <s v="4020J LX"/>
    <m/>
    <d v="2015-05-27T00:00:00"/>
    <m/>
    <m/>
    <d v="2022-04-04T00:00:00"/>
    <d v="2023-04-03T00:00:00"/>
    <n v="3"/>
    <s v="Mr. Ullaganathan"/>
    <s v="Proprietor"/>
    <s v="080-28364535 /994597"/>
    <s v="Mathurusree Indl. Area"/>
    <s v="# 55, 3rd Cross Shreegandha Nagar"/>
    <s v="Vishwaneedam"/>
    <s v="Bangalore"/>
    <n v="560091"/>
    <s v="KA"/>
    <s v="India"/>
    <n v="8"/>
    <n v="0"/>
    <n v="5"/>
    <n v="1"/>
    <s v="Sun"/>
    <m/>
  </r>
  <r>
    <n v="423"/>
    <s v="Federal Mogul Goetze (India) Ltd"/>
    <x v="387"/>
    <n v="497"/>
    <s v="2015J LX"/>
    <m/>
    <d v="2015-06-02T00:00:00"/>
    <m/>
    <m/>
    <d v="2021-10-01T00:00:00"/>
    <d v="2022-09-30T00:00:00"/>
    <n v="3"/>
    <s v="Mr. Rajdeep Singh /"/>
    <m/>
    <s v="0175-2381343 / 398049"/>
    <m/>
    <s v="Rajpura Road Bahadurgarh"/>
    <m/>
    <s v="Patiala"/>
    <n v="147021"/>
    <s v="PB"/>
    <s v="India"/>
    <n v="1"/>
    <n v="3"/>
    <n v="3"/>
    <n v="3"/>
    <s v="Sun"/>
    <m/>
  </r>
  <r>
    <n v="424"/>
    <s v="L G Balakrishnanan &amp; Bros Limited"/>
    <x v="388"/>
    <n v="493"/>
    <s v="4020J LX"/>
    <m/>
    <d v="2015-06-02T00:00:00"/>
    <m/>
    <m/>
    <d v="2024-04-01T00:00:00"/>
    <d v="2025-03-31T00:00:00"/>
    <n v="3"/>
    <s v="Mr.A.Sampanth Kum"/>
    <s v="Asst. GM-Pur"/>
    <m/>
    <s v="Annur Via, Avinashi"/>
    <s v="Forging Division Pillaippampalayam"/>
    <m/>
    <s v="Coimbatore"/>
    <n v="641653"/>
    <s v="TN"/>
    <s v="India"/>
    <n v="4"/>
    <n v="1"/>
    <n v="6"/>
    <n v="2"/>
    <s v="Sun"/>
    <m/>
  </r>
  <r>
    <n v="425"/>
    <s v="Dhruv Industries Limited"/>
    <x v="389"/>
    <n v="499"/>
    <s v="2015J LX"/>
    <m/>
    <d v="2015-06-22T00:00:00"/>
    <m/>
    <m/>
    <d v="2022-04-01T00:00:00"/>
    <d v="2023-03-31T00:00:00"/>
    <n v="3"/>
    <s v="Mr. Amit Kumar"/>
    <m/>
    <s v="0124-4236407/4236408"/>
    <s v="Sector-34"/>
    <s v="Plot No. 17-22 E.H.T.P"/>
    <m/>
    <s v="Gurgaon"/>
    <n v="122001"/>
    <s v="HR"/>
    <s v="India"/>
    <n v="1"/>
    <n v="1"/>
    <n v="1"/>
    <n v="1"/>
    <s v="Sun"/>
    <m/>
  </r>
  <r>
    <n v="426"/>
    <s v="Jaicom"/>
    <x v="390"/>
    <n v="494"/>
    <s v="4020J LX"/>
    <m/>
    <d v="2015-06-22T00:00:00"/>
    <m/>
    <m/>
    <m/>
    <m/>
    <n v="3"/>
    <s v="Mr. Hersh Mahajan"/>
    <m/>
    <s v="011-32910299/ 981008"/>
    <s v="Pitampura"/>
    <s v="B-172 Lok Vihar"/>
    <m/>
    <s v="Delhi"/>
    <n v="110034"/>
    <s v="DL"/>
    <s v="India"/>
    <n v="1"/>
    <n v="1"/>
    <n v="1"/>
    <n v="2"/>
    <s v="Sun"/>
    <m/>
  </r>
  <r>
    <n v="427"/>
    <s v="V3 Mouldings Pvt Ltd"/>
    <x v="391"/>
    <n v="496"/>
    <s v="2015J LX"/>
    <m/>
    <d v="2015-06-24T00:00:00"/>
    <m/>
    <m/>
    <d v="2025-10-08T00:00:00"/>
    <d v="2026-10-07T00:00:00"/>
    <n v="3"/>
    <s v="Mr. Rahul Panol/ Mr."/>
    <m/>
    <s v="080- 28367486"/>
    <s v="Phase-1"/>
    <s v="Plot No. 17A KIADB Industrial Area"/>
    <s v="Mysore Road, K"/>
    <s v="Bangalore"/>
    <n v="560074"/>
    <s v="KA"/>
    <s v="India"/>
    <n v="8"/>
    <n v="0"/>
    <n v="1"/>
    <n v="3"/>
    <s v="Sun"/>
    <m/>
  </r>
  <r>
    <n v="428"/>
    <s v="Sona Speed Pvt Ltd (Superchem Finishers)"/>
    <x v="392"/>
    <n v="432"/>
    <s v="2015J LX"/>
    <m/>
    <d v="2015-07-02T00:00:00"/>
    <m/>
    <m/>
    <d v="2022-01-05T00:00:00"/>
    <d v="2023-01-04T00:00:00"/>
    <n v="3"/>
    <s v="Mr. Ponnian"/>
    <s v="CEO"/>
    <s v="080-23253568"/>
    <s v="Lakshmipuram Main Rd,"/>
    <s v="No. 3, Sy No. 12/1B Abbigere Industrial A"/>
    <m/>
    <s v="Bangalore"/>
    <n v="570090"/>
    <s v="KA"/>
    <s v="India"/>
    <n v="8"/>
    <n v="0"/>
    <n v="3"/>
    <n v="2"/>
    <s v="Sun"/>
    <m/>
  </r>
  <r>
    <n v="429"/>
    <s v="MbEngg GmbH &amp; Co. KG"/>
    <x v="393"/>
    <n v="437"/>
    <s v="2015J LX"/>
    <m/>
    <m/>
    <m/>
    <m/>
    <m/>
    <m/>
    <n v="3"/>
    <s v="Mr. Stephan Bayer"/>
    <m/>
    <s v="+49282292707"/>
    <s v="Emmerich"/>
    <s v="Chemnitzer Strasse 11-46446"/>
    <m/>
    <s v="Germany"/>
    <m/>
    <s v="OC"/>
    <m/>
    <n v="0"/>
    <n v="0"/>
    <n v="0"/>
    <n v="0"/>
    <n v="0"/>
    <m/>
  </r>
  <r>
    <n v="430"/>
    <s v="Rishab Instruments Pvt. Ltd"/>
    <x v="394"/>
    <n v="498"/>
    <s v="2015J LX"/>
    <m/>
    <d v="2015-07-03T00:00:00"/>
    <m/>
    <m/>
    <d v="2021-02-09T00:00:00"/>
    <d v="2022-02-08T00:00:00"/>
    <n v="3"/>
    <s v="Mr. Narendra Goliya"/>
    <m/>
    <s v="0253-2202142"/>
    <m/>
    <s v="F-31 MIDC, Satpur"/>
    <m/>
    <s v="Nashik"/>
    <n v="422007"/>
    <s v="MH"/>
    <s v="India"/>
    <n v="2"/>
    <n v="3"/>
    <n v="0"/>
    <n v="1"/>
    <s v="Sat"/>
    <m/>
  </r>
  <r>
    <n v="431"/>
    <s v="Surelia Wire-Cut Pvt. Ltd.,"/>
    <x v="395"/>
    <n v="500"/>
    <s v="2015J LX"/>
    <m/>
    <d v="2015-07-11T00:00:00"/>
    <m/>
    <m/>
    <m/>
    <m/>
    <n v="3"/>
    <s v="Mr. Miney Surelia"/>
    <m/>
    <s v="0281-2468332"/>
    <m/>
    <s v="Mahendra Industri Tagore Road"/>
    <m/>
    <s v="Rajkot"/>
    <n v="360002"/>
    <s v="GJ"/>
    <s v="India"/>
    <n v="5"/>
    <n v="3"/>
    <n v="0"/>
    <n v="1"/>
    <s v="Wed"/>
    <m/>
  </r>
  <r>
    <n v="432"/>
    <s v="Federal Mogul Goetze (India) Ltd"/>
    <x v="308"/>
    <n v="501"/>
    <s v="2015J LX"/>
    <m/>
    <d v="2015-07-13T00:00:00"/>
    <m/>
    <m/>
    <d v="2021-09-22T00:00:00"/>
    <d v="2022-09-21T00:00:00"/>
    <n v="3"/>
    <s v="Mr. KR. Krishnan"/>
    <m/>
    <s v="0-8970650603"/>
    <m/>
    <s v="Yelahanka "/>
    <m/>
    <s v="Bangalore"/>
    <n v="560064"/>
    <s v="KA"/>
    <s v="India"/>
    <n v="8"/>
    <n v="0"/>
    <n v="7"/>
    <n v="1"/>
    <s v="Sun"/>
    <m/>
  </r>
  <r>
    <n v="433"/>
    <s v="Multilink"/>
    <x v="396"/>
    <n v="503"/>
    <s v="2015J LX"/>
    <m/>
    <d v="2025-07-18T00:00:00"/>
    <m/>
    <m/>
    <d v="2025-05-15T00:00:00"/>
    <d v="2026-05-14T00:00:00"/>
    <n v="3"/>
    <s v="Mr. H.G. Anantha Mu"/>
    <s v="Divisional Mana"/>
    <s v="0821-4280362"/>
    <m/>
    <s v="309 Hebbal Industrial Estate"/>
    <m/>
    <s v="Mysore"/>
    <n v="570016"/>
    <s v="KA"/>
    <s v="India"/>
    <n v="8"/>
    <n v="0"/>
    <n v="3"/>
    <n v="3"/>
    <s v="Sun"/>
    <m/>
  </r>
  <r>
    <n v="434"/>
    <s v="Doctor Pack India Pvt. Ltd.,"/>
    <x v="397"/>
    <n v="495"/>
    <s v="4020J LX"/>
    <m/>
    <d v="2015-07-23T00:00:00"/>
    <m/>
    <m/>
    <d v="2021-08-26T00:00:00"/>
    <d v="2022-08-25T00:00:00"/>
    <n v="3"/>
    <s v="Mr. G. Dinakaran"/>
    <s v="MD"/>
    <s v="080-27839535"/>
    <s v="Bommasandra Jigani Link Road"/>
    <s v="24 Bommasandra Jigani"/>
    <m/>
    <s v="Bangalore"/>
    <n v="560105"/>
    <s v="KA"/>
    <s v="India"/>
    <n v="8"/>
    <n v="0"/>
    <n v="1"/>
    <n v="2"/>
    <s v="Sun"/>
    <m/>
  </r>
  <r>
    <n v="435"/>
    <s v="Velankani Electronics Pvt. Ltd.,"/>
    <x v="398"/>
    <n v="504"/>
    <s v="2015J LX"/>
    <m/>
    <d v="2015-07-24T00:00:00"/>
    <m/>
    <m/>
    <d v="2025-04-07T00:00:00"/>
    <d v="2026-04-06T00:00:00"/>
    <n v="3"/>
    <s v="Mr. Jayesh Dubey"/>
    <m/>
    <m/>
    <s v="Hosur Road,"/>
    <s v="43 Electronics City"/>
    <m/>
    <s v="Bangalore"/>
    <n v="560100"/>
    <s v="KA"/>
    <s v="India"/>
    <n v="8"/>
    <n v="0"/>
    <n v="2"/>
    <n v="1"/>
    <s v="Sun"/>
    <m/>
  </r>
  <r>
    <n v="436"/>
    <s v="BRS Precision Manufacturing Pvt. Ltd.,"/>
    <x v="399"/>
    <n v="502"/>
    <s v="2015J LX"/>
    <m/>
    <d v="2015-07-30T00:00:00"/>
    <m/>
    <m/>
    <d v="2020-12-31T00:00:00"/>
    <d v="2021-12-30T00:00:00"/>
    <n v="3"/>
    <s v="Mr. Sandip Patil"/>
    <s v="Director"/>
    <m/>
    <s v="Kanakapura Road"/>
    <s v="1-A, 1st Phase, Surv Harohalli Industrial Area"/>
    <m/>
    <s v="Ramnagar"/>
    <n v="562112"/>
    <s v="KA"/>
    <s v="India"/>
    <n v="8"/>
    <n v="0"/>
    <n v="3"/>
    <n v="2"/>
    <s v="Sun"/>
    <m/>
  </r>
  <r>
    <n v="437"/>
    <s v="Elite Technologies"/>
    <x v="400"/>
    <n v="517"/>
    <s v="4020J LX"/>
    <m/>
    <d v="2015-08-05T00:00:00"/>
    <m/>
    <m/>
    <d v="2020-01-31T00:00:00"/>
    <d v="2021-01-30T00:00:00"/>
    <n v="3"/>
    <s v="Mr. Avinash Rao"/>
    <s v="Managing Partn"/>
    <s v="040-23170805"/>
    <s v="Balanagar"/>
    <s v="Plot # 31/B, CIE, Gandhinagar"/>
    <m/>
    <s v="Hyderabad"/>
    <n v="500037"/>
    <s v="TS"/>
    <s v="India"/>
    <n v="6"/>
    <n v="0"/>
    <n v="2"/>
    <n v="1"/>
    <s v="Sun"/>
    <m/>
  </r>
  <r>
    <n v="438"/>
    <s v="Impex Plastic Works"/>
    <x v="401"/>
    <n v="426"/>
    <s v="2015J LX"/>
    <m/>
    <d v="2015-08-17T00:00:00"/>
    <m/>
    <m/>
    <d v="2020-10-17T00:00:00"/>
    <d v="2021-10-16T00:00:00"/>
    <n v="3"/>
    <s v="Mr. Amit Hans"/>
    <m/>
    <s v="0129-4039630 / 0-9910"/>
    <s v="NIT"/>
    <s v="Plot No. A-74, Gali SGM Nagar,"/>
    <m/>
    <s v="Faridabad"/>
    <n v="121001"/>
    <s v="HR"/>
    <s v="India"/>
    <n v="1"/>
    <n v="1"/>
    <n v="6"/>
    <n v="1"/>
    <s v="Sun"/>
    <m/>
  </r>
  <r>
    <n v="439"/>
    <s v="Schneider Electric India Pvt Ltd (Larsen &amp; Toubro Limited) (H090)"/>
    <x v="402"/>
    <n v="519"/>
    <s v="4020J LX"/>
    <m/>
    <d v="2015-08-25T00:00:00"/>
    <m/>
    <m/>
    <d v="2021-10-01T00:00:00"/>
    <d v="2022-09-30T00:00:00"/>
    <n v="3"/>
    <s v="Mr. Kunal S Sonavane"/>
    <m/>
    <s v="0241-6606164 / 382"/>
    <s v="A-9, MIDC"/>
    <s v="ESP A Nagar Mfg Pl Ahmednagar Switchg"/>
    <m/>
    <s v="Ahmednagar"/>
    <n v="414111"/>
    <s v="MH"/>
    <s v="India"/>
    <n v="2"/>
    <n v="4"/>
    <n v="3"/>
    <n v="1"/>
    <s v="Thu"/>
    <m/>
  </r>
  <r>
    <n v="440"/>
    <s v="Rohit Springforms Pvt. Ltd.,"/>
    <x v="403"/>
    <n v="525"/>
    <s v="4020J LX"/>
    <m/>
    <d v="2015-08-28T00:00:00"/>
    <m/>
    <m/>
    <d v="2021-09-07T00:00:00"/>
    <d v="2023-09-06T00:00:00"/>
    <n v="3"/>
    <s v="Mr. KV Raghavan"/>
    <s v="Managing Director"/>
    <s v="020-27120605"/>
    <s v="Bhosari"/>
    <s v="T-173 MIDC"/>
    <m/>
    <s v="Pune"/>
    <n v="411026"/>
    <s v="MH"/>
    <s v="India"/>
    <n v="2"/>
    <n v="4"/>
    <n v="1"/>
    <n v="1"/>
    <s v="Thu "/>
    <m/>
  </r>
  <r>
    <n v="441"/>
    <s v="Candid Micron Measurements P Ltd."/>
    <x v="12"/>
    <n v="99"/>
    <s v="2015J LX"/>
    <m/>
    <d v="2015-09-01T00:00:00"/>
    <m/>
    <m/>
    <m/>
    <m/>
    <n v="3"/>
    <s v="Mr.Viswanathan"/>
    <s v="Managing Director"/>
    <s v="0422-3955527"/>
    <s v="Athipalayam Junction"/>
    <s v="238A, V.J.Complex,"/>
    <s v="Sathy Main Roa"/>
    <s v="Coimbatore"/>
    <n v="641006"/>
    <s v="TN"/>
    <s v="India"/>
    <n v="4"/>
    <n v="1"/>
    <n v="6"/>
    <n v="1"/>
    <s v="Sun"/>
    <m/>
  </r>
  <r>
    <n v="442"/>
    <s v="Wipro Enterprises Limited"/>
    <x v="404"/>
    <n v="518"/>
    <s v="4020J LX"/>
    <m/>
    <d v="2015-09-12T00:00:00"/>
    <m/>
    <m/>
    <d v="2025-06-25T00:00:00"/>
    <d v="2026-06-24T00:00:00"/>
    <n v="3"/>
    <s v="Mr. Darpan Mehta"/>
    <m/>
    <s v="080-39291800"/>
    <s v="Bangalore North"/>
    <s v="Plot No. 21 Bangaluru Aerospace"/>
    <m/>
    <s v="Bangalore North"/>
    <n v="562110"/>
    <s v="KA"/>
    <s v="India"/>
    <n v="8"/>
    <n v="0"/>
    <n v="7"/>
    <n v="1"/>
    <s v="Sun"/>
    <m/>
  </r>
  <r>
    <n v="443"/>
    <s v="Prem Industries"/>
    <x v="405"/>
    <n v="520"/>
    <s v="4020J LX"/>
    <m/>
    <d v="2015-09-15T00:00:00"/>
    <m/>
    <m/>
    <d v="2022-02-02T00:00:00"/>
    <d v="2023-02-01T00:00:00"/>
    <n v="3"/>
    <s v="Mr. Vethanayagam"/>
    <s v="CEO"/>
    <s v="0821-4280150"/>
    <m/>
    <s v="Plot No. 299/A Hebbal Industrial Estate"/>
    <m/>
    <s v="Mysore"/>
    <n v="570016"/>
    <s v="KA"/>
    <s v="India"/>
    <n v="8"/>
    <n v="0"/>
    <n v="3"/>
    <n v="3"/>
    <s v="Sun"/>
    <m/>
  </r>
  <r>
    <n v="444"/>
    <s v="Delphi TVS Diesel Systems Ltd."/>
    <x v="87"/>
    <n v="410"/>
    <s v="2015J LX"/>
    <m/>
    <d v="2015-09-16T00:00:00"/>
    <m/>
    <m/>
    <d v="2022-01-31T00:00:00"/>
    <d v="2023-01-30T00:00:00"/>
    <n v="3"/>
    <s v="Mr. Raghwendra Kum"/>
    <m/>
    <s v="09927363370 / 098370"/>
    <s v="IIE Pantnagar"/>
    <s v="Plot No. 58 &amp; 59 Sector - 11"/>
    <m/>
    <s v="Chennai"/>
    <n v="263153"/>
    <s v="TN"/>
    <s v="India"/>
    <n v="4"/>
    <n v="0"/>
    <n v="3"/>
    <n v="1"/>
    <s v="Sun"/>
    <m/>
  </r>
  <r>
    <n v="445"/>
    <s v="Tube Investments of India Ltd.,"/>
    <x v="406"/>
    <n v="523"/>
    <s v="4020J LX"/>
    <m/>
    <d v="2015-09-20T00:00:00"/>
    <m/>
    <m/>
    <m/>
    <m/>
    <n v="3"/>
    <s v="Mr. Srivatsan"/>
    <s v="AGM"/>
    <s v="044-42291999"/>
    <m/>
    <s v="Tube Products of In Avadi"/>
    <m/>
    <s v="Chennai"/>
    <n v="600054"/>
    <s v="TN"/>
    <s v="India"/>
    <n v="4"/>
    <n v="0"/>
    <n v="4"/>
    <n v="2"/>
    <s v="Sun"/>
    <m/>
  </r>
  <r>
    <n v="446"/>
    <s v="KPSV Industries Pvt. Ltd.,"/>
    <x v="407"/>
    <n v="521"/>
    <s v="4020J LX"/>
    <m/>
    <d v="2015-10-01T00:00:00"/>
    <m/>
    <m/>
    <m/>
    <m/>
    <n v="3"/>
    <s v="Mr. RMS Mani"/>
    <s v="CEO"/>
    <m/>
    <s v="Phase III"/>
    <s v="N9 SIDCO"/>
    <m/>
    <s v="Hosur"/>
    <n v="635126"/>
    <s v="TN"/>
    <s v="India"/>
    <n v="8"/>
    <n v="0"/>
    <n v="1"/>
    <n v="3"/>
    <s v="Sun"/>
    <m/>
  </r>
  <r>
    <n v="447"/>
    <s v="Sunrays Engineers Pvt. Ltd.,"/>
    <x v="408"/>
    <n v="508"/>
    <s v="2015J LX"/>
    <m/>
    <d v="2015-10-03T00:00:00"/>
    <m/>
    <m/>
    <m/>
    <m/>
    <n v="3"/>
    <s v="Mr. Pradeep Tripathi"/>
    <m/>
    <s v="0124-4368172"/>
    <s v="IMT"/>
    <s v="Plot No. 111, Sector-3,"/>
    <s v="Manesar,"/>
    <s v="Gurgaon"/>
    <n v="122050"/>
    <s v="HR"/>
    <s v="India"/>
    <n v="1"/>
    <n v="1"/>
    <n v="1"/>
    <n v="1"/>
    <s v="Sun"/>
    <m/>
  </r>
  <r>
    <n v="448"/>
    <s v="Fine Blanking Pvt. Ltd.,"/>
    <x v="409"/>
    <n v="505"/>
    <s v="2015J LX"/>
    <m/>
    <d v="2015-10-05T00:00:00"/>
    <m/>
    <m/>
    <d v="2020-09-14T00:00:00"/>
    <d v="2021-09-13T00:00:00"/>
    <n v="3"/>
    <s v="Mr. Rahul Khobare"/>
    <m/>
    <s v="0836-2330446"/>
    <s v="Gokul Village,"/>
    <s v="Block No. 201/2, 20 Revadihal Road,"/>
    <m/>
    <s v="Hubli"/>
    <n v="580030"/>
    <s v="KA"/>
    <s v="India"/>
    <n v="8"/>
    <n v="0"/>
    <n v="0"/>
    <n v="1"/>
    <s v="Sun"/>
    <m/>
  </r>
  <r>
    <n v="449"/>
    <s v="Roca Bathroom Products Pvt. Ltd.,"/>
    <x v="410"/>
    <n v="509"/>
    <s v="2015J LX"/>
    <m/>
    <d v="2015-10-11T00:00:00"/>
    <m/>
    <m/>
    <m/>
    <m/>
    <n v="3"/>
    <s v="Mr. Alagappan"/>
    <m/>
    <s v="044-47113232"/>
    <s v="Mambakkam Village,"/>
    <s v="Plot No. L-5, SIPCOT Industrial Par"/>
    <s v="Sriperumbudur,"/>
    <s v="Chennai"/>
    <n v="602105"/>
    <s v="TN"/>
    <s v="India"/>
    <n v="4"/>
    <n v="0"/>
    <n v="3"/>
    <n v="1"/>
    <s v="Sun"/>
    <m/>
  </r>
  <r>
    <n v="450"/>
    <s v="Titan Industries Ltd"/>
    <x v="148"/>
    <n v="526"/>
    <s v="4020J LX"/>
    <m/>
    <d v="2015-10-15T00:00:00"/>
    <m/>
    <m/>
    <d v="2021-10-01T00:00:00"/>
    <d v="2022-09-30T00:00:00"/>
    <n v="3"/>
    <s v="Mr. Vivekanandan"/>
    <m/>
    <s v="080- 40119372"/>
    <s v="Anekal Taluk"/>
    <s v="15B Bommasandra Indl ar"/>
    <m/>
    <s v="Bangalore"/>
    <n v="562158"/>
    <s v="KA"/>
    <s v="India"/>
    <n v="8"/>
    <n v="0"/>
    <n v="1"/>
    <n v="3"/>
    <s v="Sun"/>
    <m/>
  </r>
  <r>
    <n v="451"/>
    <s v="Multiples India"/>
    <x v="411"/>
    <n v="528"/>
    <s v="4020J LX"/>
    <m/>
    <d v="2015-10-30T00:00:00"/>
    <m/>
    <m/>
    <m/>
    <m/>
    <n v="3"/>
    <s v="Mr. Mohan"/>
    <m/>
    <m/>
    <s v="MMDA Colony,"/>
    <s v="No. C-10, Razack Garden Road,"/>
    <s v="Arumbakkam,"/>
    <s v="Chennai"/>
    <n v="600106"/>
    <s v="KA"/>
    <s v="India"/>
    <n v="4"/>
    <n v="0"/>
    <n v="4"/>
    <n v="1"/>
    <s v="Sun"/>
    <m/>
  </r>
  <r>
    <n v="452"/>
    <s v="Schneider Electric India Pvt Ltd (Larsen &amp; Toubro Limited)"/>
    <x v="412"/>
    <n v="524"/>
    <s v="V4020J LX"/>
    <m/>
    <d v="2015-11-02T00:00:00"/>
    <m/>
    <m/>
    <d v="2021-02-26T00:00:00"/>
    <d v="2022-02-25T00:00:00"/>
    <n v="3"/>
    <s v="Mr. Nitin Gupta"/>
    <m/>
    <m/>
    <s v="Technology Park Behind K"/>
    <s v="ETS Vadodara Mfg Village-Ankhol, NH8,"/>
    <s v="Between Ajwa &amp;"/>
    <s v="Vadodara"/>
    <n v="390019"/>
    <s v="GJ"/>
    <s v="India"/>
    <n v="5"/>
    <n v="1"/>
    <n v="1"/>
    <n v="2"/>
    <s v="Sun"/>
    <m/>
  </r>
  <r>
    <n v="453"/>
    <s v="Auto CNC Machining Ltd.,"/>
    <x v="413"/>
    <n v="529"/>
    <s v="4020J LX"/>
    <m/>
    <d v="2015-11-04T00:00:00"/>
    <m/>
    <m/>
    <d v="2021-04-06T00:00:00"/>
    <d v="2022-04-05T00:00:00"/>
    <n v="3"/>
    <s v="Mr. B.M. Aravind"/>
    <s v="Managing Director"/>
    <s v="080-41170235"/>
    <s v="Peenya Industrial Area"/>
    <s v="Plot No. 282 IV Main, IV Phase"/>
    <m/>
    <s v="Bangalore"/>
    <n v="560058"/>
    <s v="KA"/>
    <s v="India"/>
    <n v="8"/>
    <n v="0"/>
    <n v="5"/>
    <n v="1"/>
    <s v="Sun"/>
    <m/>
  </r>
  <r>
    <n v="454"/>
    <s v="Phoenix Engg"/>
    <x v="414"/>
    <n v="507"/>
    <s v="2015J LX"/>
    <m/>
    <d v="2015-11-05T00:00:00"/>
    <m/>
    <m/>
    <d v="2025-10-15T00:00:00"/>
    <d v="2026-10-14T00:00:00"/>
    <n v="3"/>
    <s v="Mr. Gupta"/>
    <s v="CEO"/>
    <s v="0240-564966"/>
    <s v="Waluj"/>
    <s v="M-117 MIDC"/>
    <m/>
    <s v="Aurangabad"/>
    <n v="431136"/>
    <s v="MH"/>
    <s v="India"/>
    <n v="2"/>
    <n v="0"/>
    <n v="2"/>
    <n v="1"/>
    <s v="Sun"/>
    <m/>
  </r>
  <r>
    <n v="455"/>
    <s v="LM Van Moppes Diamond Tools India Pvt. L"/>
    <x v="415"/>
    <n v="512"/>
    <s v="2015J LX"/>
    <m/>
    <d v="2015-11-06T00:00:00"/>
    <m/>
    <m/>
    <d v="2025-09-18T00:00:00"/>
    <d v="2026-09-17T00:00:00"/>
    <n v="3"/>
    <s v="Mr. Babu"/>
    <s v="Quality Manage"/>
    <s v="044-25375668"/>
    <s v="Sembiam"/>
    <s v="853 Huxur Garden"/>
    <m/>
    <s v="Chennai"/>
    <n v="600011"/>
    <s v="TN"/>
    <s v="India"/>
    <n v="4"/>
    <n v="0"/>
    <n v="4"/>
    <n v="1"/>
    <s v="Sun"/>
    <m/>
  </r>
  <r>
    <n v="456"/>
    <s v="Bhabha Atomic Research Centre"/>
    <x v="416"/>
    <n v="511"/>
    <s v="2015J LX"/>
    <m/>
    <d v="2015-11-07T00:00:00"/>
    <m/>
    <m/>
    <m/>
    <m/>
    <n v="3"/>
    <s v="Mr. Devdas G Pardas"/>
    <s v="Purchase Office"/>
    <s v="022-25487138"/>
    <s v="BARC, Trombay"/>
    <s v="Central Stores Unit Directorate of Purcha"/>
    <m/>
    <s v="Mumbai"/>
    <n v="400085"/>
    <s v="MH"/>
    <s v="India"/>
    <n v="2"/>
    <n v="1"/>
    <n v="1"/>
    <n v="5"/>
    <s v="Sun"/>
    <m/>
  </r>
  <r>
    <n v="457"/>
    <s v="Maini Precision Products (P) Ltd."/>
    <x v="33"/>
    <n v="510"/>
    <s v="2015J LX"/>
    <m/>
    <d v="2015-11-16T00:00:00"/>
    <m/>
    <m/>
    <d v="2022-02-07T00:00:00"/>
    <d v="2023-02-06T00:00:00"/>
    <n v="3"/>
    <s v="Mr. Madhusudhanra"/>
    <s v="Senior Manager"/>
    <s v="080-40724700"/>
    <s v="Industrial Area"/>
    <s v="No. 77 Bommasandra Jigani"/>
    <m/>
    <s v="Bangalore"/>
    <n v="562106"/>
    <s v="KA"/>
    <s v="India"/>
    <n v="8"/>
    <n v="0"/>
    <n v="1"/>
    <n v="2"/>
    <s v="Sun"/>
    <m/>
  </r>
  <r>
    <n v="458"/>
    <s v="Akshar Brass Industries"/>
    <x v="417"/>
    <n v="513"/>
    <s v="2015J LX"/>
    <m/>
    <d v="2015-11-19T00:00:00"/>
    <m/>
    <m/>
    <m/>
    <m/>
    <n v="3"/>
    <s v="Mr. Sanjay Limbasiya"/>
    <m/>
    <s v="0288-2730587"/>
    <s v="Phase III"/>
    <s v="#4027 GIDC"/>
    <m/>
    <s v="Jamnagar"/>
    <n v="361004"/>
    <s v="GJ"/>
    <s v="India"/>
    <n v="5"/>
    <n v="4"/>
    <n v="0"/>
    <n v="1"/>
    <s v="Fri"/>
    <m/>
  </r>
  <r>
    <n v="459"/>
    <s v="Fortune Plastech"/>
    <x v="418"/>
    <n v="515"/>
    <s v="2015J LX"/>
    <m/>
    <d v="2015-12-02T00:00:00"/>
    <m/>
    <m/>
    <m/>
    <m/>
    <n v="3"/>
    <s v="Mr. Hemant Kumar"/>
    <m/>
    <s v="080-32560888"/>
    <s v="Bhattrahalli,"/>
    <s v="Sy. No. 27, RMS Col Seegehalli Main Roa"/>
    <s v="Virgonagar Post"/>
    <s v="Bangalore"/>
    <s v="560 049"/>
    <s v="KA"/>
    <s v="India"/>
    <n v="8"/>
    <n v="0"/>
    <n v="5"/>
    <n v="1"/>
    <s v="Sun"/>
    <m/>
  </r>
  <r>
    <n v="460"/>
    <s v="JJG Machining Pvt Ltd"/>
    <x v="419"/>
    <n v="537"/>
    <s v="2015J LX"/>
    <m/>
    <d v="2015-12-05T00:00:00"/>
    <m/>
    <m/>
    <d v="2025-09-02T00:00:00"/>
    <d v="2026-09-01T00:00:00"/>
    <n v="3"/>
    <s v="Mr. Vinayak"/>
    <m/>
    <s v="080-28520421"/>
    <s v="Hosur Road,"/>
    <s v="#25 &quot;A&quot;, Electronic 18th KM"/>
    <m/>
    <s v="Bangalore"/>
    <n v="560100"/>
    <s v="KA"/>
    <s v="India"/>
    <n v="8"/>
    <n v="0"/>
    <n v="1"/>
    <n v="2"/>
    <s v="Sun"/>
    <m/>
  </r>
  <r>
    <n v="461"/>
    <s v="Epitome Components"/>
    <x v="420"/>
    <n v="530"/>
    <s v="4030J lX"/>
    <m/>
    <d v="2015-12-15T00:00:00"/>
    <m/>
    <m/>
    <d v="2019-02-14T00:00:00"/>
    <d v="2020-02-13T00:00:00"/>
    <n v="3"/>
    <s v="Mr. Anurag Dhoot"/>
    <m/>
    <s v="02488-243133"/>
    <s v="Tal-Pamer,"/>
    <s v="A-20/1, Supa, MIDC,"/>
    <m/>
    <s v="Ahmednagar"/>
    <n v="414301"/>
    <s v="MH"/>
    <s v="India"/>
    <n v="2"/>
    <n v="4"/>
    <n v="3"/>
    <n v="1"/>
    <s v="Thu"/>
    <m/>
  </r>
  <r>
    <n v="462"/>
    <s v="Derewala Industries Ltd.,"/>
    <x v="421"/>
    <n v="536"/>
    <s v="2015J LX"/>
    <m/>
    <d v="2015-12-23T00:00:00"/>
    <m/>
    <m/>
    <d v="2019-05-20T00:00:00"/>
    <d v="2020-05-19T00:00:00"/>
    <n v="3"/>
    <s v="Mr. Vijesj Yadav / Mr"/>
    <m/>
    <s v="0141-5151444 / 969408"/>
    <s v="Tonk Road,"/>
    <s v="E-72, EPIP, Sitapura Industrial Ar"/>
    <m/>
    <s v="Jaipur"/>
    <n v="302022"/>
    <s v="RJ"/>
    <s v="India"/>
    <n v="1"/>
    <n v="0"/>
    <n v="1"/>
    <n v="5"/>
    <s v="Sun"/>
    <m/>
  </r>
  <r>
    <n v="463"/>
    <s v="Mindarika Pvt Ltd"/>
    <x v="236"/>
    <n v="538"/>
    <s v="2015J LX"/>
    <m/>
    <d v="2016-01-18T00:00:00"/>
    <m/>
    <m/>
    <d v="2025-07-09T00:00:00"/>
    <d v="2026-07-08T00:00:00"/>
    <n v="3"/>
    <s v="Mr. Nagabushanam"/>
    <m/>
    <s v="044-3920700"/>
    <s v="Taluk Sriperumpudur"/>
    <s v="RNS-22, SIPCOT Ind Oragadam Expansion"/>
    <m/>
    <s v="Kanchipuram"/>
    <n v="603204"/>
    <s v="TN"/>
    <s v="India"/>
    <n v="4"/>
    <n v="0"/>
    <n v="3"/>
    <n v="2"/>
    <s v="Sun"/>
    <m/>
  </r>
  <r>
    <n v="464"/>
    <s v="Nextech Engg"/>
    <x v="422"/>
    <n v="539"/>
    <s v="2015J LX"/>
    <m/>
    <d v="2016-01-19T00:00:00"/>
    <m/>
    <m/>
    <m/>
    <m/>
    <n v="3"/>
    <s v="Mr. Mayur M Hansali"/>
    <s v="Accountant"/>
    <s v="02827-296051"/>
    <m/>
    <s v="Plot No. G-2745, GI Lodhika (Metoda)"/>
    <m/>
    <s v="Rajkot"/>
    <n v="360001"/>
    <s v="GJ"/>
    <s v="India"/>
    <n v="5"/>
    <n v="3"/>
    <n v="0"/>
    <n v="1"/>
    <s v="Wed"/>
    <m/>
  </r>
  <r>
    <n v="465"/>
    <s v="Milacron India Pvt Ltd (Ferromatik Milacron India Pvt. Ltd.,)"/>
    <x v="423"/>
    <n v="531"/>
    <s v="4020J LX"/>
    <m/>
    <d v="2016-01-21T00:00:00"/>
    <m/>
    <m/>
    <d v="2021-03-19T00:00:00"/>
    <d v="2023-03-18T00:00:00"/>
    <n v="3"/>
    <s v="Mr. Jiten J Mehta"/>
    <m/>
    <s v="079-25890081"/>
    <s v="GIDC Vatva"/>
    <s v="Plot No. 93/2 &amp; 94/ Phase 1"/>
    <m/>
    <s v="Ahmedabad"/>
    <n v="382445"/>
    <s v="GJ"/>
    <s v="India"/>
    <n v="5"/>
    <n v="0"/>
    <n v="1"/>
    <n v="1"/>
    <s v="Sun"/>
    <m/>
  </r>
  <r>
    <n v="466"/>
    <s v="Vikson Spring Pvt Ltd"/>
    <x v="194"/>
    <n v="535"/>
    <s v="4020J LX"/>
    <m/>
    <d v="2016-01-21T00:00:00"/>
    <m/>
    <m/>
    <d v="2022-01-23T00:00:00"/>
    <d v="2023-01-22T00:00:00"/>
    <n v="3"/>
    <s v="Mr. Amit Shah"/>
    <m/>
    <s v="022-25007324/7588 / 9"/>
    <s v="Mahalunge Dist-Khed"/>
    <s v="C-29, Chakan MIDC Chakan Talegaon Roa"/>
    <m/>
    <s v="Pune"/>
    <n v="410501"/>
    <s v="MH"/>
    <s v="India"/>
    <n v="2"/>
    <n v="4"/>
    <n v="2"/>
    <n v="1"/>
    <s v="Thu"/>
    <m/>
  </r>
  <r>
    <n v="467"/>
    <s v="Marelli Motherson Automotive Lighting India Pvt Ltd (Magneti Marelli Motherson Auto System Ltd)"/>
    <x v="424"/>
    <n v="541"/>
    <s v="2015J LX"/>
    <m/>
    <d v="2016-02-06T00:00:00"/>
    <m/>
    <m/>
    <d v="2025-08-01T00:00:00"/>
    <d v="2026-07-31T00:00:00"/>
    <n v="3"/>
    <s v="Mr. Nagesh Kotanur"/>
    <m/>
    <s v="0124-2291674"/>
    <s v="Hirapur,"/>
    <s v="E 15, 16 BOL (Sana GIDC Survey 209/P, 2"/>
    <m/>
    <s v="Ahmedabad"/>
    <s v="382 110"/>
    <s v="GJ"/>
    <s v="India"/>
    <n v="5"/>
    <n v="0"/>
    <n v="1"/>
    <n v="1"/>
    <s v="Sun"/>
    <m/>
  </r>
  <r>
    <n v="468"/>
    <s v="Gilbarco Veeder Root India Pvt. Ltd.,"/>
    <x v="425"/>
    <n v="540"/>
    <s v="2015J LX"/>
    <m/>
    <d v="2016-02-16T00:00:00"/>
    <m/>
    <m/>
    <d v="2020-10-30T00:00:00"/>
    <d v="2021-10-29T00:00:00"/>
    <n v="3"/>
    <s v="Mr. N. Venkatesh Pra"/>
    <s v="Manager - Proc"/>
    <s v="0422-6680515"/>
    <s v="PDP Coimbatore Campus"/>
    <s v="100% EOU, 628/2 Sector W4-B,"/>
    <s v="Malumachampatti"/>
    <s v="Coimbatore"/>
    <n v="641021"/>
    <s v="TN"/>
    <s v="India"/>
    <n v="4"/>
    <n v="1"/>
    <n v="3"/>
    <n v="1"/>
    <s v="Sun"/>
    <m/>
  </r>
  <r>
    <n v="469"/>
    <s v="K-Max Technologies Pvt. Ltd.,"/>
    <x v="426"/>
    <n v="516"/>
    <s v="4020J LX"/>
    <m/>
    <d v="2016-02-21T00:00:00"/>
    <m/>
    <m/>
    <d v="2021-12-14T00:00:00"/>
    <d v="2022-12-13T00:00:00"/>
    <n v="3"/>
    <s v="Mr. Ashok Kumar"/>
    <m/>
    <s v="044-26255230 / 420775"/>
    <s v="Ambattur"/>
    <s v="#23F (NP) SIDCO Industrial"/>
    <m/>
    <s v="Chennai"/>
    <n v="600098"/>
    <s v="TN"/>
    <s v="India"/>
    <n v="4"/>
    <n v="0"/>
    <n v="4"/>
    <n v="1"/>
    <s v="Sun"/>
    <m/>
  </r>
  <r>
    <n v="470"/>
    <s v="Numann Industries"/>
    <x v="427"/>
    <n v="544"/>
    <s v="2015J LX"/>
    <m/>
    <d v="2016-02-26T00:00:00"/>
    <m/>
    <m/>
    <d v="2025-04-04T00:00:00"/>
    <d v="2026-04-03T00:00:00"/>
    <n v="3"/>
    <s v="Mr. K Murugan"/>
    <m/>
    <s v="04344-278688 / 934431"/>
    <m/>
    <s v="#63/4A, Phase 1 Sipcot Industrial Complex"/>
    <m/>
    <s v="Hosur"/>
    <n v="635126"/>
    <s v="TN"/>
    <s v="India"/>
    <n v="8"/>
    <n v="0"/>
    <n v="1"/>
    <n v="3"/>
    <s v="Sun"/>
    <m/>
  </r>
  <r>
    <n v="471"/>
    <s v="Mayur Enterprises"/>
    <x v="428"/>
    <n v="542"/>
    <s v="2015J LX"/>
    <m/>
    <d v="2016-02-27T00:00:00"/>
    <m/>
    <m/>
    <m/>
    <m/>
    <n v="3"/>
    <s v="Mr. Mayur Bhagat"/>
    <m/>
    <s v="020-27128896 / 988121"/>
    <m/>
    <s v="B38, Pavana Indust T204, MIDC, Bhosari"/>
    <m/>
    <s v="Pune"/>
    <n v="411026"/>
    <s v="MH"/>
    <s v="India"/>
    <n v="2"/>
    <n v="4"/>
    <n v="1"/>
    <n v="1"/>
    <s v="Thu "/>
    <m/>
  </r>
  <r>
    <n v="472"/>
    <s v="TopFlite Components Pvt Ltd"/>
    <x v="429"/>
    <n v="545"/>
    <s v="2015J LX"/>
    <m/>
    <d v="2016-03-01T00:00:00"/>
    <m/>
    <m/>
    <d v="2021-03-27T00:00:00"/>
    <d v="2022-03-26T00:00:00"/>
    <n v="3"/>
    <s v="Mr. Rachin Bhasi"/>
    <m/>
    <s v="0821-4245555 / 81059"/>
    <s v="Hebbal"/>
    <s v="268/B, Part 1 Hebbal Industrial are"/>
    <m/>
    <s v="Mysore"/>
    <n v="570018"/>
    <s v="KA"/>
    <s v="India"/>
    <n v="8"/>
    <n v="0"/>
    <n v="3"/>
    <n v="3"/>
    <s v="Sun"/>
    <m/>
  </r>
  <r>
    <n v="473"/>
    <s v="Toyota Kirloskar Auto Parts P Ltd"/>
    <x v="96"/>
    <n v="479"/>
    <s v="4020J HT"/>
    <m/>
    <d v="2016-03-01T00:00:00"/>
    <m/>
    <m/>
    <d v="2025-02-14T00:00:00"/>
    <d v="2026-02-13T00:00:00"/>
    <n v="3"/>
    <s v="Mr. Prasanna Kumar M I"/>
    <m/>
    <s v="080-27287141 / 43"/>
    <s v="Ramanagaram District"/>
    <s v="Plot no.21 Bidadi Industrial Area"/>
    <s v="Bidadi"/>
    <s v="Bangalore"/>
    <n v="562109"/>
    <s v="KA"/>
    <s v="India"/>
    <n v="8"/>
    <n v="0"/>
    <n v="3"/>
    <n v="2"/>
    <s v="Sun"/>
    <m/>
  </r>
  <r>
    <n v="474"/>
    <s v="West Pharmaceutical Packaging India Pvt. L"/>
    <x v="353"/>
    <s v="533 / E177"/>
    <s v="4020J LX"/>
    <m/>
    <d v="2016-03-08T00:00:00"/>
    <m/>
    <m/>
    <d v="2025-11-03T00:00:00"/>
    <d v="2026-11-02T00:00:00"/>
    <n v="3"/>
    <s v="Mr. Rakesh Kamireddy"/>
    <m/>
    <n v="9951672672"/>
    <s v="Satyavedu (P.O)"/>
    <s v="No.900, Peepul Bou Sector 36, Sri City SEZ"/>
    <m/>
    <s v="AndhraPradesh"/>
    <n v="517588"/>
    <s v="AP"/>
    <s v="India"/>
    <n v="4"/>
    <n v="0"/>
    <n v="5"/>
    <n v="2"/>
    <s v="Sun"/>
    <m/>
  </r>
  <r>
    <n v="475"/>
    <s v="Rupa Engg Industries"/>
    <x v="430"/>
    <n v="543"/>
    <s v="2015J LX"/>
    <m/>
    <d v="2016-03-10T00:00:00"/>
    <m/>
    <m/>
    <m/>
    <m/>
    <n v="3"/>
    <s v="Mr. N Srinivas"/>
    <m/>
    <s v="0422-2562844 / 256384"/>
    <m/>
    <s v="6/1257-A Avinashi Road, Pillaged"/>
    <m/>
    <s v="Coimbatore"/>
    <n v="641004"/>
    <s v="TN"/>
    <s v="India"/>
    <n v="4"/>
    <n v="1"/>
    <n v="1"/>
    <n v="2"/>
    <s v="Sun"/>
    <m/>
  </r>
  <r>
    <n v="476"/>
    <s v="BG LI-IN Electricals Ltd"/>
    <x v="431"/>
    <n v="534"/>
    <s v="4020J LX"/>
    <m/>
    <d v="2016-03-16T00:00:00"/>
    <m/>
    <m/>
    <d v="2020-11-12T00:00:00"/>
    <d v="2021-11-11T00:00:00"/>
    <n v="3"/>
    <s v="Mr. Sunil K Girase / Mr. Kiran Sonawa"/>
    <m/>
    <s v="240-3250408-12"/>
    <s v="Waluj"/>
    <s v="Plot No.M-137 MIDC Industrial area"/>
    <m/>
    <s v="Aurangabad"/>
    <n v="431136"/>
    <s v="MH"/>
    <s v="India"/>
    <n v="2"/>
    <n v="0"/>
    <n v="2"/>
    <n v="1"/>
    <s v="Sun"/>
    <m/>
  </r>
  <r>
    <n v="477"/>
    <s v="Schneider Electric India Pvt Ltd (Larsen &amp; Toubro Limited) (H099)"/>
    <x v="432"/>
    <n v="552"/>
    <s v="4020J LX"/>
    <m/>
    <d v="2016-03-19T00:00:00"/>
    <m/>
    <m/>
    <d v="2021-07-09T00:00:00"/>
    <d v="2022-07-08T00:00:00"/>
    <n v="3"/>
    <s v="Mr. Ravikiran Mali / Mr. Rishikesh Dar"/>
    <m/>
    <s v="241-6606164 / 382"/>
    <s v="A-9, MIDC"/>
    <s v="ESP A Nagar Mfg Pl Ahmednagar Switchg"/>
    <m/>
    <s v="Ahmednagar"/>
    <n v="414111"/>
    <s v="MH"/>
    <s v="India"/>
    <n v="2"/>
    <n v="4"/>
    <n v="3"/>
    <n v="1"/>
    <s v="Thu"/>
    <m/>
  </r>
  <r>
    <n v="478"/>
    <s v="CG Power &amp; Industrial soln Ltd (Crompton Greaves Ltd)"/>
    <x v="196"/>
    <n v="555"/>
    <s v="4020J LX"/>
    <m/>
    <d v="2016-03-28T00:00:00"/>
    <m/>
    <m/>
    <d v="2021-12-16T00:00:00"/>
    <d v="2022-06-15T00:00:00"/>
    <n v="3"/>
    <s v="Mr. Vijay shinde"/>
    <m/>
    <s v="253-2382273"/>
    <m/>
    <s v="S3: Nashik: MFG Pl A-3, MIDC, Ambad"/>
    <m/>
    <s v="Nashik"/>
    <n v="422010"/>
    <s v="MH"/>
    <s v="India"/>
    <n v="2"/>
    <n v="3"/>
    <n v="0"/>
    <n v="1"/>
    <s v="Sat"/>
    <m/>
  </r>
  <r>
    <n v="479"/>
    <s v="Sandhar Components"/>
    <x v="433"/>
    <n v="553"/>
    <s v="4020J LX"/>
    <m/>
    <d v="2016-04-02T00:00:00"/>
    <m/>
    <m/>
    <d v="2020-01-13T00:00:00"/>
    <d v="2021-01-12T00:00:00"/>
    <n v="3"/>
    <s v="Mr. R S Dalal"/>
    <m/>
    <s v="0124-4352932"/>
    <s v="IMT Manesar"/>
    <s v="(A unit of Sandhar Plot No.24-25, Sector"/>
    <m/>
    <s v="Gurgaon"/>
    <n v="122050"/>
    <s v="DL"/>
    <s v="India"/>
    <n v="1"/>
    <n v="1"/>
    <n v="1"/>
    <n v="1"/>
    <s v="Sun"/>
    <m/>
  </r>
  <r>
    <n v="480"/>
    <s v="Reammac Precision Tools"/>
    <x v="434"/>
    <n v="546"/>
    <s v="2015J LX"/>
    <m/>
    <d v="2016-04-02T00:00:00"/>
    <m/>
    <m/>
    <d v="2021-04-19T00:00:00"/>
    <d v="2022-04-18T00:00:00"/>
    <n v="3"/>
    <s v="Mr. M Suresh Kumar / Mr. Thiruneela"/>
    <m/>
    <s v="9003065004 / 9042983"/>
    <m/>
    <s v="B-184/2, SIDCO Ind Thirumudivakkam"/>
    <m/>
    <s v="Chennai"/>
    <n v="600044"/>
    <s v="TN"/>
    <s v="India"/>
    <n v="4"/>
    <n v="0"/>
    <n v="2"/>
    <n v="2"/>
    <s v="Sun"/>
    <m/>
  </r>
  <r>
    <n v="481"/>
    <s v="Balaji Aluminium Extrusions Pvt Ltd"/>
    <x v="435"/>
    <n v="547"/>
    <s v="2015J LX"/>
    <m/>
    <d v="2016-04-14T00:00:00"/>
    <m/>
    <m/>
    <d v="2021-07-01T00:00:00"/>
    <d v="2022-06-30T00:00:00"/>
    <n v="3"/>
    <s v="Mr. Ankur Aggarwal"/>
    <m/>
    <n v="9810944050"/>
    <s v="Bahadurgarh"/>
    <s v="Plot No.109, Sector HSIIDC"/>
    <m/>
    <s v="Haryana"/>
    <n v="124507"/>
    <s v="HR"/>
    <s v="India"/>
    <n v="1"/>
    <n v="1"/>
    <n v="2"/>
    <n v="1"/>
    <s v="Sun"/>
    <m/>
  </r>
  <r>
    <n v="482"/>
    <s v="Kalgidhar Industrial Corporation"/>
    <x v="436"/>
    <n v="548"/>
    <s v="2015J LX"/>
    <m/>
    <d v="2016-04-25T00:00:00"/>
    <m/>
    <m/>
    <m/>
    <m/>
    <n v="3"/>
    <s v="Mr. Manjit Singh"/>
    <m/>
    <s v="0161-5011140 / 41"/>
    <s v="Ludhiana"/>
    <s v="B-22, Focal Point Phase-II"/>
    <m/>
    <s v="Punjab"/>
    <n v="141010"/>
    <s v="PB"/>
    <s v="India"/>
    <n v="1"/>
    <n v="3"/>
    <n v="3"/>
    <n v="5"/>
    <s v="Sun"/>
    <m/>
  </r>
  <r>
    <n v="483"/>
    <s v="Standard Spring &amp; Metal Pressing Works"/>
    <x v="437"/>
    <n v="549"/>
    <s v="2015J LX"/>
    <m/>
    <d v="2016-05-02T00:00:00"/>
    <m/>
    <m/>
    <d v="2024-05-15T00:00:00"/>
    <d v="2025-05-14T00:00:00"/>
    <n v="3"/>
    <s v="Mr. Amit P Vora"/>
    <m/>
    <s v="022-27606477"/>
    <s v="Off. Belapur Road"/>
    <s v="W-291, TTC Industr MIDC, Rabale"/>
    <s v="Navi Mumbai"/>
    <m/>
    <n v="400701"/>
    <s v="MH"/>
    <s v="India"/>
    <n v="2"/>
    <n v="2"/>
    <n v="2"/>
    <n v="4"/>
    <s v="Sun"/>
    <m/>
  </r>
  <r>
    <n v="484"/>
    <s v="Hical Technologies Pvt Ltd"/>
    <x v="22"/>
    <n v="556"/>
    <s v="4020J LX"/>
    <m/>
    <d v="2016-05-05T00:00:00"/>
    <m/>
    <m/>
    <m/>
    <m/>
    <n v="3"/>
    <s v="Mr. Shankare Gowda"/>
    <m/>
    <s v="080-66189629"/>
    <s v="Hosur Road,"/>
    <s v="Survey no.46 &amp; 47, Electronics City"/>
    <m/>
    <s v="Bangalore"/>
    <n v="560100"/>
    <s v="KA"/>
    <s v="India"/>
    <n v="8"/>
    <n v="0"/>
    <n v="1"/>
    <n v="1"/>
    <s v="Sun"/>
    <m/>
  </r>
  <r>
    <n v="485"/>
    <s v="Accurate Engg Enterprises"/>
    <x v="438"/>
    <n v="554"/>
    <s v="4020J LX"/>
    <m/>
    <d v="2016-05-09T00:00:00"/>
    <m/>
    <m/>
    <m/>
    <m/>
    <n v="3"/>
    <s v="Mr. M Vinay"/>
    <m/>
    <s v="080-28367633 / 944907"/>
    <m/>
    <s v="B156, 4th Main Peenya Industrial Estate"/>
    <m/>
    <s v="Bangalore"/>
    <n v="560058"/>
    <s v="KA"/>
    <s v="India"/>
    <n v="8"/>
    <n v="0"/>
    <n v="5"/>
    <n v="1"/>
    <s v="Sun"/>
    <m/>
  </r>
  <r>
    <n v="486"/>
    <s v="Kramski Stamping &amp; Molding India Pvt Ltd"/>
    <x v="439"/>
    <n v="557"/>
    <s v="4020J LX"/>
    <m/>
    <d v="2016-05-09T00:00:00"/>
    <m/>
    <m/>
    <d v="2021-04-15T00:00:00"/>
    <d v="2022-04-14T00:00:00"/>
    <n v="3"/>
    <s v="Mr. J Vetrivel"/>
    <s v="Purchase Officer"/>
    <s v="0416-2206001-15"/>
    <s v="(Via) Virinchipuram"/>
    <s v="Eraiyankadu Village Anaicut Block"/>
    <m/>
    <s v="Vellore"/>
    <n v="632104"/>
    <s v="TN"/>
    <s v="India"/>
    <n v="4"/>
    <n v="0"/>
    <n v="3"/>
    <n v="3"/>
    <s v="Sun"/>
    <m/>
  </r>
  <r>
    <n v="487"/>
    <s v="Ramesh Brass Products"/>
    <x v="440"/>
    <n v="550"/>
    <s v="2015J LX"/>
    <m/>
    <d v="2016-06-10T00:00:00"/>
    <m/>
    <m/>
    <m/>
    <m/>
    <n v="3"/>
    <s v="Mr. Dipak Harwara"/>
    <m/>
    <s v="0288-2730730 / 9033426"/>
    <s v="Dared"/>
    <s v="Plot No.186, Near GI GIDC - II"/>
    <m/>
    <s v="Jamnagar"/>
    <n v="361004"/>
    <s v="GJ"/>
    <s v="India"/>
    <n v="5"/>
    <n v="4"/>
    <n v="0"/>
    <n v="1"/>
    <s v="Fri"/>
    <m/>
  </r>
  <r>
    <n v="488"/>
    <s v="CNC Autocom (Auto Com Engineers)"/>
    <x v="441"/>
    <n v="575"/>
    <s v="2015J LX"/>
    <m/>
    <d v="2016-06-14T00:00:00"/>
    <m/>
    <m/>
    <d v="2020-05-22T00:00:00"/>
    <d v="2021-05-21T00:00:00"/>
    <n v="3"/>
    <s v="Mr. Vivekanand V Nay"/>
    <s v="General Manage"/>
    <s v="080-41648586"/>
    <s v="Bommanahalli"/>
    <s v="No.6, Survey No.38 11th KM, Hosur Road"/>
    <m/>
    <s v="Bangalore"/>
    <n v="560068"/>
    <s v="KA"/>
    <s v="India"/>
    <n v="8"/>
    <n v="0"/>
    <n v="1"/>
    <n v="2"/>
    <s v="Sun"/>
    <m/>
  </r>
  <r>
    <n v="489"/>
    <s v="Interface Microsystems"/>
    <x v="442"/>
    <n v="576"/>
    <s v="2015J LX"/>
    <m/>
    <d v="2016-06-15T00:00:00"/>
    <m/>
    <m/>
    <d v="2022-09-16T00:00:00"/>
    <d v="2023-09-15T00:00:00"/>
    <n v="3"/>
    <s v="Mr. Gaurishankar Uniyal / Mr. Rakesh Ku"/>
    <m/>
    <s v="0124-4736964"/>
    <s v="Phase II"/>
    <s v="341-342,  Udyog Vihar"/>
    <m/>
    <s v="Gurgaon"/>
    <n v="122016"/>
    <s v="HR"/>
    <s v="India"/>
    <n v="1"/>
    <n v="1"/>
    <n v="1"/>
    <n v="1"/>
    <s v="Sun"/>
    <m/>
  </r>
  <r>
    <n v="490"/>
    <s v="Future Technologies"/>
    <x v="443"/>
    <n v="551"/>
    <s v="2015J LX"/>
    <m/>
    <d v="2016-06-17T00:00:00"/>
    <m/>
    <m/>
    <d v="2021-02-21T00:00:00"/>
    <d v="2022-02-20T00:00:00"/>
    <n v="3"/>
    <s v="Mr. Saravanan"/>
    <m/>
    <n v="9845876490"/>
    <s v="Kamakshipalya"/>
    <s v="135/B, 9th Cross Shiva Form, Magadi M"/>
    <m/>
    <s v="Bangalore"/>
    <n v="560079"/>
    <s v="KA"/>
    <s v="India"/>
    <n v="8"/>
    <n v="0"/>
    <n v="4"/>
    <n v="1"/>
    <s v="Sun"/>
    <m/>
  </r>
  <r>
    <n v="491"/>
    <s v="Automat Irrigation Pvt Ltd"/>
    <x v="444"/>
    <n v="558"/>
    <s v="4020J LX"/>
    <m/>
    <d v="2016-06-25T00:00:00"/>
    <m/>
    <m/>
    <d v="2021-11-01T00:00:00"/>
    <d v="2022-10-31T00:00:00"/>
    <n v="3"/>
    <s v="Mr. Kapil Saxena"/>
    <m/>
    <s v="01334-239468"/>
    <m/>
    <s v="Plot No.94, Sector 6 IIE Sidcul"/>
    <m/>
    <s v="Haridwar"/>
    <n v="249403"/>
    <s v="UK"/>
    <s v="India"/>
    <n v="1"/>
    <n v="0"/>
    <n v="4"/>
    <n v="2"/>
    <s v="Sun"/>
    <m/>
  </r>
  <r>
    <n v="492"/>
    <s v="Mindarika Pvt Ltd"/>
    <x v="445"/>
    <n v="577"/>
    <s v="2015J LX"/>
    <m/>
    <d v="2016-06-28T00:00:00"/>
    <m/>
    <m/>
    <d v="2025-10-01T00:00:00"/>
    <d v="2026-09-30T00:00:00"/>
    <n v="3"/>
    <s v="Mr. Rahul Yeole"/>
    <s v="Director"/>
    <n v="7756030590"/>
    <s v="Village Mahalunge"/>
    <s v="Gat No.427/10, 427/ Chakon, Talgaon Road"/>
    <m/>
    <s v="Pune"/>
    <n v="410501"/>
    <s v="MH"/>
    <s v="India"/>
    <n v="2"/>
    <n v="4"/>
    <n v="2"/>
    <n v="1"/>
    <s v="Thu"/>
    <m/>
  </r>
  <r>
    <n v="493"/>
    <s v="TopFlite Components Pvt Ltd"/>
    <x v="429"/>
    <n v="578"/>
    <s v="2015J LX"/>
    <m/>
    <d v="2016-07-02T00:00:00"/>
    <m/>
    <m/>
    <d v="2021-08-18T00:00:00"/>
    <d v="2022-08-17T00:00:00"/>
    <n v="3"/>
    <s v="Mr. Rachin Bhasi"/>
    <m/>
    <s v="0821-4245555 / 81059"/>
    <s v="Hebbal"/>
    <s v="268/B, Part 1 Hebbal Industrial are"/>
    <m/>
    <s v="Mysore"/>
    <n v="570018"/>
    <s v="KA"/>
    <s v="India"/>
    <n v="8"/>
    <n v="0"/>
    <n v="3"/>
    <n v="3"/>
    <s v="Sun"/>
    <m/>
  </r>
  <r>
    <n v="494"/>
    <s v="Bhullar Industries"/>
    <x v="446"/>
    <n v="581"/>
    <s v="2015J LX"/>
    <m/>
    <d v="2016-07-09T00:00:00"/>
    <m/>
    <m/>
    <m/>
    <m/>
    <n v="3"/>
    <s v="Mr. Gurucharan Singh Bhullar"/>
    <m/>
    <s v="0129-2276757"/>
    <m/>
    <s v="Plot no.31, Sector 27A"/>
    <m/>
    <s v="Faridabad"/>
    <n v="121003"/>
    <s v="HR"/>
    <s v="India"/>
    <n v="1"/>
    <n v="1"/>
    <n v="6"/>
    <n v="1"/>
    <s v="Sun"/>
    <m/>
  </r>
  <r>
    <n v="495"/>
    <s v="Recaero India Ltd"/>
    <x v="447"/>
    <n v="630"/>
    <s v="4020J LX"/>
    <m/>
    <d v="2016-07-27T00:00:00"/>
    <m/>
    <m/>
    <m/>
    <m/>
    <n v="3"/>
    <s v="Mr. Srinath"/>
    <m/>
    <n v="9620022250"/>
    <s v="Abbanakuppe"/>
    <s v="28 C, Bidadi Industrial Bidadi-Harohalli Main"/>
    <m/>
    <s v="Bangalore"/>
    <n v="562109"/>
    <s v="KA"/>
    <s v="India"/>
    <n v="8"/>
    <n v="0"/>
    <n v="3"/>
    <n v="2"/>
    <s v="Sun"/>
    <m/>
  </r>
  <r>
    <n v="496"/>
    <s v="Ajanta Ltd."/>
    <x v="448"/>
    <n v="583"/>
    <s v="2015J LX"/>
    <m/>
    <d v="2016-07-27T00:00:00"/>
    <m/>
    <m/>
    <m/>
    <m/>
    <n v="3"/>
    <s v="Mr. Vinayak Hegde"/>
    <m/>
    <s v="02822-391111"/>
    <m/>
    <s v="Orpat Industrial Area Rajkot-Morbi Highway"/>
    <m/>
    <s v="Morbi"/>
    <n v="363641"/>
    <s v="GJ"/>
    <s v="India"/>
    <n v="1"/>
    <n v="0"/>
    <n v="4"/>
    <n v="2"/>
    <s v="Sun"/>
    <m/>
  </r>
  <r>
    <n v="497"/>
    <s v="Yoshama and Company Pvt Ltd."/>
    <x v="449"/>
    <n v="579"/>
    <s v="2015J LX"/>
    <m/>
    <d v="2016-07-28T00:00:00"/>
    <m/>
    <m/>
    <m/>
    <m/>
    <n v="3"/>
    <s v="Mr.Vivek Bhat"/>
    <m/>
    <s v="080-23350025"/>
    <s v="Rajajinagar"/>
    <s v="6411, 3rd Cross SSI Area"/>
    <m/>
    <s v="Bangalore"/>
    <n v="560010"/>
    <s v="KA"/>
    <s v="India"/>
    <n v="8"/>
    <n v="0"/>
    <n v="4"/>
    <n v="1"/>
    <s v="Sun"/>
    <m/>
  </r>
  <r>
    <n v="498"/>
    <s v="JJ Glastronics Pvt Ltd"/>
    <x v="450"/>
    <n v="580"/>
    <s v="2015J LX"/>
    <m/>
    <d v="2016-08-11T00:00:00"/>
    <m/>
    <m/>
    <d v="2020-08-20T00:00:00"/>
    <d v="2021-08-19T00:00:00"/>
    <n v="3"/>
    <s v="Mr. Prakash"/>
    <m/>
    <s v="9731264612 / 080-28520"/>
    <m/>
    <s v="25A, Electronics City 18th KM, Hosur Road"/>
    <m/>
    <s v="Bangalore"/>
    <n v="560100"/>
    <s v="KA"/>
    <s v="India"/>
    <n v="8"/>
    <n v="0"/>
    <n v="1"/>
    <n v="1"/>
    <s v="Sun"/>
    <m/>
  </r>
  <r>
    <n v="499"/>
    <s v="Muviq India Power Transmission Pvt Ltd (Dayco Power Transmission Pvt Ltd)"/>
    <x v="451"/>
    <n v="584"/>
    <s v="2015J LX"/>
    <m/>
    <d v="2016-08-17T00:00:00"/>
    <m/>
    <m/>
    <d v="2025-07-28T00:00:00"/>
    <d v="2026-07-27T00:00:00"/>
    <n v="3"/>
    <s v="Mr. Naveen Kumar"/>
    <s v="Purchasing"/>
    <s v="0124-4845000 /  880089"/>
    <s v="IMT Manesar"/>
    <s v="Plot No.12 &amp; 13 Sector 6"/>
    <m/>
    <s v="Gurgaon"/>
    <n v="122052"/>
    <s v="HR"/>
    <s v="India"/>
    <n v="1"/>
    <n v="1"/>
    <n v="1"/>
    <n v="1"/>
    <s v="Sun"/>
    <m/>
  </r>
  <r>
    <n v="500"/>
    <s v="Panasonic Life Solns India Pvt Ltd (Anchor Electricals Pvt Ltd)"/>
    <x v="452"/>
    <n v="585"/>
    <s v="2015J LX"/>
    <m/>
    <d v="2016-08-24T00:00:00"/>
    <m/>
    <m/>
    <d v="2025-06-09T00:00:00"/>
    <d v="2026-06-08T00:00:00"/>
    <n v="3"/>
    <s v="Mr. Basant Prajapati"/>
    <m/>
    <s v="01334-325991 / 92 /93"/>
    <s v="SIDCUL, Ranipur"/>
    <s v="Plot No.4 Sector 11, IIE"/>
    <m/>
    <s v="Haridwar"/>
    <n v="249403"/>
    <s v="UK"/>
    <s v="India"/>
    <n v="1"/>
    <n v="0"/>
    <n v="4"/>
    <n v="2"/>
    <s v="Sun"/>
    <m/>
  </r>
  <r>
    <n v="501"/>
    <s v="Falcon Toolings"/>
    <x v="453"/>
    <n v="586"/>
    <s v="2015J LX"/>
    <m/>
    <d v="2016-08-25T00:00:00"/>
    <m/>
    <m/>
    <d v="2021-04-15T00:00:00"/>
    <d v="2022-04-14T00:00:00"/>
    <n v="3"/>
    <s v="Mr. Rajasekaran"/>
    <s v="COO"/>
    <s v="0422-6579614"/>
    <s v="Kalapatti"/>
    <s v="205/1 &amp;2, 207/1 Kuttai Thottam"/>
    <m/>
    <s v="Coimbatore"/>
    <n v="641048"/>
    <s v="TN"/>
    <s v="India"/>
    <n v="4"/>
    <n v="1"/>
    <n v="1"/>
    <n v="1"/>
    <s v="Sun"/>
    <m/>
  </r>
  <r>
    <n v="502"/>
    <s v="Bharat Electronics Ltd"/>
    <x v="454"/>
    <n v="560"/>
    <s v="4020J LX"/>
    <m/>
    <d v="2016-08-29T00:00:00"/>
    <m/>
    <m/>
    <d v="2024-09-01T00:00:00"/>
    <d v="2025-08-31T00:00:00"/>
    <n v="3"/>
    <s v="Mr. Vijayabaskar M"/>
    <s v="Head ET Purchas"/>
    <s v="080-28384167"/>
    <m/>
    <s v="IG Stores,Micro Wav Jalahalli PO"/>
    <m/>
    <s v="Bangalore"/>
    <n v="560013"/>
    <s v="KA"/>
    <s v="India"/>
    <n v="8"/>
    <n v="0"/>
    <n v="5"/>
    <n v="1"/>
    <s v="Sun"/>
    <m/>
  </r>
  <r>
    <n v="503"/>
    <s v="Vasantha Tool Crafts Pvt Ltd"/>
    <x v="455"/>
    <n v="600"/>
    <s v="4030J lX"/>
    <m/>
    <d v="2016-08-31T00:00:00"/>
    <m/>
    <m/>
    <d v="2021-10-13T00:00:00"/>
    <d v="2022-10-12T00:00:00"/>
    <n v="3"/>
    <s v="Mr.V Mahesh"/>
    <s v="Asst.Manager-Pu"/>
    <s v="040-44613333"/>
    <s v="Jeedimetla"/>
    <s v="7-24/2, Pipe Line Ro Subhash Nagar"/>
    <m/>
    <s v="Hyderabad,Telan"/>
    <n v="500055"/>
    <s v="AP"/>
    <s v="India"/>
    <n v="6"/>
    <n v="0"/>
    <n v="2"/>
    <n v="1"/>
    <s v="Sun"/>
    <m/>
  </r>
  <r>
    <n v="504"/>
    <s v="Ripple Technologies"/>
    <x v="456"/>
    <n v="582"/>
    <s v="2015J LX"/>
    <m/>
    <d v="2016-09-16T00:00:00"/>
    <m/>
    <m/>
    <d v="2020-08-05T00:00:00"/>
    <d v="2021-08-04T00:00:00"/>
    <n v="3"/>
    <s v="Mr. Harish"/>
    <m/>
    <m/>
    <s v="Peenya 4th Phase"/>
    <s v="19/2, Kempaiah Gar Next to 9th BMTC Bus"/>
    <m/>
    <s v="Bangalore"/>
    <n v="560058"/>
    <s v="KA"/>
    <s v="India"/>
    <n v="8"/>
    <n v="0"/>
    <n v="5"/>
    <n v="1"/>
    <s v="Sun"/>
    <m/>
  </r>
  <r>
    <n v="505"/>
    <s v="Minda Corporation Ltd"/>
    <x v="457"/>
    <n v="587"/>
    <s v="2015J LX"/>
    <m/>
    <d v="2016-09-24T00:00:00"/>
    <m/>
    <m/>
    <d v="2025-09-11T00:00:00"/>
    <d v="2026-09-10T00:00:00"/>
    <n v="3"/>
    <s v="Mr. Yogesh Dharurkar / Mr. Saurabh Aga"/>
    <m/>
    <s v="02135-661500 / 661400"/>
    <s v="Taluka khed"/>
    <s v="E-5/2, Chakan Indust Phase III, MIDC, Nanekarwadi"/>
    <m/>
    <s v="Pune"/>
    <n v="410501"/>
    <s v="MH"/>
    <s v="India"/>
    <n v="2"/>
    <n v="4"/>
    <n v="2"/>
    <n v="1"/>
    <s v="Thu"/>
    <m/>
  </r>
  <r>
    <n v="506"/>
    <s v="Ravi Plast Mold Pvt Ltd"/>
    <x v="458"/>
    <n v="564"/>
    <s v="4020J LX"/>
    <m/>
    <d v="2016-10-01T00:00:00"/>
    <m/>
    <m/>
    <d v="2023-03-24T00:00:00"/>
    <d v="2024-03-23T00:00:00"/>
    <n v="3"/>
    <s v="Mr. Jatin Shah"/>
    <m/>
    <s v="079-25840863/ 9327000"/>
    <s v="Ahmedabad"/>
    <s v="4003,Phase IV, GIDC Vatva"/>
    <m/>
    <s v="Ahmedabad"/>
    <n v="382445"/>
    <s v="GJ"/>
    <s v="India"/>
    <n v="5"/>
    <n v="0"/>
    <n v="1"/>
    <n v="1"/>
    <s v="Sun"/>
    <m/>
  </r>
  <r>
    <n v="507"/>
    <s v="Star Fabricators"/>
    <x v="459"/>
    <n v="588"/>
    <s v="20154J LX"/>
    <m/>
    <d v="2016-10-03T00:00:00"/>
    <m/>
    <m/>
    <d v="2021-07-12T00:00:00"/>
    <d v="2022-07-11T00:00:00"/>
    <n v="3"/>
    <m/>
    <m/>
    <s v="0257-2210054"/>
    <s v="Jalgaon"/>
    <s v="F-11, MIDC "/>
    <m/>
    <s v="Jalgaon"/>
    <n v="425003"/>
    <s v="MH"/>
    <s v="India"/>
    <n v="2"/>
    <n v="0"/>
    <n v="1"/>
    <n v="0"/>
    <s v="Sun"/>
    <m/>
  </r>
  <r>
    <n v="508"/>
    <s v="JSS Automotives"/>
    <x v="460"/>
    <n v="590"/>
    <s v="2015J LX"/>
    <m/>
    <d v="2016-10-14T00:00:00"/>
    <m/>
    <m/>
    <m/>
    <m/>
    <n v="3"/>
    <s v="Mr. Shashank Verma / Mr.Narinder Ver"/>
    <m/>
    <s v="m09990702000 / 0987157"/>
    <s v="Part II"/>
    <s v="Plot No.51/23,Gali N Basai Industrial Area"/>
    <m/>
    <s v="Gurgaon"/>
    <n v="122001"/>
    <s v="HR"/>
    <s v="India"/>
    <n v="1"/>
    <n v="1"/>
    <n v="1"/>
    <n v="1"/>
    <s v="Sun"/>
    <m/>
  </r>
  <r>
    <n v="509"/>
    <s v="JSS Automotive"/>
    <x v="461"/>
    <n v="591"/>
    <s v="2015J LX"/>
    <m/>
    <d v="2016-10-14T00:00:00"/>
    <m/>
    <m/>
    <m/>
    <m/>
    <n v="3"/>
    <s v="Mr. Shashank Verma / Mr.Narinder Ver"/>
    <m/>
    <s v="m09990702000 / 0987157"/>
    <s v="Alwar"/>
    <s v="G1-180B, Industrial Neemrana-II"/>
    <m/>
    <m/>
    <n v="401705"/>
    <s v="RJ"/>
    <s v="India"/>
    <n v="1"/>
    <n v="1"/>
    <n v="1"/>
    <n v="4"/>
    <s v="Sun"/>
    <m/>
  </r>
  <r>
    <n v="510"/>
    <s v="Sundaram Industries Pvt Ltd"/>
    <x v="462"/>
    <n v="559"/>
    <s v="4020J LX"/>
    <m/>
    <d v="2016-10-23T00:00:00"/>
    <m/>
    <m/>
    <d v="2021-10-01T00:00:00"/>
    <d v="2022-09-30T00:00:00"/>
    <n v="3"/>
    <s v="Mr. Suriyakumar"/>
    <m/>
    <s v="0452-4348888/ 2381531"/>
    <s v="Kochadai"/>
    <s v="Rubber Factory, Pos Usilampatti Road"/>
    <m/>
    <s v="Madurai"/>
    <n v="625016"/>
    <s v="TN"/>
    <s v="India"/>
    <n v="4"/>
    <n v="1"/>
    <n v="0"/>
    <n v="1"/>
    <s v="Sun"/>
    <m/>
  </r>
  <r>
    <n v="511"/>
    <s v="Pharma Tools"/>
    <x v="463"/>
    <n v="594"/>
    <s v="2015J LX"/>
    <m/>
    <d v="2016-10-28T00:00:00"/>
    <m/>
    <m/>
    <m/>
    <m/>
    <n v="3"/>
    <s v="Mr. Ratan Singhania"/>
    <m/>
    <s v="022-25786007"/>
    <s v="Vikhroli West"/>
    <s v="18, Fuyog Industrial LBS Marg"/>
    <m/>
    <s v="Mumbai"/>
    <n v="400083"/>
    <s v="MH"/>
    <s v="India"/>
    <n v="2"/>
    <n v="2"/>
    <n v="2"/>
    <n v="1"/>
    <s v="Sun"/>
    <m/>
  </r>
  <r>
    <n v="512"/>
    <s v="Image Labels Pvt Ltd"/>
    <x v="464"/>
    <n v="565"/>
    <s v="4020J LX"/>
    <m/>
    <d v="2016-11-09T00:00:00"/>
    <m/>
    <m/>
    <d v="2021-04-03T00:00:00"/>
    <d v="2022-04-02T00:00:00"/>
    <n v="3"/>
    <s v="Mr. Sujan Nailady "/>
    <s v="Director"/>
    <s v="080-2842 5555"/>
    <s v="Opp. Kanakapura Road"/>
    <s v="No.10 Vajrahalli"/>
    <m/>
    <s v="Bangalore"/>
    <n v="560062"/>
    <s v="KA"/>
    <s v="India"/>
    <n v="8"/>
    <n v="0"/>
    <n v="2"/>
    <n v="3"/>
    <s v="Sun"/>
    <m/>
  </r>
  <r>
    <n v="513"/>
    <s v="Haryana Plastics &amp; Engg Works"/>
    <x v="465"/>
    <n v="562"/>
    <s v="4020J LX"/>
    <m/>
    <d v="2016-11-12T00:00:00"/>
    <m/>
    <m/>
    <m/>
    <m/>
    <n v="3"/>
    <s v="Mr. R.K. Gupta/ Mr.Anish Gupta"/>
    <m/>
    <n v="9818060077"/>
    <s v="Phase-1"/>
    <s v="A-72 Naraina Industrial Area"/>
    <s v="Munshi Ram Gupta Marg"/>
    <s v="New Delhi"/>
    <n v="110028"/>
    <s v="ND"/>
    <s v="India"/>
    <n v="1"/>
    <n v="1"/>
    <n v="6"/>
    <n v="2"/>
    <s v="Sun"/>
    <m/>
  </r>
  <r>
    <n v="514"/>
    <s v="Poineer Tooling Services"/>
    <x v="466"/>
    <n v="445"/>
    <s v="2015J LX"/>
    <m/>
    <d v="2016-11-16T00:00:00"/>
    <m/>
    <m/>
    <d v="2022-02-08T00:00:00"/>
    <d v="2023-02-07T00:00:00"/>
    <n v="3"/>
    <s v="Mr. Anil Sangwan/ Mr. Ravi Mehta"/>
    <m/>
    <s v="0120-4212583"/>
    <s v="Phase-II Extension"/>
    <s v="D-89 Hosiery Complex"/>
    <m/>
    <s v="Noida"/>
    <n v="201305"/>
    <s v="UP"/>
    <s v="India"/>
    <n v="1"/>
    <n v="1"/>
    <n v="5"/>
    <n v="1"/>
    <s v="Sun"/>
    <m/>
  </r>
  <r>
    <n v="515"/>
    <s v="Rams Engg Industries"/>
    <x v="107"/>
    <n v="592"/>
    <s v="2015J LX"/>
    <m/>
    <d v="2016-11-25T00:00:00"/>
    <m/>
    <m/>
    <d v="2025-10-30T00:00:00"/>
    <d v="2026-10-29T00:00:00"/>
    <n v="3"/>
    <s v="Mr.Pradeep Ramakrishnan"/>
    <m/>
    <s v="044-26246523/ 26248323"/>
    <s v="Ambattur"/>
    <s v="Plot No. 25A/1/5 SIDCO Industrial Esta"/>
    <m/>
    <s v="Chennai"/>
    <n v="600098"/>
    <s v="TN"/>
    <s v="India"/>
    <n v="4"/>
    <n v="0"/>
    <n v="4"/>
    <n v="1"/>
    <s v="Sun"/>
    <m/>
  </r>
  <r>
    <n v="516"/>
    <s v="Laxmi Remote (India) Private Limited"/>
    <x v="467"/>
    <n v="593"/>
    <s v="2015J LX"/>
    <m/>
    <d v="2016-11-28T00:00:00"/>
    <m/>
    <m/>
    <d v="2021-09-25T00:00:00"/>
    <d v="2022-09-24T00:00:00"/>
    <n v="3"/>
    <s v="Mr. K.K.Tewary/ Mr.Dharmapal Bajaj"/>
    <m/>
    <n v="9718518403"/>
    <m/>
    <s v="B-201 Phase-II"/>
    <m/>
    <s v="Noida"/>
    <n v="201305"/>
    <s v="UP"/>
    <s v="India"/>
    <n v="1"/>
    <n v="1"/>
    <n v="5"/>
    <n v="1"/>
    <s v="Sun"/>
    <m/>
  </r>
  <r>
    <n v="517"/>
    <s v="Terminal Technologies P Ltd"/>
    <x v="468"/>
    <s v="not_filled"/>
    <m/>
    <m/>
    <d v="2016-12-06T00:00:00"/>
    <m/>
    <m/>
    <d v="2016-12-06T00:00:00"/>
    <d v="2018-12-05T00:00:00"/>
    <n v="3"/>
    <s v="Mr. C.A Anto"/>
    <s v="Director"/>
    <n v="9545455048"/>
    <s v="Merchant Industrial Complex"/>
    <s v="Building No.3 Terminal house"/>
    <s v="Valiv, Dist:Palghar"/>
    <s v="Vasai East"/>
    <n v="401208"/>
    <s v="MH"/>
    <s v="India"/>
    <n v="2"/>
    <n v="1"/>
    <n v="1"/>
    <n v="3"/>
    <s v="Sun"/>
    <m/>
  </r>
  <r>
    <n v="518"/>
    <s v="Terminal Technologies P Ltd"/>
    <x v="81"/>
    <n v="620"/>
    <s v="2015J LX"/>
    <m/>
    <d v="2016-12-06T00:00:00"/>
    <m/>
    <m/>
    <d v="2025-06-29T00:00:00"/>
    <d v="2026-06-28T00:00:00"/>
    <n v="3"/>
    <s v="Mr.Prashanth Bhosale"/>
    <s v="Plant-Head"/>
    <n v="9545455048"/>
    <s v="Mnanekarwadi Industrial area"/>
    <s v="Building No.1 &amp; 4 Ghat No.312/2, 3 &amp; 6"/>
    <s v="Chakan, Taq:Khed"/>
    <s v="Pune"/>
    <n v="410501"/>
    <s v="MH"/>
    <s v="India"/>
    <n v="2"/>
    <n v="4"/>
    <n v="2"/>
    <n v="1"/>
    <s v="Thu"/>
    <m/>
  </r>
  <r>
    <n v="519"/>
    <s v="Texmo Blank India Pvt Ltd (Texmo Precision Casting)"/>
    <x v="469"/>
    <n v="566"/>
    <s v="4020J LX"/>
    <m/>
    <d v="2016-12-07T00:00:00"/>
    <m/>
    <m/>
    <d v="2021-11-26T00:00:00"/>
    <d v="2022-11-25T00:00:00"/>
    <n v="3"/>
    <s v="Mr.Robert M Rozario "/>
    <s v="Manager Purchase"/>
    <s v="04259-660171/ 660146"/>
    <m/>
    <s v="Pollachi Road Kovilpalayam"/>
    <m/>
    <s v="Coimbatore"/>
    <n v="642110"/>
    <s v="TN"/>
    <s v="India"/>
    <n v="4"/>
    <n v="1"/>
    <n v="3"/>
    <n v="1"/>
    <s v="Sun"/>
    <m/>
  </r>
  <r>
    <n v="520"/>
    <s v="Prettl Electronics India Pvt Ltd"/>
    <x v="470"/>
    <n v="597"/>
    <s v="2015J LX"/>
    <m/>
    <d v="2016-12-17T00:00:00"/>
    <m/>
    <m/>
    <d v="2021-12-22T00:00:00"/>
    <d v="2022-12-21T00:00:00"/>
    <n v="3"/>
    <s v="Mr. Amit Pawar/ Mr.Sagar Giram"/>
    <s v="Purchase Dept"/>
    <n v="9765553185"/>
    <s v="Near Weik Field, Village Lonikand"/>
    <s v="Gat No.433 Shed No.1 &amp; 2"/>
    <s v="Taluk Haveli"/>
    <s v="Pune"/>
    <n v="412216"/>
    <s v="MH"/>
    <s v="India"/>
    <n v="2"/>
    <n v="1"/>
    <n v="1"/>
    <n v="3"/>
    <s v="Sun"/>
    <m/>
  </r>
  <r>
    <n v="521"/>
    <s v="CG Power &amp; Industrial soln Ltd (Crompton Greaves Ltd)"/>
    <x v="471"/>
    <n v="567"/>
    <s v="4020J LX"/>
    <m/>
    <d v="2016-12-17T00:00:00"/>
    <m/>
    <m/>
    <m/>
    <m/>
    <n v="3"/>
    <s v="Mr. Sagar M"/>
    <m/>
    <s v="0240-2554662"/>
    <s v="M.I.D.C"/>
    <s v="S6:Aurangabad: MFG Plant D-2"/>
    <s v="Waluj"/>
    <s v="Aurangabad"/>
    <n v="431136"/>
    <s v="MH"/>
    <s v="India"/>
    <n v="2"/>
    <n v="0"/>
    <n v="2"/>
    <n v="1"/>
    <s v="Sun"/>
    <m/>
  </r>
  <r>
    <n v="522"/>
    <s v="Mold-Masters Technologies Pvt Ltd"/>
    <x v="472"/>
    <n v="569"/>
    <s v="4020J LX"/>
    <m/>
    <d v="2016-12-18T00:00:00"/>
    <m/>
    <m/>
    <m/>
    <m/>
    <n v="3"/>
    <s v="Mr. Mobindas Mohandas"/>
    <m/>
    <s v="0422-4234888"/>
    <s v="Nallampalayam"/>
    <s v="3B Gandhiji Salai"/>
    <s v="Rathinapuri P.O"/>
    <s v="Coimbatore"/>
    <n v="641027"/>
    <s v="TN"/>
    <s v="India"/>
    <n v="4"/>
    <n v="1"/>
    <n v="6"/>
    <n v="1"/>
    <s v="Sun"/>
    <m/>
  </r>
  <r>
    <n v="523"/>
    <s v="Mega Rubber Technologies Pvt Ltd"/>
    <x v="473"/>
    <n v="598"/>
    <s v="2015J LX"/>
    <m/>
    <d v="2016-12-21T00:00:00"/>
    <m/>
    <m/>
    <m/>
    <m/>
    <n v="3"/>
    <s v="Mr. Arun Wankhede"/>
    <s v="Dy.Manager Quality"/>
    <s v="0250-6057500"/>
    <s v="Waliv"/>
    <s v="Building No.1 Agarwal Udyog Nagar"/>
    <s v="Vasai Road East"/>
    <s v="Thane"/>
    <n v="401208"/>
    <s v="MH"/>
    <s v="India"/>
    <n v="2"/>
    <n v="1"/>
    <n v="1"/>
    <n v="3"/>
    <s v="Sun"/>
    <m/>
  </r>
  <r>
    <n v="524"/>
    <s v="Precision Electricals"/>
    <x v="474"/>
    <n v="602"/>
    <s v="2015J LX"/>
    <m/>
    <d v="2016-12-23T00:00:00"/>
    <m/>
    <m/>
    <d v="2016-12-23T00:00:00"/>
    <d v="2017-12-22T00:00:00"/>
    <n v="3"/>
    <s v="Mr.Ravindra Pandey"/>
    <m/>
    <n v="9320497238"/>
    <s v="Navghar Road"/>
    <s v="No.2,3&amp;4 Choudary International Industrial Estate"/>
    <s v="Vasai East"/>
    <s v="Thane"/>
    <n v="401210"/>
    <s v="MH"/>
    <s v="India"/>
    <n v="2"/>
    <n v="1"/>
    <n v="1"/>
    <n v="3"/>
    <s v="Sun"/>
    <m/>
  </r>
  <r>
    <n v="525"/>
    <s v="Elvee Springs Pvt Ltd"/>
    <x v="475"/>
    <n v="589"/>
    <s v="2015J LX"/>
    <m/>
    <d v="2016-12-30T00:00:00"/>
    <m/>
    <m/>
    <d v="2021-12-28T00:00:00"/>
    <d v="2023-12-27T00:00:00"/>
    <n v="3"/>
    <s v="Mr. Prakash"/>
    <s v="Managing Directortor"/>
    <s v="080-23108193/ 23158131"/>
    <s v="Rajajinagar"/>
    <s v="Shed No. B-88/45/2 KSSIDC Industrial Estate"/>
    <m/>
    <s v="Bangalore"/>
    <n v="560010"/>
    <s v="KA"/>
    <s v="India"/>
    <n v="8"/>
    <n v="0"/>
    <n v="5"/>
    <n v="1"/>
    <s v="Sun"/>
    <m/>
  </r>
  <r>
    <n v="526"/>
    <s v="Vasantha Tool Crafts Pvt Ltd"/>
    <x v="455"/>
    <n v="601"/>
    <s v="4030J lX"/>
    <m/>
    <d v="2017-01-03T00:00:00"/>
    <m/>
    <m/>
    <d v="2025-02-14T00:00:00"/>
    <d v="2026-02-13T00:00:00"/>
    <n v="3"/>
    <s v="Mr. V Mahesh"/>
    <s v="Asst Mgr-Purchase"/>
    <s v="040-44693344"/>
    <s v="Balanagar"/>
    <s v="#33 &amp; 34 I.D.A"/>
    <m/>
    <s v="Hyderabad"/>
    <n v="500037"/>
    <s v="TS"/>
    <s v="India"/>
    <n v="6"/>
    <n v="0"/>
    <n v="2"/>
    <n v="1"/>
    <s v="Sun"/>
    <m/>
  </r>
  <r>
    <n v="527"/>
    <s v="Fair Field Engineers"/>
    <x v="476"/>
    <n v="605"/>
    <s v="2015J LX"/>
    <m/>
    <d v="2017-01-03T00:00:00"/>
    <m/>
    <m/>
    <d v="2017-01-03T00:00:00"/>
    <d v="2019-01-02T00:00:00"/>
    <n v="3"/>
    <s v="Mr. Divas Thakur"/>
    <m/>
    <n v="9811315740"/>
    <s v="Phase-1"/>
    <s v="A-16/5 DLF Industrial Area"/>
    <m/>
    <s v="Faridabad"/>
    <n v="121003"/>
    <s v="HR"/>
    <s v="India"/>
    <n v="1"/>
    <n v="1"/>
    <n v="6"/>
    <n v="1"/>
    <s v="Sun"/>
    <m/>
  </r>
  <r>
    <n v="528"/>
    <s v="Vivid Tool Crafts"/>
    <x v="477"/>
    <n v="570"/>
    <s v="4020J LX"/>
    <m/>
    <d v="2017-01-03T00:00:00"/>
    <m/>
    <m/>
    <d v="2017-01-03T00:00:00"/>
    <d v="2018-01-02T00:00:00"/>
    <n v="3"/>
    <s v="Mr. N. Ramesh"/>
    <s v="Managing Directortor"/>
    <s v="9493287497/ 9010202571"/>
    <s v="IDA"/>
    <s v="Plot No. 74/2 Phase-III"/>
    <s v="Jeedimetla"/>
    <s v="Hyderabad"/>
    <n v="500055"/>
    <s v="TS"/>
    <s v="India"/>
    <n v="6"/>
    <n v="0"/>
    <n v="2"/>
    <n v="1"/>
    <s v="Sun"/>
    <m/>
  </r>
  <r>
    <n v="529"/>
    <s v="The Suncad Training &amp; Designers"/>
    <x v="478"/>
    <n v="604"/>
    <s v="2015J LX"/>
    <m/>
    <d v="2017-01-05T00:00:00"/>
    <m/>
    <m/>
    <d v="2025-10-30T00:00:00"/>
    <d v="2026-10-29T00:00:00"/>
    <n v="3"/>
    <s v="Mr. Sandip Patel"/>
    <s v="CEO"/>
    <n v="9925023229"/>
    <s v="Nr.Krishnabaug Cross Road"/>
    <s v="#301-404 Siddapura-Complex"/>
    <s v="Maninagar"/>
    <s v="Ahmedabad"/>
    <n v="380008"/>
    <s v="GJ"/>
    <s v="India"/>
    <n v="5"/>
    <n v="0"/>
    <n v="1"/>
    <n v="1"/>
    <s v="Sun"/>
    <m/>
  </r>
  <r>
    <n v="530"/>
    <s v="Schneider Electric India Pvt Ltd (Larsen &amp; Toubro Limited) (H106)"/>
    <x v="479"/>
    <n v="606"/>
    <s v="2015J LX"/>
    <m/>
    <d v="2017-01-07T00:00:00"/>
    <m/>
    <m/>
    <m/>
    <m/>
    <n v="3"/>
    <s v="Mr. Ravikiran Mali / Mr. Asif Yusuf Mohammed"/>
    <m/>
    <s v="0241-6606164/ 2776221"/>
    <s v="A-9"/>
    <s v="ESP A Nagar Mfg Plant Ahmednagar Switchgear Works"/>
    <s v="MIDC"/>
    <s v="Ahmednagar"/>
    <n v="414111"/>
    <s v="MH"/>
    <s v="India"/>
    <n v="2"/>
    <n v="4"/>
    <n v="3"/>
    <n v="1"/>
    <s v="Thu"/>
    <m/>
  </r>
  <r>
    <n v="531"/>
    <s v="Mudra Engineers"/>
    <x v="480"/>
    <n v="571"/>
    <s v="4020J LX"/>
    <m/>
    <d v="2017-01-24T00:00:00"/>
    <m/>
    <m/>
    <d v="2020-03-11T00:00:00"/>
    <d v="2021-03-10T00:00:00"/>
    <n v="3"/>
    <s v="Mr. Karthik Patel"/>
    <m/>
    <n v="9426222940"/>
    <s v="GIDC"/>
    <s v="Plot No.2713 4th Phase"/>
    <s v="Wdhwan"/>
    <s v="Surendranagar"/>
    <n v="363035"/>
    <s v="GJ"/>
    <s v="India"/>
    <n v="5"/>
    <n v="0"/>
    <n v="1"/>
    <n v="1"/>
    <s v="Sun"/>
    <m/>
  </r>
  <r>
    <n v="532"/>
    <s v="SEKISUI DLJM Molding Pvt Ltd"/>
    <x v="481"/>
    <n v="573"/>
    <s v="4020J LX"/>
    <m/>
    <d v="2017-01-29T00:00:00"/>
    <m/>
    <m/>
    <d v="2021-10-19T00:00:00"/>
    <d v="2022-10-18T00:00:00"/>
    <n v="3"/>
    <s v="Mr. Kamalesh Sendri"/>
    <m/>
    <n v="9999988219"/>
    <m/>
    <s v="Plot No.237-240 &amp; 255-258 Ecotech-1 Extension"/>
    <m/>
    <s v="Greater Noida"/>
    <n v="201308"/>
    <s v="UP"/>
    <s v="India"/>
    <n v="1"/>
    <n v="1"/>
    <n v="5"/>
    <n v="2"/>
    <s v="Sun"/>
    <m/>
  </r>
  <r>
    <n v="533"/>
    <s v="Precision Technoplast Pvt Ltd"/>
    <x v="482"/>
    <n v="563"/>
    <s v="4020J LX"/>
    <m/>
    <d v="2017-02-01T00:00:00"/>
    <m/>
    <m/>
    <d v="2025-07-31T00:00:00"/>
    <d v="2026-07-30T00:00:00"/>
    <n v="3"/>
    <s v="Mr. Kamalesh Nawab"/>
    <m/>
    <n v="9327501122"/>
    <s v="Near Amarapali Cinema"/>
    <s v="23 Ambica Oil Mill Compound"/>
    <s v="O/s. Gomitpur Gate"/>
    <s v="Ahmedabad"/>
    <n v="382021"/>
    <s v="GJ"/>
    <s v="India"/>
    <n v="5"/>
    <n v="0"/>
    <n v="1"/>
    <n v="1"/>
    <s v="Sun"/>
    <m/>
  </r>
  <r>
    <n v="534"/>
    <s v="Maini Precision Products (P) Ltd."/>
    <x v="33"/>
    <n v="603"/>
    <s v="2015J LX"/>
    <m/>
    <d v="2017-02-09T00:00:00"/>
    <m/>
    <m/>
    <d v="2021-06-24T00:00:00"/>
    <d v="2022-06-23T00:00:00"/>
    <n v="3"/>
    <s v="Mr. Gopakumar G"/>
    <m/>
    <s v="080-40724700"/>
    <m/>
    <s v="No.5A Bommasandra Industrial Area"/>
    <m/>
    <s v="Bangalore"/>
    <n v="560099"/>
    <s v="KA"/>
    <s v="India"/>
    <n v="8"/>
    <n v="0"/>
    <n v="1"/>
    <n v="2"/>
    <s v="Sun"/>
    <m/>
  </r>
  <r>
    <n v="535"/>
    <s v="ABB Power products &amp; Systems India Ltd (ABB India Limited)"/>
    <x v="483"/>
    <n v="610"/>
    <s v="2015J LX"/>
    <m/>
    <d v="2017-02-13T00:00:00"/>
    <m/>
    <m/>
    <d v="2021-09-01T00:00:00"/>
    <d v="2022-08-31T00:00:00"/>
    <n v="3"/>
    <s v="Mr. Harisha PV"/>
    <s v="Supply Chain Management"/>
    <s v="080-22949435"/>
    <s v="Peenya Industrial area"/>
    <s v="Plot No. 5 &amp; 6 2nd Phase"/>
    <m/>
    <s v="Bangalore"/>
    <n v="560058"/>
    <s v="KA"/>
    <s v="India"/>
    <n v="8"/>
    <n v="0"/>
    <n v="5"/>
    <n v="1"/>
    <s v="Sun"/>
    <m/>
  </r>
  <r>
    <n v="536"/>
    <s v="CIM Tools Pvt Ltd"/>
    <x v="484"/>
    <n v="622"/>
    <s v="4020J LX"/>
    <m/>
    <d v="2017-02-13T00:00:00"/>
    <m/>
    <m/>
    <d v="2021-07-06T00:00:00"/>
    <d v="2022-07-05T00:00:00"/>
    <n v="3"/>
    <m/>
    <m/>
    <m/>
    <m/>
    <s v=" "/>
    <s v="Peenya"/>
    <s v="Bangalore"/>
    <n v="560058"/>
    <s v="KA"/>
    <s v="India"/>
    <n v="8"/>
    <n v="0"/>
    <n v="5"/>
    <n v="1"/>
    <s v="Sun"/>
    <m/>
  </r>
  <r>
    <n v="537"/>
    <s v="CIM Tools Pvt Ltd"/>
    <x v="485"/>
    <n v="568"/>
    <s v="4020J LX"/>
    <m/>
    <d v="2017-02-13T00:00:00"/>
    <m/>
    <m/>
    <d v="2021-02-05T00:00:00"/>
    <d v="2022-02-04T00:00:00"/>
    <n v="3"/>
    <s v="Mr. Avinash R J"/>
    <m/>
    <m/>
    <s v="K.I.A.D.B Industrial Area"/>
    <s v="#101, 102 &amp; 103 Bangalore Aerospace SEZ Park"/>
    <s v="Devanahalli Taluk"/>
    <s v="Bangalore"/>
    <n v="562110"/>
    <s v="KA"/>
    <s v="India"/>
    <n v="8"/>
    <n v="0"/>
    <n v="7"/>
    <n v="1"/>
    <s v="Sun"/>
    <m/>
  </r>
  <r>
    <n v="538"/>
    <s v="Dong Ah Electric India Pvt Ltd (Candid Micron)"/>
    <x v="486"/>
    <n v="572"/>
    <s v="4020J LX"/>
    <m/>
    <d v="2017-02-14T00:00:00"/>
    <m/>
    <m/>
    <d v="2021-03-03T00:00:00"/>
    <d v="2022-03-02T00:00:00"/>
    <n v="3"/>
    <s v="Mr. Vishwanath / Mr. Mohan Kumar"/>
    <s v="Managing Directortor"/>
    <n v="9786686611"/>
    <s v="Ganapathy Post"/>
    <s v="No.63 Athipalayam Road"/>
    <m/>
    <s v="Coimbatore"/>
    <n v="641006"/>
    <s v="TN "/>
    <s v="India"/>
    <n v="4"/>
    <n v="1"/>
    <n v="6"/>
    <n v="1"/>
    <s v="Sun"/>
    <m/>
  </r>
  <r>
    <n v="539"/>
    <s v="Concord United Products Pvt Ltd"/>
    <x v="487"/>
    <n v="614"/>
    <s v="2015J LX"/>
    <m/>
    <d v="2017-02-22T00:00:00"/>
    <m/>
    <m/>
    <d v="2017-02-22T00:00:00"/>
    <d v="2018-02-21T00:00:00"/>
    <n v="3"/>
    <s v="Mr. Manjunath M.L"/>
    <s v="Managing Directortor"/>
    <s v="080-41171317"/>
    <s v="1st stage,"/>
    <s v="A-157 3rd Cross"/>
    <s v="Peenya Industrial Estate"/>
    <s v="Bangalore"/>
    <n v="560058"/>
    <s v="KA"/>
    <s v="India"/>
    <n v="8"/>
    <n v="0"/>
    <n v="5"/>
    <n v="1"/>
    <s v="Sun"/>
    <m/>
  </r>
  <r>
    <n v="540"/>
    <s v="Brakes India Pvt Ltd"/>
    <x v="488"/>
    <n v="624"/>
    <s v="4020J LX"/>
    <m/>
    <d v="2017-02-23T00:00:00"/>
    <m/>
    <m/>
    <d v="2022-03-12T00:00:00"/>
    <d v="2023-03-11T00:00:00"/>
    <n v="3"/>
    <s v="Mr. Rane Mukesh"/>
    <m/>
    <s v="8238075161/ 8238075162"/>
    <s v="Jhagadia Industrial Estate"/>
    <s v="Plot No. 824/B GIDC"/>
    <s v="Bharuch Dist"/>
    <s v="Jhagadia"/>
    <n v="393110"/>
    <s v="GJ"/>
    <s v="India"/>
    <n v="5"/>
    <n v="1"/>
    <n v="3"/>
    <n v="1"/>
    <s v="Sun"/>
    <m/>
  </r>
  <r>
    <n v="541"/>
    <s v="Shoma Automation Pvt Ltd (Akuva Infotech Pvt Ltd)"/>
    <x v="489"/>
    <n v="532"/>
    <s v="4020J LX"/>
    <m/>
    <d v="2017-03-02T00:00:00"/>
    <m/>
    <m/>
    <d v="2017-03-02T00:00:00"/>
    <d v="2018-03-01T00:00:00"/>
    <n v="3"/>
    <s v="Ms. Sabitha"/>
    <m/>
    <n v="9740651048"/>
    <s v="2nd Stage"/>
    <s v="C-28 2nd Main  "/>
    <s v="Peenya Industrial Estate"/>
    <s v="Bangalore"/>
    <n v="560058"/>
    <s v="KA"/>
    <s v="India"/>
    <n v="8"/>
    <n v="0"/>
    <n v="5"/>
    <n v="1"/>
    <s v="Sun"/>
    <m/>
  </r>
  <r>
    <n v="542"/>
    <s v="Yeko Enterprises Pvt Ltd (Achutha Engg Pvt Ltd)"/>
    <x v="490"/>
    <n v="613"/>
    <s v="2015J LX"/>
    <m/>
    <d v="2017-03-02T00:00:00"/>
    <m/>
    <m/>
    <d v="2021-06-18T00:00:00"/>
    <d v="2022-06-17T00:00:00"/>
    <n v="3"/>
    <s v="Mr. G. Narayanan"/>
    <s v="Managing Directortor"/>
    <n v="9442282892"/>
    <m/>
    <s v="No. B-8A SIDCO Industrial Estate"/>
    <m/>
    <s v="Hosur"/>
    <n v="635126"/>
    <s v="TN"/>
    <s v="India"/>
    <n v="8"/>
    <n v="0"/>
    <n v="1"/>
    <n v="3"/>
    <s v="Sun"/>
    <m/>
  </r>
  <r>
    <n v="543"/>
    <s v="Kawasaki Manufacturing (I) Pvt Ltd (Arma Engg Pvt Ltd)"/>
    <x v="491"/>
    <n v="612"/>
    <s v="2015J LX"/>
    <m/>
    <d v="2017-03-07T00:00:00"/>
    <m/>
    <m/>
    <d v="2020-06-09T00:00:00"/>
    <d v="2021-06-08T00:00:00"/>
    <n v="3"/>
    <s v="Mr. S. Balasubramani"/>
    <s v="Manager- Purchase"/>
    <s v="080-23083700"/>
    <s v="2nd Phase"/>
    <s v="Plot No. 276-P2 &amp; 277-P2 Harohalli Industrial Area"/>
    <s v="Ramanagar Taluk"/>
    <s v="Bangalore"/>
    <n v="562112"/>
    <s v="KA"/>
    <s v="India"/>
    <n v="8"/>
    <n v="0"/>
    <n v="2"/>
    <n v="2"/>
    <s v="Sun"/>
    <m/>
  </r>
  <r>
    <n v="544"/>
    <s v="RR Enterprises "/>
    <x v="492"/>
    <n v="611"/>
    <s v="2015J LX"/>
    <m/>
    <d v="2017-03-11T00:00:00"/>
    <m/>
    <m/>
    <d v="2021-03-01T00:00:00"/>
    <d v="2022-02-28T00:00:00"/>
    <n v="3"/>
    <s v="Mr. Rohit Nainani"/>
    <m/>
    <s v="0251-2560636"/>
    <s v="Vithalwadi Station Road"/>
    <s v="Reliance Industrial Estate Gala No. 17,18, 27 &amp; 28"/>
    <s v="Ulhasnagar"/>
    <s v="Thane"/>
    <n v="421003"/>
    <s v="MH"/>
    <s v="India"/>
    <n v="2"/>
    <n v="2"/>
    <n v="2"/>
    <n v="2"/>
    <s v="Sun"/>
    <m/>
  </r>
  <r>
    <n v="545"/>
    <s v="HPL Electric &amp; Power Ltd"/>
    <x v="493"/>
    <n v="615"/>
    <s v="2015J LX"/>
    <m/>
    <d v="2017-03-15T00:00:00"/>
    <m/>
    <m/>
    <d v="2025-08-26T00:00:00"/>
    <d v="2026-08-25T00:00:00"/>
    <n v="3"/>
    <s v="Mr. Rajiv Hazarika"/>
    <m/>
    <n v="9678085866"/>
    <s v="Pachim Boragaon"/>
    <s v="Ward No.6 Jalakbari"/>
    <s v="Dist: Kamrup"/>
    <s v="Gawahati"/>
    <n v="781033"/>
    <s v="HP"/>
    <s v="India"/>
    <n v="1"/>
    <n v="3"/>
    <n v="1"/>
    <n v="3"/>
    <s v="Sun"/>
    <m/>
  </r>
  <r>
    <n v="546"/>
    <s v="Toyota Boshoku Automotive India (P) Ltd"/>
    <x v="494"/>
    <n v="625"/>
    <s v="4030J lX"/>
    <m/>
    <d v="2017-03-15T00:00:00"/>
    <m/>
    <m/>
    <d v="2021-11-24T00:00:00"/>
    <d v="2022-11-23T00:00:00"/>
    <n v="3"/>
    <s v="Mr. Sathvik D R"/>
    <s v="Officer Purchase"/>
    <s v="04344-251400/ 500"/>
    <s v="NallaganganakothapalliVillage, Shoolagiri Block"/>
    <s v="Survey No. 227/2M Gundukurukki Road"/>
    <s v="Hosur Taluk"/>
    <s v="Krishnagiri"/>
    <n v="635117"/>
    <s v="TN"/>
    <s v="India"/>
    <n v="8"/>
    <n v="0"/>
    <n v="1"/>
    <n v="3"/>
    <s v="Sun"/>
    <m/>
  </r>
  <r>
    <n v="547"/>
    <s v="Motherson Sumi System Limited"/>
    <x v="495"/>
    <n v="608"/>
    <s v="2015J LX"/>
    <m/>
    <d v="2017-03-17T00:00:00"/>
    <m/>
    <m/>
    <d v="2017-03-17T00:00:00"/>
    <d v="2018-03-16T00:00:00"/>
    <n v="3"/>
    <s v="Mr. Rajanna"/>
    <m/>
    <m/>
    <s v="1st Phase"/>
    <s v="14 KIADB Industrial Area"/>
    <s v="Mysore Road, Kumbalgodu"/>
    <s v="Bangalore"/>
    <n v="560074"/>
    <s v="KA"/>
    <s v="India"/>
    <n v="8"/>
    <n v="0"/>
    <n v="3"/>
    <n v="2"/>
    <s v="Sun"/>
    <m/>
  </r>
  <r>
    <n v="548"/>
    <s v="Roots Industries (Candid Micron)"/>
    <x v="496"/>
    <n v="626"/>
    <s v="4020J LX"/>
    <m/>
    <d v="2017-03-23T00:00:00"/>
    <m/>
    <m/>
    <d v="2017-03-23T00:00:00"/>
    <d v="2018-03-22T00:00:00"/>
    <n v="3"/>
    <s v="Mr. Vishwanath / Mr. Mohan Kumar"/>
    <n v="9786686611"/>
    <s v="No.63"/>
    <m/>
    <s v="Athipalayam Road Ganapathy Post"/>
    <m/>
    <s v="Coimbatore"/>
    <n v="641006"/>
    <s v="KA"/>
    <s v="India"/>
    <n v="4"/>
    <n v="1"/>
    <n v="6"/>
    <n v="1"/>
    <s v="Sun"/>
    <m/>
  </r>
  <r>
    <n v="549"/>
    <s v="Accurate Manufacturing Company"/>
    <x v="497"/>
    <n v="616"/>
    <s v="4020J LX"/>
    <m/>
    <d v="2017-03-21T00:00:00"/>
    <m/>
    <m/>
    <d v="2018-02-08T00:00:00"/>
    <d v="2019-02-07T00:00:00"/>
    <n v="3"/>
    <s v="Mr. Shankar.V"/>
    <m/>
    <s v="080-25520076"/>
    <s v="Madivala"/>
    <s v="#322/2 Hosur Main Road"/>
    <m/>
    <s v="Bangalore"/>
    <n v="560068"/>
    <s v="KA"/>
    <s v="India"/>
    <n v="8"/>
    <n v="0"/>
    <n v="1"/>
    <n v="2"/>
    <s v="Sun"/>
    <m/>
  </r>
  <r>
    <n v="550"/>
    <s v="Spaco Technologies (India) Pvt Ltd"/>
    <x v="498"/>
    <n v="607"/>
    <s v="2015J LX"/>
    <m/>
    <d v="2017-03-22T00:00:00"/>
    <m/>
    <m/>
    <d v="2021-06-22T00:00:00"/>
    <d v="2022-06-21T00:00:00"/>
    <n v="3"/>
    <s v="Mr. S.P Jagtap "/>
    <s v="Jr.Mgr Materials"/>
    <s v="020-27476532/4633/ 2176-77"/>
    <s v="Chinchwad"/>
    <s v="D-2/62 M.I.D.C"/>
    <m/>
    <s v="Pune"/>
    <n v="411019"/>
    <s v="MH"/>
    <s v="India"/>
    <n v="2"/>
    <n v="4"/>
    <n v="2"/>
    <n v="1"/>
    <s v="Thu"/>
    <m/>
  </r>
  <r>
    <n v="551"/>
    <s v="Ashwani Metals Pvt Ltd"/>
    <x v="499"/>
    <n v="618"/>
    <s v="2015J LX"/>
    <m/>
    <d v="2017-03-23T00:00:00"/>
    <m/>
    <m/>
    <d v="2022-04-16T00:00:00"/>
    <d v="2023-04-15T00:00:00"/>
    <n v="3"/>
    <s v="Mr. Divyesh Vadi/ Mr.Pintu Sinojiya"/>
    <m/>
    <n v="9428729435"/>
    <s v="Phase-II"/>
    <s v="Plot No.17 GIDC"/>
    <s v="Dared"/>
    <s v="Jamnagar"/>
    <n v="361004"/>
    <s v="GJ"/>
    <s v="India"/>
    <n v="5"/>
    <n v="4"/>
    <n v="0"/>
    <n v="1"/>
    <s v="Fri"/>
    <m/>
  </r>
  <r>
    <n v="552"/>
    <s v="Hyo Seong Electric India Pvt Ltd (Candid Micron)"/>
    <x v="500"/>
    <n v="619"/>
    <s v="2015J LX"/>
    <m/>
    <d v="2017-03-18T00:00:00"/>
    <m/>
    <m/>
    <d v="2020-08-14T00:00:00"/>
    <d v="2021-08-13T00:00:00"/>
    <n v="3"/>
    <s v="Mr Vishwathan/ Mr. Mohankumar.S"/>
    <m/>
    <n v="9786686611"/>
    <s v="Ganapathy Post"/>
    <s v="No.63 Athipalayam Road"/>
    <m/>
    <s v="Coimbatore"/>
    <n v="641006"/>
    <s v="TN"/>
    <s v="India"/>
    <n v="4"/>
    <n v="1"/>
    <n v="6"/>
    <n v="1"/>
    <s v="Sun"/>
    <m/>
  </r>
  <r>
    <n v="553"/>
    <s v="K K Precision Components"/>
    <x v="501"/>
    <n v="574"/>
    <s v="4020J LX"/>
    <m/>
    <d v="2017-03-25T00:00:00"/>
    <m/>
    <m/>
    <d v="2021-08-14T00:00:00"/>
    <d v="2022-08-13T00:00:00"/>
    <n v="3"/>
    <s v="Mr. Umamaheswaran"/>
    <m/>
    <s v="044-26880049"/>
    <s v="Nageshwararao Road"/>
    <s v="No.205/2 Sri Ganesh Street"/>
    <s v="Athipet, Ambattur"/>
    <s v="Chennai"/>
    <n v="600058"/>
    <s v="TN"/>
    <s v="India"/>
    <n v="4"/>
    <n v="0"/>
    <n v="4"/>
    <n v="1"/>
    <s v="Sun"/>
    <m/>
  </r>
  <r>
    <n v="554"/>
    <s v="Helvoet Rubber &amp; Plastic Technologies (I) Pvt Ltd"/>
    <x v="502"/>
    <n v="627"/>
    <s v="4020J LX"/>
    <m/>
    <d v="2017-03-27T00:00:00"/>
    <m/>
    <m/>
    <d v="2025-03-20T00:00:00"/>
    <d v="2026-03-19T00:00:00"/>
    <n v="3"/>
    <s v="Mr. Sukrit P. Shaligram/ Mr.Satish Sinde"/>
    <m/>
    <s v="020-39284426/ 39284000"/>
    <s v="Village Mouje Kadamwakwasti"/>
    <s v="EOU Gat No.125, Hissa No.B"/>
    <s v="Loni Kalbhor"/>
    <s v="Pune"/>
    <n v="412201"/>
    <s v="MH"/>
    <s v="India"/>
    <n v="2"/>
    <n v="4"/>
    <n v="4"/>
    <n v="1"/>
    <s v="Thu"/>
    <m/>
  </r>
  <r>
    <n v="555"/>
    <s v="Indian Air Force (3BRD) (Sesha Tools Pvt Ltd)"/>
    <x v="503"/>
    <n v="617"/>
    <s v="2015J LX"/>
    <m/>
    <d v="2017-04-04T00:00:00"/>
    <m/>
    <m/>
    <d v="2019-09-18T00:00:00"/>
    <d v="2020-09-17T00:00:00"/>
    <n v="3"/>
    <m/>
    <m/>
    <m/>
    <m/>
    <s v="3 BRD Air Force Station"/>
    <m/>
    <s v="Chandigarh"/>
    <n v="160003"/>
    <s v="CH"/>
    <s v="India"/>
    <n v="1"/>
    <n v="3"/>
    <n v="3"/>
    <n v="4"/>
    <s v="Sun"/>
    <m/>
  </r>
  <r>
    <n v="556"/>
    <s v="Jay Jalaram Industries"/>
    <x v="504"/>
    <n v="651"/>
    <s v="2015J LX"/>
    <m/>
    <d v="2017-04-17T00:00:00"/>
    <m/>
    <m/>
    <d v="2022-04-15T00:00:00"/>
    <d v="2023-04-14T00:00:00"/>
    <n v="3"/>
    <s v="Mr. Darshan Patel/ Mr.Rakesh Patel"/>
    <m/>
    <s v="02827-287825"/>
    <s v="Plot No.G 1452 &amp; 53"/>
    <s v="Almighty Gate-2 Road No-D"/>
    <s v="Lodhika G.I.D.C, Metoda"/>
    <s v="Rajkot"/>
    <n v="360021"/>
    <s v="GJ"/>
    <s v="India"/>
    <n v="5"/>
    <n v="3"/>
    <n v="0"/>
    <n v="1"/>
    <s v="Wed"/>
    <m/>
  </r>
  <r>
    <n v="557"/>
    <s v="Racer Tooling Industries"/>
    <x v="505"/>
    <n v="629"/>
    <s v="4020J LX"/>
    <m/>
    <d v="2017-04-18T00:00:00"/>
    <m/>
    <m/>
    <d v="2025-05-12T00:00:00"/>
    <d v="2026-05-11T00:00:00"/>
    <n v="3"/>
    <s v="Mr. Madan"/>
    <m/>
    <n v="8056364345"/>
    <s v="Venkatapuram"/>
    <s v="2/630-A Perumal Kovil Thottam"/>
    <m/>
    <s v="Coimbatore"/>
    <n v="641062"/>
    <s v="TN"/>
    <s v="India"/>
    <n v="4"/>
    <n v="1"/>
    <n v="1"/>
    <n v="2"/>
    <s v="Sun"/>
    <m/>
  </r>
  <r>
    <n v="558"/>
    <s v="VMX Connectors Pvt Ltd"/>
    <x v="506"/>
    <n v="653"/>
    <s v="2015J LX"/>
    <m/>
    <d v="2017-04-24T00:00:00"/>
    <m/>
    <m/>
    <d v="2021-09-23T00:00:00"/>
    <d v="2022-09-22T00:00:00"/>
    <n v="3"/>
    <s v="Mr. Dhananjaya"/>
    <m/>
    <n v="9341232611"/>
    <s v="Harohalli Industrial Area"/>
    <s v="Plot No. 302/B 2nd Phase"/>
    <s v="Bannikuppe Road"/>
    <s v="Kanakapura"/>
    <n v="562112"/>
    <s v="KA"/>
    <s v="India"/>
    <n v="8"/>
    <n v="0"/>
    <n v="2"/>
    <n v="3"/>
    <s v="Sun"/>
    <m/>
  </r>
  <r>
    <n v="559"/>
    <s v="Addison &amp; Co. Ltd"/>
    <x v="507"/>
    <n v="621"/>
    <s v="2015J LX"/>
    <m/>
    <d v="2017-05-05T00:00:00"/>
    <m/>
    <m/>
    <d v="2021-03-02T00:00:00"/>
    <d v="2022-03-01T00:00:00"/>
    <n v="3"/>
    <s v="Mr. Mohamed Ziavudeen"/>
    <s v="Manager-Quality"/>
    <s v="044-37180006/9"/>
    <m/>
    <s v="F65B SIPCOT Industrial Park"/>
    <m/>
    <s v="Irungattukottai"/>
    <n v="602117"/>
    <s v="TN"/>
    <s v="India"/>
    <n v="4"/>
    <n v="0"/>
    <n v="3"/>
    <n v="1"/>
    <s v="Sun"/>
    <m/>
  </r>
  <r>
    <n v="560"/>
    <s v="Maxop Engg Co. Pvt Ltd"/>
    <x v="508"/>
    <n v="561"/>
    <s v="4020J LX"/>
    <m/>
    <d v="2017-05-20T00:00:00"/>
    <m/>
    <m/>
    <d v="2025-08-21T00:00:00"/>
    <d v="2026-08-20T00:00:00"/>
    <n v="3"/>
    <s v="Mr. Naveen Sharma"/>
    <m/>
    <s v="0124-2655600-03 &amp; 06"/>
    <s v="IMT Manesar"/>
    <s v="Plot No.405 Sector-7"/>
    <m/>
    <s v="Gurgoan"/>
    <n v="122050"/>
    <s v="HR"/>
    <s v="India"/>
    <n v="1"/>
    <n v="1"/>
    <n v="1"/>
    <n v="1"/>
    <s v="Sun"/>
    <m/>
  </r>
  <r>
    <n v="561"/>
    <s v="Napino Auto &amp; Electronics Ltd"/>
    <x v="509"/>
    <n v="596"/>
    <s v="2015J LX"/>
    <m/>
    <d v="2017-05-24T00:00:00"/>
    <m/>
    <m/>
    <d v="2025-07-20T00:00:00"/>
    <d v="2026-07-19T00:00:00"/>
    <n v="3"/>
    <s v="Mr. Vineet Thyagi"/>
    <m/>
    <s v="01224-4177200/ 2290050-53"/>
    <s v="Khuskhera"/>
    <s v="Plot No.G1-495 RIICO Industrial Area"/>
    <s v="Bhiwadi"/>
    <s v="Alwar"/>
    <n v="301019"/>
    <s v="RJ"/>
    <s v="India"/>
    <n v="1"/>
    <n v="1"/>
    <n v="1"/>
    <n v="4"/>
    <s v="Sun"/>
    <m/>
  </r>
  <r>
    <n v="562"/>
    <s v="SLS Tools Company (Konarak Industries Pvt Ltd)"/>
    <x v="510"/>
    <n v="652"/>
    <s v="2015J LX"/>
    <m/>
    <d v="2017-05-24T00:00:00"/>
    <m/>
    <m/>
    <d v="2021-12-12T00:00:00"/>
    <d v="2022-12-11T00:00:00"/>
    <n v="3"/>
    <s v="Mr. Srinivasa Murthy"/>
    <s v="Purchase Officer"/>
    <s v="080-26713151/ 26714674"/>
    <s v="Kuvempu Nagar"/>
    <s v="Sy No.38/1, 9th Cross Vasanthpura"/>
    <s v="Doddakallasandra"/>
    <s v="Bangalore"/>
    <n v="560061"/>
    <s v="KA"/>
    <s v="India"/>
    <n v="8"/>
    <n v="0"/>
    <n v="1"/>
    <n v="2"/>
    <s v="Sun"/>
    <m/>
  </r>
  <r>
    <n v="563"/>
    <s v="Ferrero India Pvt Ltd (IMSOFER Division)"/>
    <x v="511"/>
    <n v="654"/>
    <s v="2015J LX"/>
    <m/>
    <d v="2017-06-01T00:00:00"/>
    <m/>
    <m/>
    <d v="2017-06-01T00:00:00"/>
    <d v="2018-05-31T00:00:00"/>
    <n v="3"/>
    <s v="Mr. Narayan Jahagirdar"/>
    <m/>
    <s v="02112-662200/662330 /662100"/>
    <s v="Baramati"/>
    <s v="Plot No. F-13 M.I.D.C"/>
    <m/>
    <s v="Pune"/>
    <n v="413133"/>
    <s v="MH"/>
    <s v="India"/>
    <n v="2"/>
    <n v="4"/>
    <n v="1"/>
    <n v="1"/>
    <s v="Thu "/>
    <m/>
  </r>
  <r>
    <n v="564"/>
    <s v="Solutec Industries (I) Pvt Ltd"/>
    <x v="512"/>
    <n v="656"/>
    <s v="2015J LX"/>
    <m/>
    <d v="2017-06-12T00:00:00"/>
    <m/>
    <m/>
    <d v="2019-07-17T00:00:00"/>
    <d v="2021-07-16T00:00:00"/>
    <n v="3"/>
    <s v="Mr. Bhaskar /Mr. Sanjay Bhapkar"/>
    <m/>
    <s v="020-64107304"/>
    <s v="Tukaram Nagar"/>
    <s v="Survey No. 10/1 Ganapathi Hsg Society"/>
    <s v="Lane No.4, Kharadi"/>
    <s v="Pune"/>
    <n v="411014"/>
    <s v="MH"/>
    <s v="India"/>
    <n v="2"/>
    <n v="4"/>
    <n v="4"/>
    <n v="1"/>
    <s v="Thu"/>
    <m/>
  </r>
  <r>
    <n v="565"/>
    <s v="Unnathi CNC Technologies Pvt Ltd"/>
    <x v="513"/>
    <n v="650"/>
    <s v="2015J LX"/>
    <m/>
    <d v="2017-06-12T00:00:00"/>
    <m/>
    <m/>
    <d v="2021-08-04T00:00:00"/>
    <d v="2022-08-03T00:00:00"/>
    <n v="3"/>
    <s v="Mr. Madhu K S"/>
    <s v="Director"/>
    <s v="080-28360478"/>
    <s v="13th Cross, 4th Phase"/>
    <s v="No.487 D1 &amp; D2"/>
    <s v="Peenya Industrial area"/>
    <s v="Bangalore"/>
    <n v="560058"/>
    <s v="KA"/>
    <s v="India"/>
    <n v="8"/>
    <n v="0"/>
    <n v="5"/>
    <n v="1"/>
    <s v="Sun"/>
    <m/>
  </r>
  <r>
    <n v="566"/>
    <s v="Mehta Engineers Limited"/>
    <x v="514"/>
    <n v="631"/>
    <s v="4020J LX"/>
    <m/>
    <d v="2017-06-16T00:00:00"/>
    <m/>
    <m/>
    <d v="2017-06-16T00:00:00"/>
    <d v="2019-06-15T00:00:00"/>
    <n v="3"/>
    <s v="Mr.Gurmeet Singh"/>
    <m/>
    <n v="9781910787"/>
    <s v="Focal Point"/>
    <s v="D-118-119 Phase-V"/>
    <m/>
    <s v="Ludhiana"/>
    <n v="141010"/>
    <s v="PB"/>
    <s v="India"/>
    <n v="1"/>
    <n v="3"/>
    <n v="3"/>
    <n v="5"/>
    <s v="Sun"/>
    <m/>
  </r>
  <r>
    <n v="567"/>
    <s v=" JJG Aero Pvt Ltd (J.J. Glastronics Pvt Ltd)"/>
    <x v="515"/>
    <n v="632"/>
    <s v="4020J LX"/>
    <m/>
    <d v="2017-07-12T00:00:00"/>
    <m/>
    <m/>
    <d v="2022-06-06T00:00:00"/>
    <d v="2023-06-05T00:00:00"/>
    <n v="3"/>
    <m/>
    <m/>
    <m/>
    <s v="18th K.M"/>
    <s v="25 'A' Electronics City"/>
    <s v="Hosur Road"/>
    <s v="Banggalore"/>
    <n v="560100"/>
    <s v="KA"/>
    <s v="India"/>
    <n v="8"/>
    <n v="0"/>
    <n v="1"/>
    <n v="1"/>
    <s v="Sun"/>
    <m/>
  </r>
  <r>
    <n v="568"/>
    <s v="Autoliv India Pvt Ltd"/>
    <x v="516"/>
    <n v="633"/>
    <s v="4020J LX"/>
    <m/>
    <d v="2017-07-14T00:00:00"/>
    <m/>
    <m/>
    <d v="2022-02-01T00:00:00"/>
    <d v="2023-01-31T00:00:00"/>
    <n v="3"/>
    <s v="Mr. Anantha Ramu"/>
    <m/>
    <n v="9845833680"/>
    <s v="Doddalluru Gram Panchayat"/>
    <s v="Sy No.80/3 Chokkalli Village"/>
    <s v="Hoskote Industrial"/>
    <s v="Bangalore"/>
    <n v="562114"/>
    <s v="KA"/>
    <s v="India"/>
    <n v="8"/>
    <n v="0"/>
    <n v="7"/>
    <n v="1"/>
    <s v="Sun"/>
    <m/>
  </r>
  <r>
    <n v="569"/>
    <s v="Saro Technologies"/>
    <x v="517"/>
    <n v="599"/>
    <s v="2015J LX"/>
    <m/>
    <d v="2017-07-14T00:00:00"/>
    <m/>
    <m/>
    <d v="2017-07-14T00:00:00"/>
    <d v="2018-07-13T00:00:00"/>
    <n v="3"/>
    <s v="Mr. Veeramani Elongavan"/>
    <s v="Proprietor"/>
    <n v="9962040042"/>
    <s v="Tass Industrial Estate"/>
    <s v="No.62A Mahatma Gandhi Main Road"/>
    <s v="Ambattur"/>
    <s v="Chennai"/>
    <n v="600098"/>
    <s v="TN"/>
    <s v="India"/>
    <n v="4"/>
    <n v="0"/>
    <n v="4"/>
    <n v="1"/>
    <s v="Sun"/>
    <m/>
  </r>
  <r>
    <n v="570"/>
    <s v="Valli Industries"/>
    <x v="518"/>
    <n v="655"/>
    <s v="2015J LX"/>
    <m/>
    <d v="2017-07-19T00:00:00"/>
    <m/>
    <m/>
    <d v="2021-08-06T00:00:00"/>
    <d v="2022-08-05T00:00:00"/>
    <n v="3"/>
    <m/>
    <m/>
    <m/>
    <s v="Chinna Elasagiri"/>
    <s v="Plot No.17 Kamaraj Nagar"/>
    <m/>
    <s v="Hosur"/>
    <n v="635126"/>
    <s v="TN"/>
    <s v="India"/>
    <n v="8"/>
    <n v="0"/>
    <n v="1"/>
    <n v="3"/>
    <s v="Sun"/>
    <m/>
  </r>
  <r>
    <n v="571"/>
    <s v="British Engines India Pvt Ltd"/>
    <x v="519"/>
    <n v="657"/>
    <s v="2015J LX"/>
    <m/>
    <d v="2017-08-17T00:00:00"/>
    <m/>
    <m/>
    <d v="2021-07-09T00:00:00"/>
    <d v="2022-07-08T00:00:00"/>
    <n v="3"/>
    <s v="Mr. Parthasarathi. G"/>
    <s v="Sr.Engineer (STD Room)"/>
    <m/>
    <m/>
    <s v="#6A Attibele Industrial Area"/>
    <s v="Anekal Taluk"/>
    <s v="Bangalore"/>
    <n v="562107"/>
    <s v="KA"/>
    <s v="India"/>
    <n v="8"/>
    <n v="0"/>
    <n v="1"/>
    <n v="2"/>
    <s v="Sun"/>
    <m/>
  </r>
  <r>
    <n v="572"/>
    <s v="Divine Toolings"/>
    <x v="520"/>
    <n v="638"/>
    <s v="4020J LX"/>
    <m/>
    <d v="2017-08-29T00:00:00"/>
    <m/>
    <m/>
    <d v="2020-12-27T00:00:00"/>
    <d v="2021-12-26T00:00:00"/>
    <n v="3"/>
    <m/>
    <m/>
    <m/>
    <s v="Bhosari"/>
    <s v="J-259 M.I.D.C"/>
    <m/>
    <s v="Pune"/>
    <n v="411026"/>
    <s v="MH"/>
    <s v="India"/>
    <n v="2"/>
    <n v="4"/>
    <n v="1"/>
    <n v="1"/>
    <s v="Thu "/>
    <m/>
  </r>
  <r>
    <n v="573"/>
    <s v="Bosch limited"/>
    <x v="13"/>
    <n v="639"/>
    <s v="4020J LX"/>
    <m/>
    <d v="2017-08-25T00:00:00"/>
    <m/>
    <m/>
    <d v="2021-08-05T00:00:00"/>
    <d v="2022-08-04T00:00:00"/>
    <n v="3"/>
    <s v="Mr. Hariharan.A/ Mr. Rajeev T K"/>
    <m/>
    <m/>
    <s v="P.O Box No.6887"/>
    <s v="Dept: RBIN/ BSV1 Naganathpura Plant"/>
    <s v="Electronic City Post"/>
    <s v="Bangalore"/>
    <n v="560100"/>
    <s v="KA"/>
    <s v="India"/>
    <n v="8"/>
    <n v="0"/>
    <n v="1"/>
    <n v="1"/>
    <s v="Sun"/>
    <m/>
  </r>
  <r>
    <n v="574"/>
    <s v="Mangal Industries Limited"/>
    <x v="521"/>
    <n v="681"/>
    <s v="4030J lX"/>
    <m/>
    <d v="2017-09-01T00:00:00"/>
    <m/>
    <m/>
    <d v="2021-07-03T00:00:00"/>
    <d v="2022-07-02T00:00:00"/>
    <n v="3"/>
    <m/>
    <m/>
    <m/>
    <s v="Budithireddipalle (PO)."/>
    <s v="Bangalore Road Majara Kothapalli (Village)"/>
    <s v="Yadamari (Mandal)"/>
    <s v="Chittor"/>
    <n v="517422"/>
    <s v="AP"/>
    <s v="India"/>
    <n v="8"/>
    <n v="0"/>
    <n v="8"/>
    <n v="4"/>
    <s v="Sun"/>
    <m/>
  </r>
  <r>
    <n v="575"/>
    <s v="Crescent Moulds &amp; Precision Engg"/>
    <x v="522"/>
    <n v="636"/>
    <s v="4020J LX"/>
    <m/>
    <d v="2017-09-12T00:00:00"/>
    <m/>
    <m/>
    <d v="2017-09-12T00:00:00"/>
    <d v="2018-09-11T00:00:00"/>
    <n v="3"/>
    <m/>
    <m/>
    <m/>
    <s v="Thirumudivakkam Main Road"/>
    <s v="No.80 Perumal Nagat"/>
    <s v="Thirumudivakkam"/>
    <s v="Chennai"/>
    <n v="600044"/>
    <s v="TN"/>
    <s v="India"/>
    <n v="4"/>
    <n v="0"/>
    <n v="2"/>
    <n v="2"/>
    <s v="Sun"/>
    <m/>
  </r>
  <r>
    <n v="576"/>
    <s v="Napino Auto &amp; Electronics Ltd (Shifted from Halol to Manesar)"/>
    <x v="523"/>
    <n v="666"/>
    <s v="2015J LX"/>
    <m/>
    <d v="2017-09-15T00:00:00"/>
    <m/>
    <m/>
    <d v="2017-09-15T00:00:00"/>
    <d v="2019-09-14T00:00:00"/>
    <n v="3"/>
    <s v="Mr. Devendra Sharma"/>
    <s v="QA"/>
    <n v="7290087185"/>
    <s v="IMT Manesar"/>
    <s v="Plot No. 7 Sector-3"/>
    <s v="Manesar,"/>
    <s v="Gurgaon"/>
    <n v="122050"/>
    <s v="HR"/>
    <s v="India"/>
    <n v="1"/>
    <n v="1"/>
    <n v="1"/>
    <n v="1"/>
    <s v="Sun"/>
    <m/>
  </r>
  <r>
    <n v="577"/>
    <s v="Wioska Moldings Pvt Ltd"/>
    <x v="524"/>
    <n v="668"/>
    <s v="2015J LX"/>
    <m/>
    <d v="2017-09-15T00:00:00"/>
    <m/>
    <m/>
    <d v="2020-01-01T00:00:00"/>
    <d v="2020-12-31T00:00:00"/>
    <n v="3"/>
    <m/>
    <m/>
    <m/>
    <s v="Sector-63"/>
    <s v="H-132 Industrial Area"/>
    <m/>
    <s v="Noida"/>
    <n v="201301"/>
    <s v="UP"/>
    <s v="India"/>
    <n v="1"/>
    <n v="1"/>
    <n v="5"/>
    <n v="1"/>
    <s v="Sun"/>
    <m/>
  </r>
  <r>
    <n v="578"/>
    <s v="First Technologies (India) Pvt Ltd"/>
    <x v="525"/>
    <n v="658"/>
    <s v="2015J LX"/>
    <m/>
    <d v="2017-09-24T00:00:00"/>
    <m/>
    <m/>
    <d v="2020-02-24T00:00:00"/>
    <d v="2021-02-23T00:00:00"/>
    <n v="3"/>
    <m/>
    <m/>
    <m/>
    <s v="Mettupalayam"/>
    <s v="B-56 PIPDIC Industrial Estate"/>
    <m/>
    <s v="Puducherry"/>
    <n v="605009"/>
    <s v="TN"/>
    <s v="India"/>
    <n v="4"/>
    <n v="0"/>
    <n v="1"/>
    <n v="3"/>
    <s v="Sun"/>
    <m/>
  </r>
  <r>
    <n v="579"/>
    <s v="Spiral Tools Pvt Ltd"/>
    <x v="526"/>
    <n v="376"/>
    <s v="2015J HT"/>
    <m/>
    <d v="2017-09-25T00:00:00"/>
    <m/>
    <m/>
    <d v="2021-06-20T00:00:00"/>
    <d v="2022-06-19T00:00:00"/>
    <n v="3"/>
    <m/>
    <m/>
    <m/>
    <s v="Khed-Shivpura"/>
    <s v="Gat. No. 6 B-1, Village-Kasurdi"/>
    <s v="Tal-Bhor"/>
    <s v="Pune"/>
    <n v="412205"/>
    <s v="MH"/>
    <s v="India"/>
    <n v="2"/>
    <n v="4"/>
    <n v="5"/>
    <n v="1"/>
    <s v="Thu"/>
    <m/>
  </r>
  <r>
    <n v="580"/>
    <s v="Durga Auto Parts Industries"/>
    <x v="527"/>
    <n v="663"/>
    <s v="2015J LX"/>
    <m/>
    <d v="2017-09-27T00:00:00"/>
    <m/>
    <m/>
    <d v="2017-09-27T00:00:00"/>
    <d v="2019-09-26T00:00:00"/>
    <n v="3"/>
    <m/>
    <m/>
    <m/>
    <s v="Industrial Estate"/>
    <s v="#59 HSIIDC"/>
    <s v="Punchkula"/>
    <s v="Kalka"/>
    <n v="133302"/>
    <s v="HR"/>
    <s v="India"/>
    <n v="1"/>
    <n v="3"/>
    <n v="1"/>
    <n v="2"/>
    <s v="Sun"/>
    <m/>
  </r>
  <r>
    <n v="581"/>
    <s v="S. S. White Technologies India Pvt Ltd"/>
    <x v="528"/>
    <n v="660"/>
    <s v="2015J LX"/>
    <m/>
    <d v="2017-10-03T00:00:00"/>
    <m/>
    <m/>
    <d v="2018-09-18T00:00:00"/>
    <d v="2019-09-17T00:00:00"/>
    <n v="3"/>
    <m/>
    <m/>
    <m/>
    <s v="Near Krishna Petrol Pump"/>
    <s v="Survey No.2788/3 Wadhwan-Ahmedabad Highway"/>
    <s v="Wadhwan"/>
    <s v="Surendranagar"/>
    <n v="363030"/>
    <s v="GJ"/>
    <s v="India"/>
    <n v="5"/>
    <n v="2"/>
    <n v="3"/>
    <n v="1"/>
    <s v="Sun"/>
    <m/>
  </r>
  <r>
    <n v="582"/>
    <s v="S. S. White Technologies India Pvt Ltd"/>
    <x v="528"/>
    <n v="662"/>
    <s v="2015J LX"/>
    <m/>
    <d v="2017-10-03T00:00:00"/>
    <m/>
    <m/>
    <d v="2018-09-18T00:00:00"/>
    <d v="2019-09-17T00:00:00"/>
    <n v="3"/>
    <m/>
    <m/>
    <m/>
    <s v="Near Krishna Petrol Pump"/>
    <s v="Survey No.2788/3 Wadhwan-Ahmedabad Highway"/>
    <s v="Wadhwan"/>
    <s v="Surendranagar"/>
    <n v="363030"/>
    <s v="GJ"/>
    <s v="India"/>
    <n v="5"/>
    <n v="2"/>
    <n v="3"/>
    <n v="1"/>
    <s v="Sun"/>
    <m/>
  </r>
  <r>
    <n v="583"/>
    <s v="Modvak Engg (I) Pvt Ltd"/>
    <x v="529"/>
    <n v="667"/>
    <s v="2015J LX"/>
    <m/>
    <d v="2017-10-12T00:00:00"/>
    <m/>
    <m/>
    <d v="2021-10-04T00:00:00"/>
    <d v="2022-10-03T00:00:00"/>
    <n v="3"/>
    <m/>
    <m/>
    <m/>
    <s v="Behind Parle-G Biscuits, "/>
    <s v="24/2, Surya Nagar Industrial Area Opp. Kassar More"/>
    <s v="NH-10, Rohtak Road"/>
    <s v="Bahadurgarh"/>
    <n v="124507"/>
    <s v="HR"/>
    <s v="India"/>
    <n v="1"/>
    <n v="1"/>
    <n v="2"/>
    <n v="1"/>
    <s v="Sun"/>
    <m/>
  </r>
  <r>
    <n v="584"/>
    <s v="ELCIA Cluster"/>
    <x v="530"/>
    <n v="642"/>
    <s v="4020J LX"/>
    <m/>
    <d v="2017-10-16T00:00:00"/>
    <m/>
    <m/>
    <d v="2025-06-08T00:00:00"/>
    <d v="2026-06-07T00:00:00"/>
    <n v="3"/>
    <m/>
    <m/>
    <m/>
    <m/>
    <s v=" "/>
    <m/>
    <m/>
    <m/>
    <s v="KA"/>
    <s v="India"/>
    <n v="8"/>
    <n v="0"/>
    <n v="1"/>
    <n v="1"/>
    <s v="Sun"/>
    <m/>
  </r>
  <r>
    <n v="585"/>
    <s v="Century Extrusions Limited"/>
    <x v="531"/>
    <n v="659"/>
    <s v="2015J LX"/>
    <m/>
    <d v="2017-10-23T00:00:00"/>
    <m/>
    <m/>
    <d v="2019-06-26T00:00:00"/>
    <d v="2020-06-25T00:00:00"/>
    <n v="3"/>
    <s v="Mr. "/>
    <m/>
    <m/>
    <m/>
    <s v=" "/>
    <m/>
    <m/>
    <m/>
    <s v="WB"/>
    <s v="India"/>
    <n v="3"/>
    <n v="0"/>
    <n v="0"/>
    <n v="2"/>
    <s v="Sun"/>
    <m/>
  </r>
  <r>
    <n v="586"/>
    <s v="Bharti Hydrofitments &amp; Engineers Pvt Ltd"/>
    <x v="532"/>
    <n v="641"/>
    <s v="4020J LX"/>
    <m/>
    <d v="2017-10-23T00:00:00"/>
    <m/>
    <m/>
    <d v="2017-10-23T00:00:00"/>
    <d v="2019-10-22T00:00:00"/>
    <n v="3"/>
    <s v="Mr. Naveen Sachdava"/>
    <s v="Director"/>
    <n v="9216441951"/>
    <s v="Industrial Area-C"/>
    <s v="Singla Cycle Road Backside Steelman Industries"/>
    <s v="Dhandari Kalan"/>
    <s v="Ludhiana"/>
    <n v="141010"/>
    <s v="PB"/>
    <s v="India"/>
    <n v="1"/>
    <n v="3"/>
    <n v="3"/>
    <n v="5"/>
    <s v="Sun"/>
    <m/>
  </r>
  <r>
    <n v="587"/>
    <s v="Bhavani Industries"/>
    <x v="114"/>
    <n v="837"/>
    <s v="4020J LX"/>
    <m/>
    <d v="2017-10-24T00:00:00"/>
    <m/>
    <m/>
    <d v="2021-09-05T00:00:00"/>
    <d v="2022-09-04T00:00:00"/>
    <n v="3"/>
    <s v="Mr. Chethan J Hegde"/>
    <m/>
    <s v="080-41107365"/>
    <s v="Phase 2(East)"/>
    <s v="Unit III, Plot.#8B Electronics City"/>
    <s v="Hosur Road"/>
    <s v="Bangalore"/>
    <n v="560100"/>
    <s v="KA"/>
    <s v="India"/>
    <n v="8"/>
    <n v="0"/>
    <n v="1"/>
    <n v="1"/>
    <s v="Sun"/>
    <m/>
  </r>
  <r>
    <n v="588"/>
    <s v="Surindera Cycles Pvt. Ltd"/>
    <x v="533"/>
    <n v="673"/>
    <s v="2015J LX"/>
    <m/>
    <d v="2017-10-26T00:00:00"/>
    <m/>
    <m/>
    <d v="2017-10-26T00:00:00"/>
    <d v="2018-10-25T00:00:00"/>
    <n v="3"/>
    <m/>
    <m/>
    <m/>
    <s v="Focal Point"/>
    <s v="C-195, 196 Phase-VII"/>
    <m/>
    <s v="Ludhiana"/>
    <n v="141010"/>
    <s v="PB"/>
    <s v="India"/>
    <n v="1"/>
    <n v="3"/>
    <n v="3"/>
    <n v="5"/>
    <s v="Sun"/>
    <m/>
  </r>
  <r>
    <n v="589"/>
    <s v="Dalal Plastics PvtLtd"/>
    <x v="534"/>
    <n v="665"/>
    <s v="2015J LX"/>
    <m/>
    <d v="2017-11-08T00:00:00"/>
    <m/>
    <m/>
    <d v="2021-07-13T00:00:00"/>
    <d v="2022-07-12T00:00:00"/>
    <n v="3"/>
    <s v="Mr. Murtuz Dalal"/>
    <s v="Managing Director"/>
    <n v="9821110600"/>
    <s v="IDA"/>
    <s v="Plot No. D-43 Phase-I"/>
    <s v="Jeedimetla"/>
    <s v="Hyderabad"/>
    <n v="500055"/>
    <s v="TS"/>
    <s v="India"/>
    <n v="6"/>
    <n v="0"/>
    <n v="2"/>
    <n v="1"/>
    <s v="Sun"/>
    <m/>
  </r>
  <r>
    <n v="590"/>
    <s v="Oswin Industries"/>
    <x v="535"/>
    <n v="669"/>
    <s v="2015J LX"/>
    <m/>
    <d v="2017-11-10T00:00:00"/>
    <m/>
    <m/>
    <d v="2021-12-24T00:00:00"/>
    <d v="2022-12-23T00:00:00"/>
    <n v="3"/>
    <s v="Mr. "/>
    <m/>
    <m/>
    <m/>
    <s v="127 Industrial Area -2"/>
    <m/>
    <s v="Punchkula"/>
    <n v="134109"/>
    <s v="HR"/>
    <s v="India"/>
    <n v="1"/>
    <n v="3"/>
    <n v="3"/>
    <n v="4"/>
    <s v="Sun"/>
    <m/>
  </r>
  <r>
    <n v="591"/>
    <s v="Hindalco Industries Ltd (Sapa Extrusion India Pvt Ltd)"/>
    <x v="536"/>
    <n v="648"/>
    <s v="4020J LX"/>
    <m/>
    <d v="2017-11-14T00:00:00"/>
    <m/>
    <m/>
    <d v="2025-10-22T00:00:00"/>
    <d v="2026-10-21T00:00:00"/>
    <n v="3"/>
    <m/>
    <m/>
    <m/>
    <s v="C-Block"/>
    <s v="255,257 &amp;279 Industrial Park"/>
    <s v="Kuppam"/>
    <s v="Chittoor"/>
    <n v="517425"/>
    <s v="AP"/>
    <s v="India"/>
    <n v="8"/>
    <n v="0"/>
    <n v="8"/>
    <n v="4"/>
    <s v="Sun"/>
    <m/>
  </r>
  <r>
    <n v="592"/>
    <s v="Keerthi Technocraft Pvt Ltd"/>
    <x v="537"/>
    <n v="640"/>
    <s v="4020J LX"/>
    <m/>
    <d v="2017-11-16T00:00:00"/>
    <m/>
    <m/>
    <d v="2021-12-14T00:00:00"/>
    <d v="2022-12-13T00:00:00"/>
    <n v="3"/>
    <m/>
    <m/>
    <m/>
    <s v="Attibele Industrial Area"/>
    <s v="No.22/J3 5th Cross"/>
    <m/>
    <s v="Bangalore"/>
    <s v="562 107"/>
    <s v="KA"/>
    <s v="India"/>
    <n v="8"/>
    <n v="0"/>
    <n v="1"/>
    <n v="2"/>
    <s v="Sun"/>
    <m/>
  </r>
  <r>
    <n v="593"/>
    <s v="Omni Matrix Pvt Ltd"/>
    <x v="538"/>
    <n v="671"/>
    <s v="2015J LX"/>
    <m/>
    <d v="2017-11-16T00:00:00"/>
    <m/>
    <m/>
    <d v="2018-10-31T00:00:00"/>
    <d v="2019-10-30T00:00:00"/>
    <n v="3"/>
    <s v="Mr. Krisnamurthy Bhat"/>
    <s v="Manager"/>
    <n v="8197689539"/>
    <s v="Yellapura"/>
    <s v="Plot No. 48K1 &amp; 48K2 KIADB Industrial Area"/>
    <s v="Doddballapur"/>
    <s v="Bangalore"/>
    <s v="561 203"/>
    <s v="KA"/>
    <s v="India"/>
    <n v="8"/>
    <n v="0"/>
    <n v="6"/>
    <n v="1"/>
    <s v="Sun"/>
    <m/>
  </r>
  <r>
    <n v="594"/>
    <s v="Deep Plastics Industries"/>
    <x v="539"/>
    <n v="664"/>
    <s v="2015J LX"/>
    <m/>
    <d v="2017-11-21T00:00:00"/>
    <m/>
    <m/>
    <d v="2017-11-21T00:00:00"/>
    <d v="2018-11-20T00:00:00"/>
    <n v="3"/>
    <m/>
    <m/>
    <m/>
    <s v="Jai Chamundeshwari Industrial Complex"/>
    <s v="Unit No. 3 &amp; 6 Building No. 2"/>
    <s v="Waliv, Vasai ( E)"/>
    <s v="Thane"/>
    <n v="401208"/>
    <s v="MH"/>
    <s v="India"/>
    <n v="2"/>
    <n v="2"/>
    <n v="2"/>
    <n v="2"/>
    <s v="Sun"/>
    <m/>
  </r>
  <r>
    <n v="595"/>
    <s v="Lakshmi Electrical Control Systems Limited"/>
    <x v="540"/>
    <n v="682"/>
    <s v="4030J lX"/>
    <m/>
    <d v="2017-11-26T00:00:00"/>
    <m/>
    <m/>
    <d v="2020-01-04T00:00:00"/>
    <d v="2021-01-03T00:00:00"/>
    <n v="3"/>
    <m/>
    <m/>
    <m/>
    <m/>
    <s v=" "/>
    <s v="Arasur"/>
    <s v="Coimbatore"/>
    <n v="641407"/>
    <s v="TN"/>
    <s v="India"/>
    <n v="4"/>
    <n v="1"/>
    <n v="1"/>
    <n v="1"/>
    <s v="Sun"/>
    <m/>
  </r>
  <r>
    <n v="596"/>
    <s v="Seco Tools India Pvt Ltd"/>
    <x v="541"/>
    <n v="677"/>
    <s v="2015J LX"/>
    <m/>
    <d v="2017-12-06T00:00:00"/>
    <m/>
    <m/>
    <d v="2019-12-20T00:00:00"/>
    <d v="2021-12-19T00:00:00"/>
    <n v="3"/>
    <s v="Mr. Ashutosh Patwardhan"/>
    <s v="Manager - Indirect Procurement"/>
    <n v="9922950238"/>
    <s v="Kondayampalayam Village, Pilliar Koil Street"/>
    <s v="Gat No.582 Pune-Nagar Road"/>
    <s v="Taluku-Shirur"/>
    <s v="Pune"/>
    <n v="412216"/>
    <s v="MH"/>
    <s v="India"/>
    <n v="0"/>
    <n v="0"/>
    <n v="0"/>
    <n v="0"/>
    <n v="0"/>
    <m/>
  </r>
  <r>
    <n v="597"/>
    <s v="Polyrub Cooper Standard FTS Pvt Ltd"/>
    <x v="542"/>
    <n v="675"/>
    <s v="2015J LX"/>
    <m/>
    <d v="2017-12-01T00:00:00"/>
    <m/>
    <m/>
    <d v="2025-07-30T00:00:00"/>
    <d v="2026-07-29T00:00:00"/>
    <n v="3"/>
    <s v="Mr. Nagaraj Hulyal"/>
    <m/>
    <n v="7410015165"/>
    <s v="Village Mahalunge"/>
    <s v="Gat No. 389 Plot No. C-43"/>
    <s v="Chakan, Talegaon Road"/>
    <s v="Pune"/>
    <n v="410501"/>
    <s v="MH"/>
    <s v="India"/>
    <n v="2"/>
    <n v="4"/>
    <n v="1"/>
    <n v="3"/>
    <s v="Thu"/>
    <m/>
  </r>
  <r>
    <n v="598"/>
    <s v="Schneider Electric India Pvt Ltd (Larsen &amp; Toubro Limited)"/>
    <x v="412"/>
    <n v="645"/>
    <s v="4020J LX"/>
    <m/>
    <d v="2017-12-02T00:00:00"/>
    <m/>
    <m/>
    <d v="2021-07-17T00:00:00"/>
    <d v="2022-07-16T00:00:00"/>
    <n v="3"/>
    <m/>
    <m/>
    <m/>
    <s v="Block No. 205 to 208 &amp; 240, Village Ankhol"/>
    <s v="Electric Automation  EAIC Vadodara Manufacturing Plant"/>
    <s v=" Between Ajwa &amp; Waghodia Junction"/>
    <s v="Vadodara"/>
    <n v="390019"/>
    <s v="GJ"/>
    <s v="India"/>
    <n v="5"/>
    <n v="1"/>
    <n v="1"/>
    <n v="2"/>
    <s v="Sun"/>
    <m/>
  </r>
  <r>
    <n v="599"/>
    <s v="Ikon Moulders Pvt Ltd"/>
    <x v="543"/>
    <n v="670"/>
    <s v="2015J LX"/>
    <m/>
    <d v="2017-12-08T00:00:00"/>
    <m/>
    <m/>
    <d v="2025-06-16T00:00:00"/>
    <d v="2027-06-15T00:00:00"/>
    <n v="3"/>
    <s v="Mr.Vinod Sandim"/>
    <m/>
    <n v="9270570758"/>
    <s v="Industrial Area"/>
    <s v="L-129/3 MIDC"/>
    <s v="Near L &amp; T"/>
    <s v="Ahmednagar"/>
    <n v="414111"/>
    <s v="MH"/>
    <s v="India"/>
    <n v="2"/>
    <n v="4"/>
    <n v="3"/>
    <n v="1"/>
    <s v="Thu"/>
    <m/>
  </r>
  <r>
    <n v="600"/>
    <s v="Shivam Autotech Limited"/>
    <x v="544"/>
    <n v="644"/>
    <s v="4020J LX"/>
    <m/>
    <d v="2017-12-13T00:00:00"/>
    <m/>
    <m/>
    <d v="2021-09-04T00:00:00"/>
    <d v="2022-09-03T00:00:00"/>
    <n v="3"/>
    <s v="Mr. Shwetangi Srivastava"/>
    <s v="Projects"/>
    <s v="011-49242100"/>
    <s v="Village-Binola"/>
    <s v="58th KM. Stone Delhi-Jaipur Highway"/>
    <m/>
    <s v="Gurgaon"/>
    <n v="122413"/>
    <s v="HR"/>
    <s v="India"/>
    <n v="1"/>
    <n v="1"/>
    <n v="1"/>
    <n v="1"/>
    <s v="Sun"/>
    <m/>
  </r>
  <r>
    <n v="601"/>
    <s v="Minda VAST Access Systems Pvt Ltd"/>
    <x v="545"/>
    <n v="683"/>
    <s v="4030J lX"/>
    <m/>
    <d v="2017-12-16T00:00:00"/>
    <m/>
    <m/>
    <d v="2025-10-14T00:00:00"/>
    <d v="2026-10-13T00:00:00"/>
    <n v="3"/>
    <m/>
    <m/>
    <m/>
    <s v="Chakan, At Nighoje"/>
    <s v="B-21 M.I.D.C"/>
    <s v="Post Kurull, Tal. Khed"/>
    <s v="Pune"/>
    <n v="410501"/>
    <s v="MH"/>
    <s v="India"/>
    <n v="2"/>
    <n v="4"/>
    <n v="2"/>
    <n v="1"/>
    <s v="Thu"/>
    <m/>
  </r>
  <r>
    <n v="602"/>
    <s v="L.G.Balakrishnan &amp; Bros Ltd (Candid Micron)"/>
    <x v="546"/>
    <n v="646"/>
    <s v="4020J LX"/>
    <m/>
    <d v="2017-12-20T00:00:00"/>
    <m/>
    <m/>
    <d v="2021-04-13T00:00:00"/>
    <d v="2021-10-12T00:00:00"/>
    <n v="3"/>
    <m/>
    <m/>
    <s v="0422- 2654 812"/>
    <s v="Kondayampalayam Village, Pilliar Koil Street"/>
    <s v="Bosch Project SF No.195"/>
    <s v="Near Power House, Vaiyampalayam"/>
    <s v="Coimbatore"/>
    <n v="641110"/>
    <s v="TN"/>
    <s v="India"/>
    <n v="4"/>
    <n v="1"/>
    <n v="6"/>
    <n v="2"/>
    <s v="Sun"/>
    <m/>
  </r>
  <r>
    <n v="603"/>
    <s v="Rieke Packing India Pvt Ltd"/>
    <x v="547"/>
    <n v="634"/>
    <s v="4020J LX"/>
    <m/>
    <d v="2017-12-20T00:00:00"/>
    <m/>
    <m/>
    <d v="2025-09-30T00:00:00"/>
    <d v="2026-09-29T00:00:00"/>
    <n v="3"/>
    <m/>
    <m/>
    <m/>
    <s v="Bhud"/>
    <s v="Khasra No.371-378 Village Dasomajra"/>
    <s v="Post Office: Baddi"/>
    <s v="Solan"/>
    <n v="173205"/>
    <s v="HP"/>
    <s v="India"/>
    <n v="1"/>
    <n v="3"/>
    <n v="1"/>
    <n v="3"/>
    <s v="Sun"/>
    <m/>
  </r>
  <r>
    <n v="604"/>
    <s v="Turbo India Interconnect Solutions LLP"/>
    <x v="548"/>
    <n v="674"/>
    <s v="2015J LX"/>
    <m/>
    <d v="2018-01-05T00:00:00"/>
    <m/>
    <m/>
    <d v="2021-09-16T00:00:00"/>
    <d v="2022-09-15T00:00:00"/>
    <n v="3"/>
    <m/>
    <m/>
    <m/>
    <s v="kamakshipalya"/>
    <s v="No.114 Pete Channappa Industrial area"/>
    <m/>
    <s v="Bangalore"/>
    <n v="560079"/>
    <s v="KA"/>
    <s v="India"/>
    <n v="8"/>
    <n v="0"/>
    <n v="4"/>
    <n v="1"/>
    <s v="Sun"/>
    <m/>
  </r>
  <r>
    <n v="605"/>
    <s v="Mindarika Pvt Ltd"/>
    <x v="549"/>
    <n v="676"/>
    <s v="2015J LX"/>
    <m/>
    <d v="2018-01-13T00:00:00"/>
    <m/>
    <m/>
    <d v="2022-02-08T00:00:00"/>
    <d v="2023-02-07T00:00:00"/>
    <n v="3"/>
    <m/>
    <m/>
    <m/>
    <m/>
    <s v="Village Nawada Fetehpur P.O. Sinkaderpur Badda"/>
    <m/>
    <s v="Gurgaon"/>
    <n v="122004"/>
    <s v="HR"/>
    <s v="India"/>
    <n v="1"/>
    <n v="1"/>
    <n v="1"/>
    <n v="1"/>
    <s v="Sun"/>
    <m/>
  </r>
  <r>
    <n v="606"/>
    <s v="Titan Company Limited (Watch Division)"/>
    <x v="550"/>
    <n v="723"/>
    <s v="2015J LX"/>
    <m/>
    <d v="2018-01-16T00:00:00"/>
    <m/>
    <m/>
    <d v="2021-11-24T00:00:00"/>
    <d v="2022-11-23T00:00:00"/>
    <n v="3"/>
    <m/>
    <m/>
    <m/>
    <s v="Sipcot Industrial Complex"/>
    <s v="Wtach Division- Hosur No.3"/>
    <m/>
    <s v="Hosur"/>
    <n v="635126"/>
    <s v="TN"/>
    <s v="India"/>
    <n v="8"/>
    <n v="0"/>
    <n v="1"/>
    <n v="3"/>
    <s v="Sun"/>
    <m/>
  </r>
  <r>
    <n v="607"/>
    <s v="Compaero India Pvt Ltd"/>
    <x v="551"/>
    <n v="679"/>
    <s v="2015J LX"/>
    <m/>
    <d v="2018-01-17T00:00:00"/>
    <m/>
    <m/>
    <d v="2022-01-20T00:00:00"/>
    <d v="2023-01-19T00:00:00"/>
    <n v="3"/>
    <s v="Mr. Ranjith Cyriac"/>
    <m/>
    <n v="9446305150"/>
    <s v="Edapally"/>
    <s v="38/445 Mother Theresa Road"/>
    <m/>
    <s v="Kochi"/>
    <n v="682024"/>
    <s v="KL"/>
    <s v="India"/>
    <n v="4"/>
    <n v="1"/>
    <n v="0"/>
    <n v="3"/>
    <s v="Sun"/>
    <m/>
  </r>
  <r>
    <n v="608"/>
    <s v="Maini Precision Products Ltd."/>
    <x v="552"/>
    <n v="725"/>
    <s v="2015J LX"/>
    <m/>
    <d v="2018-01-17T00:00:00"/>
    <m/>
    <m/>
    <d v="2022-02-10T00:00:00"/>
    <d v="2023-02-09T00:00:00"/>
    <n v="3"/>
    <m/>
    <m/>
    <m/>
    <s v="Peenya Industrial Area"/>
    <s v="No. 16-B 1st Phase"/>
    <m/>
    <s v="Bangalore"/>
    <n v="560058"/>
    <s v="KA"/>
    <s v="India"/>
    <n v="8"/>
    <n v="0"/>
    <n v="5"/>
    <n v="1"/>
    <s v="Sun"/>
    <m/>
  </r>
  <r>
    <n v="609"/>
    <s v="Pooja Automations (Candid Micro Measurements Pvt Ltd)"/>
    <x v="553"/>
    <n v="722"/>
    <s v="2015J LX"/>
    <m/>
    <d v="2018-01-20T00:00:00"/>
    <m/>
    <m/>
    <d v="2018-01-20T00:00:00"/>
    <d v="2019-01-19T00:00:00"/>
    <n v="3"/>
    <m/>
    <m/>
    <m/>
    <s v="Ganapathy Pudur"/>
    <s v="194C Siva sakthi Colony"/>
    <m/>
    <s v="Coimbatore"/>
    <n v="641006"/>
    <s v="TN"/>
    <s v="India"/>
    <n v="4"/>
    <n v="1"/>
    <n v="6"/>
    <n v="1"/>
    <s v="Sun"/>
    <m/>
  </r>
  <r>
    <n v="610"/>
    <s v="Saanvi Technologies"/>
    <x v="554"/>
    <n v="724"/>
    <s v="2015J LX"/>
    <m/>
    <d v="2018-01-24T00:00:00"/>
    <m/>
    <m/>
    <d v="2018-01-24T00:00:00"/>
    <d v="2019-01-23T00:00:00"/>
    <n v="3"/>
    <m/>
    <m/>
    <m/>
    <s v="Doddanna Industrial Estate"/>
    <s v="No.58, 8th Cross 1st &quot;B&quot; Cross"/>
    <s v="Near Peenya 2nd Stage, Hegganahalli"/>
    <s v="Bangalore"/>
    <n v="560091"/>
    <s v="KA"/>
    <s v="India"/>
    <n v="8"/>
    <n v="0"/>
    <n v="5"/>
    <n v="1"/>
    <s v="Sun"/>
    <m/>
  </r>
  <r>
    <n v="611"/>
    <s v="Padmini VNA Mechatronics Pvt Ltd"/>
    <x v="555"/>
    <n v="649"/>
    <s v="4020J LX"/>
    <m/>
    <d v="2018-02-06T00:00:00"/>
    <m/>
    <m/>
    <d v="2022-03-01T00:00:00"/>
    <d v="2023-02-28T00:00:00"/>
    <n v="3"/>
    <m/>
    <m/>
    <s v="0124-3207395-399"/>
    <s v="Phase- VII"/>
    <s v="Plot No. 100-101 HSIIDC, Udyog Vihar"/>
    <s v="Sector-35"/>
    <s v="Gurgaon"/>
    <n v="122001"/>
    <s v="HR"/>
    <s v="India"/>
    <n v="1"/>
    <n v="1"/>
    <n v="1"/>
    <n v="1"/>
    <s v="Sun"/>
    <m/>
  </r>
  <r>
    <n v="612"/>
    <s v="Benaka Technologies"/>
    <x v="556"/>
    <n v="506"/>
    <s v="2015 LX"/>
    <m/>
    <d v="2018-02-07T00:00:00"/>
    <m/>
    <m/>
    <d v="2018-02-07T00:00:00"/>
    <d v="2019-02-06T00:00:00"/>
    <n v="3"/>
    <s v="Mr. Vinayak Hegde"/>
    <s v="Proprietor"/>
    <n v="9886926462"/>
    <s v="Laggere Road"/>
    <s v="#743 2nd Block"/>
    <s v="Peenya 1st Stage"/>
    <s v="Bangalore"/>
    <n v="560058"/>
    <s v="KA"/>
    <s v="India"/>
    <n v="8"/>
    <n v="0"/>
    <n v="5"/>
    <n v="1"/>
    <s v="Sun"/>
    <m/>
  </r>
  <r>
    <n v="613"/>
    <s v="Zenith Precision Pvt Ltd"/>
    <x v="557"/>
    <n v="727"/>
    <s v="2015J LX"/>
    <m/>
    <d v="2018-02-08T00:00:00"/>
    <m/>
    <m/>
    <d v="2020-02-05T00:00:00"/>
    <d v="2021-02-04T00:00:00"/>
    <n v="3"/>
    <m/>
    <m/>
    <s v="080- 40941891/93"/>
    <s v="Bommasandra Industrial Area"/>
    <s v="No.63-64 4th Phase"/>
    <s v="Anekal Taluk"/>
    <s v="Bangalore"/>
    <n v="560099"/>
    <s v="KA"/>
    <s v="India"/>
    <n v="8"/>
    <n v="0"/>
    <n v="1"/>
    <n v="2"/>
    <s v="Sun"/>
    <m/>
  </r>
  <r>
    <n v="614"/>
    <s v="Mindarika Pvt Ltd"/>
    <x v="445"/>
    <n v="678"/>
    <s v="2015J LX"/>
    <m/>
    <d v="2018-02-14T00:00:00"/>
    <m/>
    <m/>
    <d v="2022-02-01T00:00:00"/>
    <d v="2023-01-31T00:00:00"/>
    <n v="3"/>
    <m/>
    <m/>
    <n v="9819367835"/>
    <s v="Talegaon Road"/>
    <s v="Gat No. 427/ 10 427/5, Chakan"/>
    <s v="Mahalunge Village"/>
    <s v="Pune"/>
    <n v="410501"/>
    <s v="MH"/>
    <s v="India"/>
    <n v="2"/>
    <n v="4"/>
    <n v="2"/>
    <n v="1"/>
    <s v="Thu"/>
    <m/>
  </r>
  <r>
    <n v="615"/>
    <s v="Vikson Spring Pvt Ltd"/>
    <x v="558"/>
    <n v="729"/>
    <s v="2015J LX"/>
    <m/>
    <d v="2018-02-23T00:00:00"/>
    <m/>
    <m/>
    <d v="2019-03-05T00:00:00"/>
    <d v="2020-03-04T00:00:00"/>
    <n v="3"/>
    <s v="Mr. Amith Shah"/>
    <m/>
    <m/>
    <s v="Thane- Belapur Road"/>
    <s v="A-138 Pawan Industrial Estate"/>
    <s v="Koparkhairane"/>
    <s v="Navi Mumbai"/>
    <s v="400 705"/>
    <s v="MH"/>
    <s v="India"/>
    <n v="2"/>
    <n v="2"/>
    <n v="2"/>
    <n v="4"/>
    <s v="Sun"/>
    <m/>
  </r>
  <r>
    <n v="616"/>
    <s v="Dhoot Transmission Pvt Ltd."/>
    <x v="559"/>
    <n v="728"/>
    <s v="2015J LX"/>
    <m/>
    <d v="2018-02-24T00:00:00"/>
    <m/>
    <m/>
    <d v="2019-04-20T00:00:00"/>
    <d v="2020-04-19T00:00:00"/>
    <n v="3"/>
    <m/>
    <m/>
    <m/>
    <s v="Farola"/>
    <s v="Gut No. 102 Paithan Road"/>
    <s v="Taluka: Paithan"/>
    <s v="Aurangabad"/>
    <n v="431105"/>
    <s v="MH"/>
    <s v="India"/>
    <n v="2"/>
    <n v="0"/>
    <n v="2"/>
    <n v="1"/>
    <s v="Sun"/>
    <m/>
  </r>
  <r>
    <n v="617"/>
    <s v="SMIIEL (A Unit of MSSL)"/>
    <x v="560"/>
    <n v="692"/>
    <s v="4020J LX"/>
    <m/>
    <d v="2018-02-24T00:00:00"/>
    <m/>
    <m/>
    <d v="2022-04-01T00:00:00"/>
    <d v="2022-09-30T00:00:00"/>
    <n v="3"/>
    <m/>
    <m/>
    <m/>
    <s v="Gautam Budh Nagar"/>
    <s v="E-4&amp;5 Sector- 59"/>
    <m/>
    <s v="Noida"/>
    <n v="201307"/>
    <s v="UP"/>
    <s v="India"/>
    <n v="1"/>
    <n v="1"/>
    <n v="5"/>
    <n v="1"/>
    <s v="Sun"/>
    <m/>
  </r>
  <r>
    <n v="618"/>
    <s v="Titan Engg &amp; Automation Limited"/>
    <x v="561"/>
    <n v="693"/>
    <s v="4020J LX"/>
    <m/>
    <d v="2018-02-28T00:00:00"/>
    <m/>
    <m/>
    <d v="2021-09-01T00:00:00"/>
    <d v="2022-08-30T00:00:00"/>
    <n v="3"/>
    <m/>
    <m/>
    <m/>
    <s v="Sipcot Industrial Complex"/>
    <s v="Unit-1 Plot No.28"/>
    <s v="Dist: Krishnagiri"/>
    <s v="Hosur"/>
    <n v="635126"/>
    <s v="TN"/>
    <s v="India"/>
    <n v="8"/>
    <n v="0"/>
    <n v="1"/>
    <n v="3"/>
    <s v="Sun"/>
    <m/>
  </r>
  <r>
    <n v="619"/>
    <s v="Paloma Turning Co. Pvt. Ltd"/>
    <x v="562"/>
    <n v="726"/>
    <s v="2015J LX"/>
    <m/>
    <d v="2018-03-06T00:00:00"/>
    <m/>
    <m/>
    <d v="2023-04-24T00:00:00"/>
    <d v="2025-04-23T00:00:00"/>
    <n v="3"/>
    <m/>
    <m/>
    <m/>
    <s v="Dared"/>
    <s v="Plot No.13 G.I.D.C, Phase-II"/>
    <s v="Rajkot-Dwarka Bypass Road"/>
    <s v="Jamnagar"/>
    <n v="361004"/>
    <s v="GJ"/>
    <s v="India"/>
    <n v="5"/>
    <n v="4"/>
    <n v="0"/>
    <n v="1"/>
    <s v="Fri"/>
    <m/>
  </r>
  <r>
    <n v="620"/>
    <s v="Takemoto Yohki India Pvt Ltd"/>
    <x v="563"/>
    <n v="690"/>
    <s v="4020J LX"/>
    <m/>
    <d v="2018-03-07T00:00:00"/>
    <m/>
    <m/>
    <d v="2018-03-07T00:00:00"/>
    <d v="2019-03-06T00:00:00"/>
    <n v="3"/>
    <m/>
    <m/>
    <m/>
    <s v="Village- BOL"/>
    <s v="Plot No. PE-99-100 &amp; 1005-106 Sanand-II"/>
    <s v="Industrial Estate, GIDC"/>
    <s v="Ahmedabad"/>
    <n v="382110"/>
    <s v="GJ"/>
    <s v="India"/>
    <n v="5"/>
    <n v="0"/>
    <n v="1"/>
    <n v="1"/>
    <s v="Sun"/>
    <m/>
  </r>
  <r>
    <n v="621"/>
    <s v="Festo India Pvt Ltd"/>
    <x v="564"/>
    <n v="684"/>
    <s v="4030J lX"/>
    <m/>
    <d v="2018-03-09T00:00:00"/>
    <m/>
    <m/>
    <d v="2025-06-03T00:00:00"/>
    <d v="2026-06-02T00:00:00"/>
    <n v="3"/>
    <s v="Mr. Mahesh"/>
    <m/>
    <m/>
    <m/>
    <s v="Plot No.225 &amp; 226 Bommasandra Industrial Area"/>
    <m/>
    <s v="Bangalore"/>
    <n v="560099"/>
    <s v="KA"/>
    <s v="India"/>
    <n v="8"/>
    <n v="0"/>
    <n v="1"/>
    <n v="2"/>
    <s v="Sun"/>
    <m/>
  </r>
  <r>
    <n v="622"/>
    <s v="Romsons International"/>
    <x v="565"/>
    <n v="733"/>
    <s v="2015J LX"/>
    <m/>
    <d v="2018-03-13T00:00:00"/>
    <m/>
    <m/>
    <d v="2021-08-15T00:00:00"/>
    <d v="2022-08-14T00:00:00"/>
    <n v="3"/>
    <m/>
    <m/>
    <m/>
    <s v="Noida Dadri Road"/>
    <s v="Unit- II, 59J ( C) Noida Special Economic Zone"/>
    <s v="Phase-II"/>
    <s v="Noida"/>
    <n v="201305"/>
    <s v="UP"/>
    <s v="India"/>
    <n v="1"/>
    <n v="1"/>
    <n v="5"/>
    <n v="1"/>
    <s v="Sun"/>
    <m/>
  </r>
  <r>
    <n v="623"/>
    <s v="Romsons Medicons "/>
    <x v="566"/>
    <n v="731"/>
    <s v="2015J LX"/>
    <m/>
    <d v="2018-03-13T00:00:00"/>
    <m/>
    <m/>
    <d v="2021-08-15T00:00:00"/>
    <d v="2022-08-14T00:00:00"/>
    <n v="3"/>
    <m/>
    <m/>
    <s v="0562 - 2344083"/>
    <m/>
    <s v="E-20 Foundry Nagar"/>
    <m/>
    <s v="Agra"/>
    <n v="282006"/>
    <s v="UP"/>
    <s v="India"/>
    <n v="1"/>
    <n v="1"/>
    <n v="5"/>
    <n v="4"/>
    <s v="Sun"/>
    <m/>
  </r>
  <r>
    <n v="624"/>
    <s v="Romson Group Pvt Ltd (Romsons Juniors India)"/>
    <x v="567"/>
    <n v="735"/>
    <s v="2015J LX"/>
    <m/>
    <d v="2018-03-13T00:00:00"/>
    <m/>
    <m/>
    <d v="2021-08-15T00:00:00"/>
    <d v="2022-08-14T00:00:00"/>
    <n v="3"/>
    <m/>
    <m/>
    <s v="0562 - 2340185"/>
    <s v="Foundry Nagar"/>
    <s v="Unit- II C-1"/>
    <m/>
    <s v="Agra"/>
    <n v="282006"/>
    <s v="UP"/>
    <s v="India"/>
    <n v="1"/>
    <n v="1"/>
    <n v="5"/>
    <n v="4"/>
    <s v="Sun"/>
    <m/>
  </r>
  <r>
    <n v="625"/>
    <s v="Brakes India Pvt Ltd"/>
    <x v="568"/>
    <n v="687"/>
    <s v="4030J lX"/>
    <m/>
    <d v="2018-03-22T00:00:00"/>
    <m/>
    <m/>
    <d v="2018-03-22T00:00:00"/>
    <d v="2019-03-21T00:00:00"/>
    <n v="3"/>
    <m/>
    <m/>
    <s v="044-26258161"/>
    <s v="Mahindra World City, Natham Sub Post"/>
    <s v="Plot No. AA2, 6th Avenue Auto Ancillary SEZ"/>
    <s v="Chengalpet"/>
    <s v="Kancheepuram"/>
    <n v="603002"/>
    <s v="TN"/>
    <s v="India"/>
    <n v="4"/>
    <n v="0"/>
    <n v="3"/>
    <n v="1"/>
    <s v="Sun"/>
    <m/>
  </r>
  <r>
    <n v="626"/>
    <s v="Toyota Kirloskar Auto Parts P Ltd"/>
    <x v="96"/>
    <n v="685"/>
    <s v="4030J lX"/>
    <m/>
    <d v="2018-03-28T00:00:00"/>
    <m/>
    <m/>
    <d v="2025-08-04T00:00:00"/>
    <d v="2026-08-03T00:00:00"/>
    <n v="3"/>
    <m/>
    <m/>
    <s v="08027287141/143"/>
    <s v="Bidadi"/>
    <s v="#21 Bidadi Indstrl Area"/>
    <m/>
    <s v="Bangalore"/>
    <n v="562109"/>
    <s v="KA"/>
    <s v="India"/>
    <n v="8"/>
    <n v="0"/>
    <n v="3"/>
    <n v="2"/>
    <s v="Sun"/>
    <m/>
  </r>
  <r>
    <n v="627"/>
    <s v="AMB Services"/>
    <x v="569"/>
    <n v="696"/>
    <s v="4020J LX"/>
    <m/>
    <d v="2018-04-05T00:00:00"/>
    <m/>
    <m/>
    <d v="2021-09-28T00:00:00"/>
    <d v="2022-09-27T00:00:00"/>
    <n v="3"/>
    <m/>
    <m/>
    <n v="9500041303"/>
    <s v="Mambakkam Village"/>
    <s v="Plot No.K-16, Phase-II Sipcot Industrial Park"/>
    <s v="Sriperumbudur Tk"/>
    <s v="Kancheepuram"/>
    <n v="602106"/>
    <s v="TN"/>
    <s v="India"/>
    <n v="4"/>
    <n v="0"/>
    <n v="3"/>
    <n v="1"/>
    <s v="Sun"/>
    <m/>
  </r>
  <r>
    <n v="628"/>
    <s v="Sujan Cooperstandard AVS Pvt Ltd"/>
    <x v="570"/>
    <n v="697"/>
    <s v="4020J LX"/>
    <m/>
    <d v="2018-04-09T00:00:00"/>
    <m/>
    <m/>
    <d v="2021-08-18T00:00:00"/>
    <d v="2022-08-17T00:00:00"/>
    <n v="3"/>
    <m/>
    <m/>
    <m/>
    <s v="Chakan MIDC"/>
    <s v="Plot No.F-11 Phase-III"/>
    <s v="Kharabwadi, Taluk:Khed"/>
    <s v="Pune"/>
    <n v="410501"/>
    <s v="MH"/>
    <s v="India"/>
    <n v="2"/>
    <n v="4"/>
    <n v="2"/>
    <n v="1"/>
    <s v="Thu"/>
    <m/>
  </r>
  <r>
    <n v="629"/>
    <s v="Kuduma Precisions"/>
    <x v="571"/>
    <n v="734"/>
    <s v="2015J LX"/>
    <m/>
    <d v="2018-04-11T00:00:00"/>
    <m/>
    <m/>
    <m/>
    <m/>
    <n v="3"/>
    <s v="Mr.Kantharaju"/>
    <m/>
    <m/>
    <s v="Kaverripura"/>
    <s v="#53/2 4th Main"/>
    <s v="Kamakshipalya"/>
    <s v="Bangalore"/>
    <n v="560079"/>
    <s v="KA"/>
    <s v="India"/>
    <n v="8"/>
    <n v="0"/>
    <n v="5"/>
    <n v="1"/>
    <s v="Sun"/>
    <m/>
  </r>
  <r>
    <n v="630"/>
    <s v="Research Centre Imarat (RCI)"/>
    <x v="572"/>
    <n v="695"/>
    <s v="4020J LX"/>
    <m/>
    <d v="2018-04-15T00:00:00"/>
    <m/>
    <m/>
    <m/>
    <m/>
    <n v="3"/>
    <m/>
    <m/>
    <m/>
    <s v="Vignyana Kancha P O"/>
    <s v="Govt. of India Defence Research &amp; Development Organisation"/>
    <m/>
    <s v="Hyderabad"/>
    <n v="500069"/>
    <s v="TS"/>
    <s v="India"/>
    <n v="6"/>
    <n v="0"/>
    <n v="3"/>
    <n v="1"/>
    <s v="Sun"/>
    <m/>
  </r>
  <r>
    <n v="631"/>
    <s v="Minda Onkyo India Private Limited"/>
    <x v="573"/>
    <n v="694"/>
    <s v="4020J LX"/>
    <m/>
    <d v="2018-04-17T00:00:00"/>
    <m/>
    <m/>
    <d v="2025-09-01T00:00:00"/>
    <d v="2026-08-31T00:00:00"/>
    <n v="3"/>
    <m/>
    <m/>
    <m/>
    <s v="HSIIDC"/>
    <s v="192-E Sector-4"/>
    <s v="Bawal"/>
    <s v="Rewari"/>
    <n v="123501"/>
    <s v="HR"/>
    <s v="India"/>
    <n v="2"/>
    <n v="1"/>
    <n v="1"/>
    <n v="3"/>
    <s v="Sun"/>
    <m/>
  </r>
  <r>
    <n v="632"/>
    <s v="Iscon Surgicals Ltd."/>
    <x v="7"/>
    <n v="732"/>
    <s v="2015J LX"/>
    <m/>
    <d v="2018-04-21T00:00:00"/>
    <m/>
    <m/>
    <d v="2018-04-21T00:00:00"/>
    <d v="2019-04-20T00:00:00"/>
    <n v="3"/>
    <s v="Mr.Kuldeep Sharma"/>
    <m/>
    <m/>
    <s v="Phase-II"/>
    <s v="22/4 Heavy Industrial Area"/>
    <s v="Basni"/>
    <s v="Jodhpur"/>
    <n v="342003"/>
    <s v="RJ"/>
    <s v="India"/>
    <n v="1"/>
    <n v="0"/>
    <n v="0"/>
    <n v="2"/>
    <s v="Sun"/>
    <m/>
  </r>
  <r>
    <n v="633"/>
    <s v="Mindarika Pvt Ltd"/>
    <x v="574"/>
    <n v="730"/>
    <s v="2015J LX"/>
    <m/>
    <d v="2018-04-23T00:00:00"/>
    <m/>
    <m/>
    <d v="2025-06-16T00:00:00"/>
    <d v="2026-06-15T00:00:00"/>
    <n v="3"/>
    <m/>
    <m/>
    <m/>
    <s v="Village: Dekavada"/>
    <s v="Survey No. 83,98, 121 &amp; 122 Paiki Dekavada Detroj Road"/>
    <s v="Tehsil: Detroj- Rampura"/>
    <s v="Ahmedabad"/>
    <n v="382120"/>
    <s v="GJ"/>
    <s v="India"/>
    <n v="5"/>
    <n v="0"/>
    <n v="1"/>
    <n v="1"/>
    <s v="Sun"/>
    <m/>
  </r>
  <r>
    <n v="634"/>
    <s v="Fine Line Circuits Limited (HTMU)"/>
    <x v="575"/>
    <n v="698"/>
    <s v="4020J LX"/>
    <m/>
    <d v="2018-04-25T00:00:00"/>
    <m/>
    <m/>
    <d v="2021-10-05T00:00:00"/>
    <d v="2022-10-04T00:00:00"/>
    <n v="3"/>
    <m/>
    <m/>
    <m/>
    <s v="SEEPZ"/>
    <s v="148 SDF-V"/>
    <s v="Andheri (East)"/>
    <s v="Mumbai"/>
    <n v="400096"/>
    <s v="MH"/>
    <s v="India"/>
    <n v="2"/>
    <n v="2"/>
    <n v="2"/>
    <n v="4"/>
    <s v="Sun"/>
    <m/>
  </r>
  <r>
    <n v="635"/>
    <s v="GKM Metal Finishers"/>
    <x v="576"/>
    <n v="431"/>
    <s v="2015J LX"/>
    <m/>
    <d v="2018-04-25T00:00:00"/>
    <m/>
    <m/>
    <d v="2021-06-29T00:00:00"/>
    <d v="2022-06-28T00:00:00"/>
    <n v="3"/>
    <s v="Mr. Kishore"/>
    <m/>
    <n v="9942044211"/>
    <s v="SIDCO Industrial Complex"/>
    <s v="No.13A 3rd Phase"/>
    <s v="Near IOB Bank, Sipcot"/>
    <s v="Hosur"/>
    <n v="635126"/>
    <s v="TN"/>
    <s v="India"/>
    <n v="8"/>
    <n v="0"/>
    <n v="1"/>
    <n v="3"/>
    <s v="Sun"/>
    <m/>
  </r>
  <r>
    <n v="636"/>
    <s v="Schwing Stetter (India) Pvt Ltd"/>
    <x v="577"/>
    <n v="691"/>
    <s v="4020J LX"/>
    <m/>
    <d v="2018-04-25T00:00:00"/>
    <m/>
    <m/>
    <d v="2021-12-13T00:00:00"/>
    <d v="2022-12-12T00:00:00"/>
    <n v="3"/>
    <m/>
    <m/>
    <m/>
    <s v="Irungottukottai"/>
    <s v="F75 SIPCOT Industrial Park"/>
    <s v="Sriperumbudur Taluk"/>
    <s v="Kancheepuram"/>
    <n v="602117"/>
    <s v="TN"/>
    <s v="India"/>
    <n v="4"/>
    <n v="0"/>
    <n v="3"/>
    <n v="1"/>
    <s v="Sun"/>
    <m/>
  </r>
  <r>
    <n v="637"/>
    <s v="VAP Precision Pvt Ltd (Vijaya Auto Products)"/>
    <x v="578"/>
    <n v="740"/>
    <s v="2015J LX"/>
    <m/>
    <d v="2018-05-01T00:00:00"/>
    <m/>
    <m/>
    <d v="2025-07-18T00:00:00"/>
    <d v="2026-07-17T00:00:00"/>
    <n v="3"/>
    <s v="Mr. Nagaraj "/>
    <s v="Plant Head"/>
    <n v="8884067838"/>
    <s v="Bommasandra Jigani Link Road"/>
    <s v="No.283/ 4 &amp; 5 K.R.P Auto Industrial Layout"/>
    <s v="Opp HCL Technology, Jigani Industrial Area, Taluk: Anekal"/>
    <s v="Bangalore"/>
    <n v="560105"/>
    <s v="KA"/>
    <s v="India"/>
    <n v="8"/>
    <n v="0"/>
    <n v="2"/>
    <n v="1"/>
    <s v="Sun"/>
    <m/>
  </r>
  <r>
    <n v="638"/>
    <s v="Tool Grinding Technologies Inc."/>
    <x v="579"/>
    <s v="DC002"/>
    <m/>
    <m/>
    <d v="2018-05-10T00:00:00"/>
    <m/>
    <m/>
    <d v="2018-05-10T00:00:00"/>
    <d v="2019-05-09T00:00:00"/>
    <n v="3"/>
    <s v="Mr. Santhosh Prabhu"/>
    <s v="Managing Director"/>
    <n v="9886126239"/>
    <s v="Peenya Industrial Area"/>
    <s v="No.1-C, Plot No.467,468 &amp; 469 12th Cross, 4th Phase"/>
    <m/>
    <s v="Bangalore"/>
    <n v="560058"/>
    <s v="KA"/>
    <s v="India"/>
    <n v="8"/>
    <n v="0"/>
    <n v="5"/>
    <n v="1"/>
    <s v="Sun"/>
    <m/>
  </r>
  <r>
    <n v="639"/>
    <s v="Eastman Cast &amp; Forge Limited"/>
    <x v="580"/>
    <n v="737"/>
    <s v="2015J LX"/>
    <m/>
    <d v="2018-05-15T00:00:00"/>
    <m/>
    <m/>
    <d v="2018-05-15T00:00:00"/>
    <d v="2019-05-14T00:00:00"/>
    <n v="3"/>
    <m/>
    <m/>
    <m/>
    <m/>
    <s v="G T Road Near Airport"/>
    <m/>
    <s v="Ludhiana"/>
    <n v="141120"/>
    <s v="PB"/>
    <s v="India"/>
    <n v="1"/>
    <n v="3"/>
    <n v="3"/>
    <n v="5"/>
    <s v="Sun"/>
    <m/>
  </r>
  <r>
    <n v="640"/>
    <s v="SJP Industry"/>
    <x v="581"/>
    <n v="700"/>
    <s v="4020J LX"/>
    <m/>
    <d v="2018-05-17T00:00:00"/>
    <m/>
    <m/>
    <d v="2020-12-21T00:00:00"/>
    <d v="2021-12-20T00:00:00"/>
    <n v="3"/>
    <m/>
    <m/>
    <m/>
    <s v="Ekkatuthangal"/>
    <s v="TS-98 SIDCO Industrial Estate"/>
    <m/>
    <s v="Chennai"/>
    <n v="600032"/>
    <s v="TN"/>
    <s v="India"/>
    <n v="4"/>
    <n v="0"/>
    <n v="2"/>
    <n v="1"/>
    <s v="Sun"/>
    <m/>
  </r>
  <r>
    <n v="641"/>
    <s v="Spacenex Aero Pvt Ltd (Pramodaya Aerospace Solutions)"/>
    <x v="582"/>
    <n v="699"/>
    <s v="4020J LX"/>
    <m/>
    <d v="2018-05-21T00:00:00"/>
    <m/>
    <m/>
    <d v="2022-01-20T00:00:00"/>
    <d v="2023-01-19T00:00:00"/>
    <n v="3"/>
    <s v="Mr. Sreenivasalu G"/>
    <s v="Proprietor"/>
    <n v="9916130350"/>
    <s v="Bangalore Aerospace Park"/>
    <s v="Plot No.13 KIADB Industrial Area"/>
    <m/>
    <s v="Bangalore"/>
    <n v="560065"/>
    <s v="KA"/>
    <s v="India"/>
    <n v="8"/>
    <n v="0"/>
    <n v="7"/>
    <n v="1"/>
    <s v="Sun"/>
    <m/>
  </r>
  <r>
    <n v="642"/>
    <s v="Johnson Electric Pvt Ltd"/>
    <x v="583"/>
    <n v="741"/>
    <s v="2015J LX"/>
    <m/>
    <d v="2018-05-22T00:00:00"/>
    <m/>
    <m/>
    <d v="2018-05-22T00:00:00"/>
    <d v="2019-05-21T00:00:00"/>
    <n v="3"/>
    <m/>
    <m/>
    <m/>
    <s v="Madavilagam"/>
    <s v="Survey No. 88 &amp; 90 (Part) Meppur Thangal Road"/>
    <m/>
    <s v="Chennai"/>
    <n v="602103"/>
    <s v="TN"/>
    <s v="India"/>
    <n v="4"/>
    <n v="0"/>
    <n v="2"/>
    <n v="1"/>
    <s v="Sun"/>
    <m/>
  </r>
  <r>
    <n v="643"/>
    <s v="Prem Industries"/>
    <x v="405"/>
    <n v="738"/>
    <s v="2015J LX"/>
    <m/>
    <d v="2018-05-25T00:00:00"/>
    <m/>
    <m/>
    <d v="2021-02-18T00:00:00"/>
    <d v="2022-02-17T00:00:00"/>
    <n v="3"/>
    <s v="Mr. R. Vethanayagam"/>
    <s v="CEO"/>
    <n v="9972144884"/>
    <m/>
    <s v="Plot No.78 B and A Hootagalli Industrial area"/>
    <m/>
    <s v="Mysore"/>
    <n v="570018"/>
    <s v="KA"/>
    <s v="India"/>
    <n v="8"/>
    <n v="0"/>
    <n v="3"/>
    <n v="3"/>
    <s v="Sun"/>
    <m/>
  </r>
  <r>
    <n v="644"/>
    <s v="Henkel Anand India Pvt Ltd"/>
    <x v="584"/>
    <n v="702"/>
    <s v="4020J LX"/>
    <m/>
    <d v="2018-06-15T00:00:00"/>
    <m/>
    <m/>
    <d v="2021-07-31T00:00:00"/>
    <d v="2022-07-30T00:00:00"/>
    <n v="3"/>
    <s v="Mr. Madan Sharma"/>
    <m/>
    <m/>
    <s v="Industrial Area"/>
    <s v="19-E Sector-24"/>
    <m/>
    <s v="Parwanoo"/>
    <n v="173220"/>
    <s v="HP"/>
    <s v="India"/>
    <n v="1"/>
    <n v="3"/>
    <n v="1"/>
    <n v="2"/>
    <s v="Sun"/>
    <m/>
  </r>
  <r>
    <n v="645"/>
    <s v="Terminal Technologies P Ltd"/>
    <x v="585"/>
    <n v="739"/>
    <s v="2015J LX"/>
    <m/>
    <d v="2018-06-15T00:00:00"/>
    <m/>
    <m/>
    <d v="2021-12-18T00:00:00"/>
    <d v="2022-12-17T00:00:00"/>
    <n v="3"/>
    <s v="Mr. C. A. Anto"/>
    <s v="CEO"/>
    <m/>
    <s v="Merchant Industrial Complex"/>
    <s v="Terminal House Building No. 3"/>
    <s v="Valiv, Vasai (E)"/>
    <s v="Palghar"/>
    <n v="401208"/>
    <s v="MH"/>
    <s v="India"/>
    <n v="2"/>
    <n v="1"/>
    <n v="1"/>
    <n v="2"/>
    <s v="Sun"/>
    <m/>
  </r>
  <r>
    <n v="646"/>
    <s v="Tool Grinding Technologies Inc."/>
    <x v="579"/>
    <s v="DC003"/>
    <m/>
    <m/>
    <d v="2018-06-19T00:00:00"/>
    <m/>
    <m/>
    <d v="2018-06-19T00:00:00"/>
    <d v="2019-06-18T00:00:00"/>
    <n v="3"/>
    <s v="Mr. Santhosh Prabhu"/>
    <s v="Managing Director"/>
    <m/>
    <s v="4th Phase"/>
    <s v="No.1-C, Plot No.467,468 &amp; 469 12th Cross"/>
    <s v="Peenya Industrial Area"/>
    <s v="Bangalore"/>
    <n v="560058"/>
    <s v="KA"/>
    <s v="India"/>
    <n v="8"/>
    <n v="0"/>
    <n v="5"/>
    <n v="1"/>
    <s v="Sun"/>
    <m/>
  </r>
  <r>
    <n v="647"/>
    <s v="Ananth Wiretech Tooling"/>
    <x v="586"/>
    <n v="688"/>
    <s v="4030J lX"/>
    <m/>
    <d v="2018-06-27T00:00:00"/>
    <m/>
    <m/>
    <d v="2019-06-11T00:00:00"/>
    <d v="2020-06-10T00:00:00"/>
    <n v="3"/>
    <s v="Mr. Devaraj"/>
    <s v="Managing Director"/>
    <s v="9489044630 / 97906 12504"/>
    <s v="SIDCO Industrial Estate"/>
    <s v="C23-A 1st Phase"/>
    <m/>
    <s v="Hosur"/>
    <n v="635126"/>
    <s v="TN"/>
    <s v="India"/>
    <n v="8"/>
    <n v="0"/>
    <n v="1"/>
    <n v="3"/>
    <s v="Sun"/>
    <m/>
  </r>
  <r>
    <n v="648"/>
    <s v="Napino Auto &amp; Electronics Ltd"/>
    <x v="193"/>
    <n v="743"/>
    <s v="2015J LX"/>
    <m/>
    <d v="2018-07-02T00:00:00"/>
    <m/>
    <m/>
    <d v="2018-07-02T00:00:00"/>
    <d v="2020-07-01T00:00:00"/>
    <n v="3"/>
    <m/>
    <m/>
    <m/>
    <s v="IMT Manesar"/>
    <s v="Plot No.76 Sector- 4"/>
    <m/>
    <s v="Gurgaon"/>
    <n v="122050"/>
    <s v="HR"/>
    <s v="India"/>
    <n v="1"/>
    <n v="1"/>
    <n v="1"/>
    <n v="1"/>
    <s v="Sun"/>
    <m/>
  </r>
  <r>
    <n v="649"/>
    <s v="Integrated CAD CAM Solutions Pvt Ltd"/>
    <x v="587"/>
    <n v="744"/>
    <s v="2015J LX"/>
    <m/>
    <d v="2018-07-11T00:00:00"/>
    <m/>
    <m/>
    <d v="2022-03-01T00:00:00"/>
    <d v="2023-02-28T00:00:00"/>
    <n v="3"/>
    <m/>
    <m/>
    <m/>
    <s v="M.I.D.C Khairane"/>
    <s v="Plot No.A-149/3 T.T.C"/>
    <s v="Thane-Belapur Road"/>
    <s v="Navi Mumbai"/>
    <n v="400701"/>
    <s v="MH"/>
    <s v="India"/>
    <n v="2"/>
    <n v="2"/>
    <n v="2"/>
    <n v="4"/>
    <s v="Sun"/>
    <m/>
  </r>
  <r>
    <n v="650"/>
    <s v="Mahantesh Industries Enterprises"/>
    <x v="588"/>
    <n v="704"/>
    <s v="4020J LX"/>
    <m/>
    <d v="2018-07-14T00:00:00"/>
    <m/>
    <m/>
    <d v="2025-10-11T00:00:00"/>
    <d v="2026-10-10T00:00:00"/>
    <n v="3"/>
    <m/>
    <m/>
    <n v="9448451516"/>
    <s v="RHB Colony, Whitefield Road"/>
    <s v="N0.135/B 2nd Main, 5th Cross"/>
    <s v="Mahadevapura Post"/>
    <s v="Bangalore"/>
    <n v="560048"/>
    <s v="KA"/>
    <s v="India"/>
    <n v="8"/>
    <n v="0"/>
    <n v="5"/>
    <n v="1"/>
    <s v="Sun"/>
    <m/>
  </r>
  <r>
    <n v="651"/>
    <s v="Saini Flange Pvt Ltd"/>
    <x v="589"/>
    <n v="701"/>
    <s v="4020J LX"/>
    <m/>
    <d v="2018-07-16T00:00:00"/>
    <m/>
    <m/>
    <d v="2020-11-30T00:00:00"/>
    <d v="2021-11-29T00:00:00"/>
    <n v="3"/>
    <m/>
    <m/>
    <m/>
    <s v="Phase-3"/>
    <s v="394 Export Promotion Industrial Park"/>
    <s v="Kundli"/>
    <s v="Sonepat"/>
    <n v="131028"/>
    <s v="HR"/>
    <s v="India"/>
    <n v="1"/>
    <n v="1"/>
    <n v="3"/>
    <n v="2"/>
    <s v="Sun"/>
    <m/>
  </r>
  <r>
    <n v="652"/>
    <s v="Quality Laboratory"/>
    <x v="590"/>
    <n v="703"/>
    <s v="4020J LX"/>
    <m/>
    <d v="2018-07-18T00:00:00"/>
    <m/>
    <m/>
    <d v="2018-07-18T00:00:00"/>
    <d v="2019-07-17T00:00:00"/>
    <n v="3"/>
    <s v="Mr. Sateesha"/>
    <m/>
    <n v="8548041285"/>
    <s v="N.R. Colony"/>
    <s v="No.10 Newpet"/>
    <s v="Anekal Taluk"/>
    <s v="Bangalore"/>
    <n v="562106"/>
    <s v="KA"/>
    <s v="India"/>
    <n v="8"/>
    <n v="0"/>
    <n v="1"/>
    <n v="2"/>
    <s v="Sun"/>
    <m/>
  </r>
  <r>
    <n v="653"/>
    <s v="Rupesh Technologies Pvt Ltd"/>
    <x v="591"/>
    <n v="745"/>
    <s v="2015J LX"/>
    <m/>
    <d v="2018-07-21T00:00:00"/>
    <m/>
    <m/>
    <d v="2021-08-26T00:00:00"/>
    <d v="2022-08-25T00:00:00"/>
    <n v="3"/>
    <s v="Mr. Lokesh"/>
    <s v="Director"/>
    <m/>
    <s v="Opp.Widia, Behind Karle International"/>
    <s v="No.96/1 Nagasandra (Vikasnagar)"/>
    <s v="Tumkur Main Road"/>
    <s v="Bangalore"/>
    <n v="560073"/>
    <s v="KA"/>
    <s v="India"/>
    <n v="8"/>
    <n v="0"/>
    <n v="4"/>
    <n v="1"/>
    <s v="Sun"/>
    <m/>
  </r>
  <r>
    <n v="654"/>
    <s v="Mark Ortho Care pvt ltd"/>
    <x v="592"/>
    <n v="742"/>
    <s v="2015J LX"/>
    <m/>
    <d v="2018-07-28T00:00:00"/>
    <m/>
    <m/>
    <d v="2018-07-28T00:00:00"/>
    <d v="2020-07-27T00:00:00"/>
    <n v="3"/>
    <s v="Mr. Manish Ruparelia/ Mr. Mrugesh"/>
    <m/>
    <s v="98798 39600/ 9898598380"/>
    <s v="Changodar Industrial Estate"/>
    <s v="Plot No.16 Block No.405/1"/>
    <s v="Changodar"/>
    <s v="Ahmedabad"/>
    <n v="382213"/>
    <s v="GJ"/>
    <s v="India"/>
    <n v="5"/>
    <n v="0"/>
    <n v="1"/>
    <n v="1"/>
    <s v="Sun"/>
    <m/>
  </r>
  <r>
    <n v="655"/>
    <s v="Acumen Tools"/>
    <x v="593"/>
    <n v="689"/>
    <s v="4030J lX"/>
    <m/>
    <d v="2018-07-31T00:00:00"/>
    <m/>
    <m/>
    <d v="2021-11-12T00:00:00"/>
    <d v="2022-11-11T00:00:00"/>
    <n v="3"/>
    <s v="Mr. Shakti"/>
    <m/>
    <n v="9880601126"/>
    <s v="Hosur Main Road,"/>
    <s v="No.880, Sy No.173/1 Old Chandapur, Opp. R.K Dhaba"/>
    <s v="Anekal Taluk"/>
    <s v="Bangalore"/>
    <n v="560099"/>
    <s v="KA"/>
    <s v="India"/>
    <n v="8"/>
    <n v="0"/>
    <n v="1"/>
    <n v="2"/>
    <s v="Sun"/>
    <m/>
  </r>
  <r>
    <n v="656"/>
    <s v="Quality Connections (Ess Cube Components)"/>
    <x v="594"/>
    <n v="754"/>
    <s v="2015J LX"/>
    <m/>
    <d v="2018-08-06T00:00:00"/>
    <m/>
    <m/>
    <d v="2021-08-10T00:00:00"/>
    <d v="2022-08-09T00:00:00"/>
    <n v="3"/>
    <s v="Mr.Jitendra Kr."/>
    <m/>
    <n v="9958361997"/>
    <s v="DSIIDC"/>
    <s v="E-130 Sector-1"/>
    <s v="Bawana"/>
    <s v="Delhi"/>
    <n v="110039"/>
    <s v="DL"/>
    <s v="India"/>
    <n v="1"/>
    <n v="1"/>
    <n v="6"/>
    <n v="2"/>
    <s v="Sun"/>
    <m/>
  </r>
  <r>
    <n v="657"/>
    <s v="Flamagas India Pvt Ltd"/>
    <x v="595"/>
    <n v="750"/>
    <s v="2015J LX"/>
    <m/>
    <d v="2018-08-09T00:00:00"/>
    <m/>
    <m/>
    <d v="2025-10-17T00:00:00"/>
    <d v="2026-10-16T00:00:00"/>
    <n v="3"/>
    <s v="Mr. T Chandra mariappan"/>
    <m/>
    <s v="99403 68026/ 99401 33288"/>
    <s v="Mambakkam"/>
    <s v="No.121/2C Mambakkam Post"/>
    <m/>
    <s v="Chennai"/>
    <n v="600127"/>
    <s v="TN"/>
    <s v="India"/>
    <n v="4"/>
    <n v="0"/>
    <n v="2"/>
    <n v="1"/>
    <s v="Sun"/>
    <m/>
  </r>
  <r>
    <n v="658"/>
    <s v="Dilsen Autoplast"/>
    <x v="596"/>
    <n v="705"/>
    <s v="4020J LX"/>
    <m/>
    <d v="2018-08-09T00:00:00"/>
    <m/>
    <m/>
    <d v="2018-08-09T00:00:00"/>
    <d v="2019-08-08T00:00:00"/>
    <n v="3"/>
    <s v="Mr. T.Senthil "/>
    <m/>
    <n v="9790950504"/>
    <s v="SIDCO Industrial Estate"/>
    <s v="Plot No.146 1st Main Road"/>
    <s v="Maganlapuri Nagar, Thirumudivakkam"/>
    <s v="Chennai"/>
    <n v="600044"/>
    <s v="TN"/>
    <s v="India"/>
    <n v="4"/>
    <n v="0"/>
    <n v="2"/>
    <n v="2"/>
    <s v="Sun"/>
    <m/>
  </r>
  <r>
    <n v="659"/>
    <s v="Napino Continental Vehicle Electronics Pvt Ltd"/>
    <x v="597"/>
    <n v="706"/>
    <s v="4020J LX"/>
    <m/>
    <d v="2018-08-11T00:00:00"/>
    <m/>
    <m/>
    <d v="2021-10-01T00:00:00"/>
    <d v="2022-09-30T00:00:00"/>
    <n v="3"/>
    <s v="Mr. Kumud Ranjan "/>
    <m/>
    <n v="9205891200"/>
    <s v="IMT Manesar"/>
    <s v="Plot No.131 Sector-8"/>
    <m/>
    <s v="Gurugram"/>
    <n v="122050"/>
    <s v="HR"/>
    <s v="India"/>
    <n v="1"/>
    <n v="1"/>
    <n v="1"/>
    <n v="1"/>
    <s v="Sun"/>
    <m/>
  </r>
  <r>
    <n v="660"/>
    <s v="Empire Machine Tools Pvt Ltd"/>
    <x v="598"/>
    <n v="707"/>
    <s v="4020J LX"/>
    <m/>
    <d v="2018-08-12T00:00:00"/>
    <m/>
    <m/>
    <d v="2021-01-07T00:00:00"/>
    <d v="2022-01-06T00:00:00"/>
    <n v="3"/>
    <s v="Mr. M.Ponnusamy"/>
    <m/>
    <s v="0422-4510125 / 2577369"/>
    <s v="Lakshmipuram "/>
    <s v="124-A Thulasi Layout"/>
    <s v="Peelamedu"/>
    <s v="Coimbatore"/>
    <n v="641006"/>
    <s v="TN"/>
    <s v="India"/>
    <n v="4"/>
    <n v="1"/>
    <n v="1"/>
    <n v="2"/>
    <s v="Sun"/>
    <m/>
  </r>
  <r>
    <n v="661"/>
    <s v="L.G.Balakrishnan &amp; Bros Ltd (Candid Micron Measurements Pvt Ltd)"/>
    <x v="599"/>
    <n v="780"/>
    <s v="4030J lX"/>
    <m/>
    <d v="2018-08-12T00:00:00"/>
    <m/>
    <m/>
    <d v="2024-04-01T00:00:00"/>
    <d v="2025-03-31T00:00:00"/>
    <n v="3"/>
    <s v="Mr. Vishwanathan / Mr. Mohan"/>
    <s v="Partners"/>
    <s v="9786686610/ 9786686611"/>
    <s v="Ganapathy Post"/>
    <s v="No.63 Athipalayam Road"/>
    <m/>
    <s v="Coimbatore"/>
    <n v="641006"/>
    <s v="TN"/>
    <s v="India"/>
    <n v="4"/>
    <n v="1"/>
    <n v="6"/>
    <n v="1"/>
    <s v="Sun"/>
    <m/>
  </r>
  <r>
    <n v="662"/>
    <s v="Rank Metrology Services"/>
    <x v="600"/>
    <n v="708"/>
    <s v="4020J LX"/>
    <m/>
    <d v="2018-08-15T00:00:00"/>
    <m/>
    <m/>
    <d v="2018-08-15T00:00:00"/>
    <d v="2019-08-14T00:00:00"/>
    <n v="3"/>
    <s v="Mr.Syed Habees"/>
    <s v="Technical Director"/>
    <s v="94865 01522"/>
    <s v="Sathy Road"/>
    <s v="#1394/2C Sakthi Nagar II"/>
    <s v="Ganapathy"/>
    <s v="Coimbatore"/>
    <n v="641006"/>
    <s v="TN"/>
    <s v="India"/>
    <n v="4"/>
    <n v="1"/>
    <n v="6"/>
    <n v="1"/>
    <s v="Sun"/>
    <m/>
  </r>
  <r>
    <n v="663"/>
    <s v="AVMM Technology Pvt Ltd (AVM Engg Service)"/>
    <x v="601"/>
    <n v="749"/>
    <s v="2015J LX"/>
    <m/>
    <d v="2018-08-17T00:00:00"/>
    <m/>
    <m/>
    <d v="2021-02-25T00:00:00"/>
    <d v="2022-02-24T00:00:00"/>
    <n v="3"/>
    <s v="Mr. S.Manogaran"/>
    <m/>
    <n v="9840276885"/>
    <s v="Pazhanthandalam"/>
    <s v="No.60, 394/2B Kalaimagal Nagar Extension"/>
    <s v="Thirumudivakkam"/>
    <s v="Chennai"/>
    <n v="600044"/>
    <s v="TN"/>
    <s v="India"/>
    <n v="4"/>
    <n v="0"/>
    <n v="2"/>
    <n v="2"/>
    <s v="Sun"/>
    <m/>
  </r>
  <r>
    <n v="664"/>
    <s v="Kcaltech System India LLP (Candid )"/>
    <x v="602"/>
    <n v="753"/>
    <s v="2015J LX"/>
    <m/>
    <d v="2018-08-21T00:00:00"/>
    <m/>
    <m/>
    <d v="2018-08-21T00:00:00"/>
    <d v="2019-08-20T00:00:00"/>
    <n v="3"/>
    <s v="Mr. D Sarvanan"/>
    <m/>
    <n v="9176628042"/>
    <s v="Industrial Area, Phase-III"/>
    <s v="No.11 Gudaloor Village"/>
    <s v="Chengalpattu"/>
    <s v="Kanchipuram"/>
    <n v="603209"/>
    <s v="TN"/>
    <s v="India"/>
    <n v="4"/>
    <n v="0"/>
    <n v="3"/>
    <n v="1"/>
    <s v="Sun"/>
    <m/>
  </r>
  <r>
    <n v="665"/>
    <s v="Kun Aerospace Pvt Ltd"/>
    <x v="603"/>
    <n v="686"/>
    <s v="4030J lX"/>
    <m/>
    <d v="2018-08-21T00:00:00"/>
    <m/>
    <m/>
    <d v="2021-06-29T00:00:00"/>
    <d v="2022-06-28T00:00:00"/>
    <n v="3"/>
    <m/>
    <m/>
    <m/>
    <s v="Ambattur"/>
    <s v="No.22 &amp; 23 Ambattur Industrial Estate"/>
    <m/>
    <s v="Chennai"/>
    <n v="600058"/>
    <s v="TN"/>
    <s v="India"/>
    <n v="4"/>
    <n v="0"/>
    <n v="4"/>
    <n v="1"/>
    <s v="Sun"/>
    <m/>
  </r>
  <r>
    <n v="666"/>
    <s v="Precision Industrial Fasteners"/>
    <x v="604"/>
    <n v="752"/>
    <s v="2015J LX"/>
    <m/>
    <d v="2018-08-21T00:00:00"/>
    <m/>
    <m/>
    <d v="2025-05-07T00:00:00"/>
    <d v="2026-05-06T00:00:00"/>
    <n v="3"/>
    <s v="Mr. Vikas Paharia"/>
    <m/>
    <n v="9911776630"/>
    <s v="Sahnewal Dehlon Road"/>
    <s v="Street No.2, Ganpati Estate Opposite PSPCL Grid"/>
    <s v="Sahnewal"/>
    <s v="Ludhiana"/>
    <n v="141120"/>
    <s v="PB"/>
    <s v="India"/>
    <n v="1"/>
    <n v="3"/>
    <n v="3"/>
    <n v="5"/>
    <s v="Sun"/>
    <m/>
  </r>
  <r>
    <n v="667"/>
    <s v="Kriya Medical Technologies Pvt Ltd"/>
    <x v="605"/>
    <n v="748"/>
    <s v="2015J LX"/>
    <m/>
    <d v="2018-08-27T00:00:00"/>
    <m/>
    <m/>
    <d v="2018-08-27T00:00:00"/>
    <d v="2019-08-26T00:00:00"/>
    <n v="3"/>
    <m/>
    <m/>
    <m/>
    <s v="Anna Nagar west"/>
    <s v="No.77 J-Block"/>
    <m/>
    <s v="Chennai"/>
    <n v="600040"/>
    <s v="TN"/>
    <s v="India"/>
    <n v="4"/>
    <n v="0"/>
    <n v="4"/>
    <n v="1"/>
    <s v="Sun"/>
    <m/>
  </r>
  <r>
    <n v="668"/>
    <s v="Vikas Industries"/>
    <x v="606"/>
    <n v="709"/>
    <s v="4020J LX"/>
    <m/>
    <d v="2018-08-28T00:00:00"/>
    <m/>
    <m/>
    <d v="2021-08-03T00:00:00"/>
    <d v="2022-08-02T00:00:00"/>
    <n v="3"/>
    <m/>
    <m/>
    <m/>
    <s v="Mangalpuri Industria Area"/>
    <s v="A-71 Phase-2"/>
    <m/>
    <s v="New Delhi"/>
    <n v="110034"/>
    <s v="DL"/>
    <s v="India"/>
    <n v="1"/>
    <n v="1"/>
    <n v="6"/>
    <n v="2"/>
    <s v="Sun"/>
    <m/>
  </r>
  <r>
    <n v="669"/>
    <s v="Sujay Industries"/>
    <x v="607"/>
    <n v="755"/>
    <s v="2015J LX"/>
    <m/>
    <d v="2018-09-22T00:00:00"/>
    <m/>
    <m/>
    <d v="2020-12-17T00:00:00"/>
    <d v="2021-12-16T00:00:00"/>
    <n v="3"/>
    <s v="Mr. Surender"/>
    <s v="Managing Director"/>
    <n v="9845142590"/>
    <s v="Bommasandra-Jigani Link Road"/>
    <s v="136-B KIADB Industrial Area"/>
    <m/>
    <s v="Bangalore"/>
    <n v="560105"/>
    <s v="KA"/>
    <s v="India"/>
    <n v="8"/>
    <n v="0"/>
    <n v="2"/>
    <n v="1"/>
    <s v="Sun"/>
    <m/>
  </r>
  <r>
    <n v="670"/>
    <s v="Bhavani Industries"/>
    <x v="608"/>
    <n v="757"/>
    <s v="2015J LX"/>
    <m/>
    <d v="2018-09-24T00:00:00"/>
    <m/>
    <m/>
    <d v="2025-10-10T00:00:00"/>
    <d v="2026-10-09T00:00:00"/>
    <n v="3"/>
    <s v="Mr. Chetan Hegde"/>
    <s v="Managing Director"/>
    <n v="9611117727"/>
    <s v="KIADR Bidadi Industrial Area"/>
    <s v="Plot No.55 Sector-2, Phase-2"/>
    <s v="Bidadi"/>
    <s v="Ramanagara"/>
    <n v="562109"/>
    <s v="KA"/>
    <s v="India"/>
    <n v="8"/>
    <n v="0"/>
    <n v="3"/>
    <n v="2"/>
    <s v="Sun"/>
    <m/>
  </r>
  <r>
    <n v="671"/>
    <s v="Vulcan Cold Forge Pvt Ltd"/>
    <x v="609"/>
    <n v="756"/>
    <s v="2015J LX"/>
    <m/>
    <d v="2018-09-29T00:00:00"/>
    <m/>
    <m/>
    <d v="2018-09-29T00:00:00"/>
    <d v="2020-09-28T00:00:00"/>
    <n v="3"/>
    <s v="Mr.Siddhant Ahuja "/>
    <s v="General Manage"/>
    <n v="9910005886"/>
    <s v="IMT Manesar"/>
    <s v="Plot No.432 Sector-8"/>
    <m/>
    <s v="Gurgaon"/>
    <n v="122051"/>
    <s v="HR"/>
    <s v="India"/>
    <n v="1"/>
    <n v="1"/>
    <n v="1"/>
    <n v="1"/>
    <s v="Sun"/>
    <m/>
  </r>
  <r>
    <n v="672"/>
    <s v="Edge Gro Industries"/>
    <x v="610"/>
    <n v="747"/>
    <s v="2015J LX"/>
    <m/>
    <d v="2018-10-04T00:00:00"/>
    <m/>
    <m/>
    <m/>
    <m/>
    <n v="3"/>
    <m/>
    <m/>
    <s v="011-2748 7930"/>
    <s v="Tronica City"/>
    <s v="Plot No. E-42, Sector- A 5 &amp;6 U.P.S.I.D.C"/>
    <m/>
    <s v="Loni Ghaziabad"/>
    <n v="201102"/>
    <s v="UP"/>
    <s v="India"/>
    <n v="1"/>
    <n v="1"/>
    <n v="4"/>
    <n v="1"/>
    <s v="Sun"/>
    <m/>
  </r>
  <r>
    <n v="673"/>
    <s v="Rajshree Engineers"/>
    <x v="611"/>
    <n v="760"/>
    <s v="2015J LX"/>
    <m/>
    <d v="2018-10-13T00:00:00"/>
    <m/>
    <m/>
    <d v="2018-10-13T00:00:00"/>
    <d v="2020-10-12T00:00:00"/>
    <n v="3"/>
    <m/>
    <m/>
    <n v="9312269057"/>
    <s v="Kheri Road"/>
    <s v="Gali No.7 H-Block"/>
    <s v="Bharath Colony"/>
    <s v="Faridabad"/>
    <n v="121002"/>
    <s v="HR"/>
    <s v="India"/>
    <n v="1"/>
    <n v="1"/>
    <n v="6"/>
    <n v="1"/>
    <s v="Sun"/>
    <m/>
  </r>
  <r>
    <n v="674"/>
    <s v="Tool Grinding Technologies Inc."/>
    <x v="579"/>
    <s v="DC004"/>
    <m/>
    <m/>
    <d v="2018-10-15T00:00:00"/>
    <m/>
    <m/>
    <d v="2018-10-15T00:00:00"/>
    <d v="2019-10-14T00:00:00"/>
    <n v="3"/>
    <s v="Mr. Santhosh Prabhu"/>
    <s v="Managing Director"/>
    <n v="9886126239"/>
    <s v="Peenya Industrial Area"/>
    <s v="No.1-C, Plot No.467,468 &amp; 469 12th Cross, 4th Phase"/>
    <m/>
    <s v="Bangalore"/>
    <n v="560058"/>
    <s v="KA"/>
    <s v="India"/>
    <n v="8"/>
    <n v="0"/>
    <n v="5"/>
    <n v="1"/>
    <s v="Sun"/>
    <m/>
  </r>
  <r>
    <n v="675"/>
    <s v="Wirecom (India) Pvt Ltd"/>
    <x v="612"/>
    <n v="758"/>
    <s v="2015J LX"/>
    <m/>
    <d v="2018-10-16T00:00:00"/>
    <m/>
    <m/>
    <d v="2019-10-15T00:00:00"/>
    <d v="2020-10-14T00:00:00"/>
    <n v="3"/>
    <m/>
    <m/>
    <n v="9320374472"/>
    <s v="Kharabwadi, Village Chakan"/>
    <s v="Gat No.245, 246, 247 249/ 3 Plot No.3"/>
    <s v="Tal-Khed"/>
    <s v="Pune"/>
    <n v="410501"/>
    <s v="MH"/>
    <s v="India"/>
    <n v="2"/>
    <n v="1"/>
    <n v="1"/>
    <n v="3"/>
    <s v="Sun"/>
    <m/>
  </r>
  <r>
    <n v="676"/>
    <s v="Aditek"/>
    <x v="613"/>
    <n v="746"/>
    <s v="2015J LX"/>
    <m/>
    <d v="2018-10-20T00:00:00"/>
    <m/>
    <m/>
    <d v="2024-02-21T00:00:00"/>
    <d v="2025-02-20T00:00:00"/>
    <n v="3"/>
    <m/>
    <m/>
    <s v="0231-2605648/ 2608107/195"/>
    <s v="Tal: Karveer"/>
    <s v="R.S No.364/1 At Post: Uchagaon"/>
    <m/>
    <s v="Kolhapur"/>
    <n v="416005"/>
    <s v="MH"/>
    <s v="India"/>
    <n v="8"/>
    <n v="0"/>
    <n v="0"/>
    <n v="4"/>
    <s v="Sun"/>
    <m/>
  </r>
  <r>
    <n v="677"/>
    <s v="MSSL Tooling FZE"/>
    <x v="614"/>
    <n v="712"/>
    <s v="4020J LX"/>
    <m/>
    <d v="2018-10-20T00:00:00"/>
    <m/>
    <m/>
    <d v="2021-07-01T00:00:00"/>
    <d v="2022-06-30T00:00:00"/>
    <n v="3"/>
    <m/>
    <m/>
    <m/>
    <s v="SAIF Zone"/>
    <s v="Mouling Division H 3/4-6"/>
    <s v="PO Box 8763"/>
    <s v="Sharjah"/>
    <m/>
    <s v="OC"/>
    <s v="UAE"/>
    <n v="0"/>
    <n v="0"/>
    <n v="0"/>
    <n v="0"/>
    <n v="0"/>
    <m/>
  </r>
  <r>
    <n v="678"/>
    <s v="Shri Sai Tools"/>
    <x v="615"/>
    <n v="764"/>
    <s v="2015J LX"/>
    <m/>
    <d v="2018-10-31T00:00:00"/>
    <m/>
    <m/>
    <d v="2018-10-31T00:00:00"/>
    <d v="2019-10-30T00:00:00"/>
    <n v="3"/>
    <s v="Mr. Santhosh   "/>
    <s v="Partner"/>
    <n v="9886001670"/>
    <s v="Devarachikkanahalli Main Road"/>
    <s v="No.98/3-D Kuttiyappa Garden"/>
    <s v="Bilekahalli"/>
    <s v="Bangalore"/>
    <n v="560076"/>
    <s v="KA"/>
    <s v="India"/>
    <n v="8"/>
    <n v="0"/>
    <n v="3"/>
    <n v="1"/>
    <s v="Sun"/>
    <m/>
  </r>
  <r>
    <n v="679"/>
    <s v="Dhawan Engineers Pvt Ltd"/>
    <x v="616"/>
    <n v="711"/>
    <s v="4020J LX"/>
    <m/>
    <d v="2018-11-03T00:00:00"/>
    <m/>
    <m/>
    <d v="2021-11-29T00:00:00"/>
    <d v="2022-11-28T00:00:00"/>
    <n v="3"/>
    <s v="Mr. Abhishek Dhawan"/>
    <m/>
    <s v="9999608602 / 0124-4367338"/>
    <s v="IMT Manesar"/>
    <s v="Plot No.165 Sector-6"/>
    <m/>
    <s v="Gurgaon"/>
    <n v="122050"/>
    <s v="HR"/>
    <s v="India"/>
    <n v="1"/>
    <n v="1"/>
    <n v="1"/>
    <n v="1"/>
    <s v="Sun"/>
    <m/>
  </r>
  <r>
    <n v="680"/>
    <s v="Shiv Om Brass Industries"/>
    <x v="617"/>
    <n v="759"/>
    <s v="2015J LX"/>
    <m/>
    <d v="2018-11-05T00:00:00"/>
    <m/>
    <m/>
    <d v="2024-10-29T00:00:00"/>
    <d v="2025-10-28T00:00:00"/>
    <n v="3"/>
    <s v="Mr. Snehal Gohel"/>
    <s v="Partner"/>
    <n v="9825210890"/>
    <s v="Near Pramukhswami Circle"/>
    <s v="Plot No, 3690/3691 Road 7"/>
    <s v="G.I.D.C. Phase 3, Dared"/>
    <s v="Jamnagar"/>
    <n v="361004"/>
    <s v="GJ"/>
    <s v="India"/>
    <n v="5"/>
    <n v="4"/>
    <n v="0"/>
    <n v="1"/>
    <s v="Fri"/>
    <m/>
  </r>
  <r>
    <n v="681"/>
    <s v="Shiv Om Brass Industries"/>
    <x v="617"/>
    <n v="761"/>
    <s v="2015J LX"/>
    <m/>
    <d v="2018-11-05T00:00:00"/>
    <m/>
    <m/>
    <d v="2020-11-09T00:00:00"/>
    <d v="2021-11-08T00:00:00"/>
    <n v="3"/>
    <s v="Mr. Snehal Gohel"/>
    <s v="Partner"/>
    <n v="9825210890"/>
    <s v="Near Pramukhswami Circle"/>
    <s v="Plot No, 3690/3691 Road 7"/>
    <s v="G.I.D.C. Phase 3, Dared"/>
    <s v="Jamnagar"/>
    <n v="361004"/>
    <s v="GJ"/>
    <s v="India"/>
    <n v="5"/>
    <n v="4"/>
    <n v="0"/>
    <n v="1"/>
    <s v="Fri"/>
    <m/>
  </r>
  <r>
    <n v="682"/>
    <s v="Shiv Om Brass Industries"/>
    <x v="617"/>
    <n v="762"/>
    <s v="2015J LX"/>
    <m/>
    <d v="2018-11-05T00:00:00"/>
    <m/>
    <m/>
    <d v="2020-11-09T00:00:00"/>
    <d v="2021-11-08T00:00:00"/>
    <n v="3"/>
    <s v="Mr. Snehal Gohel"/>
    <s v="Partner"/>
    <n v="9825210890"/>
    <s v="Near Pramukhswami Circle"/>
    <s v="Plot No, 3690/3691 Road 7"/>
    <s v="G.I.D.C. Phase 3, Dared"/>
    <s v="Jamnagar"/>
    <n v="361004"/>
    <s v="GJ"/>
    <s v="India"/>
    <n v="5"/>
    <n v="4"/>
    <n v="0"/>
    <n v="1"/>
    <s v="Fri"/>
    <m/>
  </r>
  <r>
    <n v="683"/>
    <s v="Shiv Om Brass Industries"/>
    <x v="617"/>
    <n v="763"/>
    <s v="2015J LX"/>
    <m/>
    <d v="2018-11-05T00:00:00"/>
    <m/>
    <m/>
    <d v="2020-11-09T00:00:00"/>
    <d v="2021-11-08T00:00:00"/>
    <n v="3"/>
    <s v="Mr. Snehal Gohel"/>
    <s v="Partner"/>
    <n v="9825210890"/>
    <s v="Near Pramukhswami Circle"/>
    <s v="Plot No, 3690/3691 Road 7"/>
    <s v="G.I.D.C. Phase 3, Dared"/>
    <s v="Jamnagar"/>
    <n v="361004"/>
    <s v="GJ"/>
    <s v="India"/>
    <n v="5"/>
    <n v="4"/>
    <n v="0"/>
    <n v="1"/>
    <s v="Fri"/>
    <m/>
  </r>
  <r>
    <n v="684"/>
    <s v="Vishwakarma Institute of Technology"/>
    <x v="618"/>
    <n v="765"/>
    <s v="2015J LX"/>
    <m/>
    <d v="2018-11-16T00:00:00"/>
    <m/>
    <m/>
    <d v="2018-11-16T00:00:00"/>
    <d v="2019-11-15T00:00:00"/>
    <n v="3"/>
    <m/>
    <m/>
    <s v="020-24202276  / 9021507932"/>
    <s v="Bibwewadi"/>
    <s v="Plot No.666 Upper Indiranagara"/>
    <m/>
    <s v="Pune"/>
    <n v="411037"/>
    <s v="MH"/>
    <s v="India"/>
    <n v="2"/>
    <n v="4"/>
    <n v="4"/>
    <n v="1"/>
    <s v="Thu"/>
    <m/>
  </r>
  <r>
    <n v="685"/>
    <s v="Hivi Precision Pvt Ltd (Vijaya Auto Products)"/>
    <x v="619"/>
    <n v="751"/>
    <s v="2015J LX"/>
    <m/>
    <d v="2018-11-23T00:00:00"/>
    <m/>
    <m/>
    <d v="2021-09-15T00:00:00"/>
    <d v="2022-09-14T00:00:00"/>
    <n v="3"/>
    <s v="Mr. Praveen Jayaram"/>
    <s v="Managing Director"/>
    <n v="9886767891"/>
    <s v="Jigani Industrial Area"/>
    <s v="Plot No.283/ 4 &amp; 5 Jigani Link Road"/>
    <s v="Anekal Taluk"/>
    <s v="Bangalore"/>
    <n v="560105"/>
    <s v="KA"/>
    <s v="India"/>
    <n v="8"/>
    <n v="0"/>
    <n v="2"/>
    <n v="1"/>
    <s v="Sun"/>
    <m/>
  </r>
  <r>
    <n v="686"/>
    <s v="Intessence Solutions Pvt Ltd"/>
    <x v="620"/>
    <n v="769"/>
    <s v="2015J LX"/>
    <m/>
    <d v="2018-12-06T00:00:00"/>
    <m/>
    <m/>
    <d v="2025-07-29T00:00:00"/>
    <d v="2026-07-28T00:00:00"/>
    <n v="3"/>
    <s v="Mr. Hari Prasad Rao"/>
    <s v="Managing Director"/>
    <n v="738111084"/>
    <s v="1st Stage"/>
    <s v="Plot No.167/1 3rd Cross"/>
    <s v="Peenya Industrial Area"/>
    <s v="Bangalore"/>
    <n v="560058"/>
    <s v="KA"/>
    <s v="India"/>
    <n v="8"/>
    <n v="0"/>
    <n v="5"/>
    <n v="1"/>
    <s v="Sun"/>
    <m/>
  </r>
  <r>
    <n v="687"/>
    <s v="Vardhaman Pressure Diecastings"/>
    <x v="621"/>
    <n v="715"/>
    <s v="4020J LX"/>
    <m/>
    <d v="2018-12-06T00:00:00"/>
    <m/>
    <m/>
    <d v="2018-12-08T00:00:00"/>
    <d v="2019-12-07T00:00:00"/>
    <n v="3"/>
    <s v="Mr. R. Balamurugan"/>
    <s v="Manager - Plant"/>
    <n v="8056673717"/>
    <s v="Bommasanadra Indl Area"/>
    <s v="Plot No.281 (Sy # Part of 110) Kachanayakanahalli"/>
    <s v="Jigani Hobli, Henagara (Post)"/>
    <s v="Bangalore"/>
    <n v="560099"/>
    <s v="KA"/>
    <s v="India"/>
    <n v="8"/>
    <n v="0"/>
    <n v="2"/>
    <n v="1"/>
    <s v="Sun"/>
    <m/>
  </r>
  <r>
    <n v="688"/>
    <s v="PVP Techno"/>
    <x v="622"/>
    <n v="767"/>
    <s v="2015J LX"/>
    <m/>
    <d v="2018-12-09T00:00:00"/>
    <m/>
    <m/>
    <d v="2018-12-09T00:00:00"/>
    <d v="2019-12-08T00:00:00"/>
    <n v="3"/>
    <m/>
    <m/>
    <m/>
    <s v="Lakshman Nagar"/>
    <s v="No.8 Sathyamurthy Street"/>
    <s v="Kandhanchavdi"/>
    <s v="Chennai"/>
    <n v="600096"/>
    <s v="TN"/>
    <s v="India"/>
    <n v="4"/>
    <n v="0"/>
    <n v="2"/>
    <n v="1"/>
    <s v="Sun"/>
    <m/>
  </r>
  <r>
    <n v="689"/>
    <s v="Rialto Enterprises Pvt Ltd"/>
    <x v="623"/>
    <n v="713"/>
    <s v="4020J LX"/>
    <m/>
    <d v="2018-12-09T00:00:00"/>
    <m/>
    <m/>
    <d v="2018-12-19T00:00:00"/>
    <d v="2019-12-18T00:00:00"/>
    <n v="3"/>
    <m/>
    <m/>
    <n v="7358385953"/>
    <s v="Melakottaiyur"/>
    <s v="69A Vandalore- Kelampakkam Road"/>
    <m/>
    <s v="Chennai"/>
    <n v="600127"/>
    <s v="TN"/>
    <s v="India"/>
    <n v="4"/>
    <n v="0"/>
    <n v="2"/>
    <n v="1"/>
    <s v="Sun"/>
    <m/>
  </r>
  <r>
    <n v="690"/>
    <s v="Aisin Automotives Haryana Pvt Ltd"/>
    <x v="624"/>
    <n v="710"/>
    <s v="4020J LX"/>
    <m/>
    <d v="2018-12-17T00:00:00"/>
    <m/>
    <m/>
    <d v="2018-12-17T00:00:00"/>
    <d v="2019-12-16T00:00:00"/>
    <n v="3"/>
    <m/>
    <m/>
    <s v="7082109603 / 03, 7082828247 "/>
    <s v="(Japanese Industrial Zone) Vithalapura Village"/>
    <s v="Plot No.28 to 45 Mandal (GIDC) Industrial Estate"/>
    <s v="Taluk- Madala"/>
    <s v="Ahmedabad"/>
    <n v="382130"/>
    <s v="GJ"/>
    <s v="India"/>
    <n v="5"/>
    <n v="0"/>
    <n v="1"/>
    <n v="1"/>
    <s v="Sun"/>
    <m/>
  </r>
  <r>
    <n v="691"/>
    <s v="Natesan Synchrocones Pvt Ltd"/>
    <x v="625"/>
    <n v="714"/>
    <s v="4020J LX"/>
    <m/>
    <d v="2018-12-23T00:00:00"/>
    <m/>
    <m/>
    <d v="2022-02-26T00:00:00"/>
    <d v="2023-02-25T00:00:00"/>
    <n v="3"/>
    <s v="Mr. Vasu"/>
    <m/>
    <s v="044-23450823  / 824"/>
    <s v="Sriperumbudur Taluk"/>
    <s v="No.74 Vadakal Village"/>
    <m/>
    <s v="Kancheepuram"/>
    <m/>
    <s v="TN"/>
    <s v="India"/>
    <n v="4"/>
    <n v="0"/>
    <n v="3"/>
    <n v="1"/>
    <s v="Sun"/>
    <m/>
  </r>
  <r>
    <n v="692"/>
    <s v="Eta Aerospace Pvt Ltd (Pams Engg)"/>
    <x v="626"/>
    <n v="716"/>
    <s v="4020J LX"/>
    <m/>
    <d v="2018-12-28T00:00:00"/>
    <m/>
    <m/>
    <d v="2021-09-15T00:00:00"/>
    <d v="2022-09-14T00:00:00"/>
    <n v="3"/>
    <s v="Mr. Girish"/>
    <s v="Quality Dept"/>
    <n v="9481907322"/>
    <s v="Hootagalli"/>
    <s v="Plot No.72/A2 Hootagalli Industrial area"/>
    <m/>
    <s v="Mysore"/>
    <n v="570018"/>
    <s v="KA"/>
    <s v="India"/>
    <n v="8"/>
    <n v="0"/>
    <n v="3"/>
    <n v="3"/>
    <s v="Sun"/>
    <m/>
  </r>
  <r>
    <n v="693"/>
    <s v="Saideep Moulding Industries"/>
    <x v="627"/>
    <n v="772"/>
    <s v="4030J lX"/>
    <m/>
    <d v="2018-12-29T00:00:00"/>
    <m/>
    <m/>
    <d v="2022-01-07T00:00:00"/>
    <d v="2023-01-06T00:00:00"/>
    <n v="3"/>
    <s v="Mr. Ganesh B. Hande"/>
    <s v="Director"/>
    <n v="7028009595"/>
    <s v="Ranjanagaon"/>
    <s v="D-125 MIDC"/>
    <s v="Tal.-Shirur"/>
    <s v="Pune"/>
    <n v="412220"/>
    <s v="MH"/>
    <s v="India"/>
    <n v="2"/>
    <n v="4"/>
    <n v="4"/>
    <n v="1"/>
    <s v="Thu"/>
    <m/>
  </r>
  <r>
    <n v="694"/>
    <s v="Igarashi Motors India Ltd"/>
    <x v="628"/>
    <n v="773"/>
    <s v="4030J lX"/>
    <m/>
    <d v="2019-01-06T00:00:00"/>
    <m/>
    <m/>
    <d v="2022-01-24T00:00:00"/>
    <d v="2023-01-23T00:00:00"/>
    <n v="3"/>
    <m/>
    <m/>
    <m/>
    <s v="Phase-II"/>
    <s v="Plot No.D-6, II-D MEPZ"/>
    <s v="Tambaram"/>
    <s v="Chennai"/>
    <n v="600045"/>
    <s v="TN"/>
    <s v="India"/>
    <n v="4"/>
    <n v="0"/>
    <n v="2"/>
    <n v="3"/>
    <s v="Sun"/>
    <m/>
  </r>
  <r>
    <n v="695"/>
    <s v="Magellan Aerospace India Pvt Ltd"/>
    <x v="629"/>
    <n v="770"/>
    <s v="4030J lX"/>
    <m/>
    <d v="2019-01-10T00:00:00"/>
    <m/>
    <m/>
    <d v="2020-02-10T00:00:00"/>
    <d v="2021-02-09T00:00:00"/>
    <n v="3"/>
    <s v="Mr. Vinay Kaushik"/>
    <m/>
    <n v="7899388885"/>
    <s v="Hi-Tech Aerospace &amp; Defence Park"/>
    <s v="Plot No.69 to 81 Aerospace SEZ Sector"/>
    <s v="Devanahalli    "/>
    <s v="Bangalore"/>
    <n v="562110"/>
    <s v="KA"/>
    <s v="India"/>
    <n v="8"/>
    <n v="0"/>
    <n v="7"/>
    <n v="1"/>
    <s v="Sun"/>
    <m/>
  </r>
  <r>
    <n v="696"/>
    <s v="Accumax Lab Devices Pvt Ltd"/>
    <x v="630"/>
    <n v="768"/>
    <s v="2015J LX"/>
    <m/>
    <d v="2019-01-12T00:00:00"/>
    <m/>
    <m/>
    <d v="2019-01-12T00:00:00"/>
    <d v="2020-01-11T00:00:00"/>
    <n v="3"/>
    <s v="Mr. Kaival Bhavsar"/>
    <s v="Sr. Product Manager - R&amp;D "/>
    <n v="9624040387"/>
    <s v="Gota-Vadsar Road"/>
    <s v="Block No.228/1/4 Dantali Industrial Estate"/>
    <s v="Dantali, Tal: Kalol"/>
    <s v="Gandhinagar"/>
    <n v="382721"/>
    <s v="GJ"/>
    <s v="India"/>
    <n v="5"/>
    <n v="0"/>
    <n v="2"/>
    <n v="1"/>
    <s v="Sun"/>
    <m/>
  </r>
  <r>
    <n v="697"/>
    <s v="Ametek Instrumentts India Pvt Ltd"/>
    <x v="631"/>
    <n v="774"/>
    <s v="4030J lX"/>
    <m/>
    <d v="2019-01-16T00:00:00"/>
    <m/>
    <m/>
    <d v="2022-03-29T00:00:00"/>
    <d v="2023-03-28T00:00:00"/>
    <n v="3"/>
    <s v="Mr. Arjun.C"/>
    <m/>
    <n v="9886794423"/>
    <s v="Site No.1, EPIP Industrial Area"/>
    <s v="Divyashree N R Enclave Block-A, 4th Floor"/>
    <s v="Whitefield    "/>
    <s v="Bangalore"/>
    <n v="560066"/>
    <s v="KA"/>
    <s v="India"/>
    <n v="8"/>
    <n v="0"/>
    <n v="8"/>
    <n v="1"/>
    <s v="Sun"/>
    <m/>
  </r>
  <r>
    <n v="698"/>
    <s v="Schilthorn Precision Engg Pvt Ltd"/>
    <x v="632"/>
    <n v="783"/>
    <s v="2015J LX"/>
    <m/>
    <d v="2019-01-21T00:00:00"/>
    <m/>
    <m/>
    <d v="2019-01-21T00:00:00"/>
    <d v="2021-01-20T00:00:00"/>
    <n v="3"/>
    <s v="Mr. Rakesh Patel"/>
    <m/>
    <n v="9904103738"/>
    <s v="GIDC Estate"/>
    <s v="Plot No.305 Phase-1"/>
    <s v="Chhatral"/>
    <s v="Gandhinagar"/>
    <n v="382729"/>
    <s v="GJ"/>
    <s v="India"/>
    <n v="5"/>
    <n v="0"/>
    <n v="2"/>
    <n v="1"/>
    <s v="Sun"/>
    <m/>
  </r>
  <r>
    <n v="699"/>
    <s v="FIEM Industries Limited"/>
    <x v="633"/>
    <n v="786"/>
    <s v="2015J LX"/>
    <m/>
    <d v="2019-01-29T00:00:00"/>
    <m/>
    <m/>
    <d v="2021-03-20T00:00:00"/>
    <d v="2022-03-19T00:00:00"/>
    <n v="3"/>
    <s v="Mr. V.K.Goel"/>
    <m/>
    <s v="9991702463/ 0130-2367905/06/07/08"/>
    <s v="Tapukara"/>
    <s v="SP1-C Industrial Area"/>
    <m/>
    <s v="Alwar"/>
    <n v="301707"/>
    <s v="RJ"/>
    <s v="India"/>
    <n v="1"/>
    <n v="1"/>
    <n v="1"/>
    <n v="4"/>
    <s v="Sun"/>
    <m/>
  </r>
  <r>
    <n v="700"/>
    <s v="Shigan Quantum Technologies Pvt Ltd"/>
    <x v="634"/>
    <n v="782"/>
    <s v="2015J LX"/>
    <m/>
    <d v="2019-02-02T00:00:00"/>
    <m/>
    <m/>
    <d v="2019-02-02T00:00:00"/>
    <d v="2021-02-01T00:00:00"/>
    <n v="3"/>
    <s v="Mr.Chander Jeet"/>
    <m/>
    <n v="9813981239"/>
    <s v="Bhangrola, IMT Manesar"/>
    <s v="Shyam Udyog  Parisar Hall No.2, Bhangrola Road"/>
    <m/>
    <s v="Gurugram"/>
    <n v="122505"/>
    <s v="HR"/>
    <s v="India"/>
    <n v="1"/>
    <n v="1"/>
    <n v="1"/>
    <n v="1"/>
    <s v="Sun"/>
    <m/>
  </r>
  <r>
    <n v="701"/>
    <s v="Makar Tech"/>
    <x v="635"/>
    <n v="718"/>
    <s v="4020J LX"/>
    <m/>
    <d v="2019-02-04T00:00:00"/>
    <m/>
    <m/>
    <d v="2019-02-04T00:00:00"/>
    <d v="2020-02-03T00:00:00"/>
    <n v="3"/>
    <s v="Mr. Kanagaraj"/>
    <m/>
    <s v="8754140284 / 6369943911"/>
    <s v="Bodipalayam"/>
    <s v="No. 2/196 Thannir Kenaru Thottam"/>
    <m/>
    <s v="Coimbatore"/>
    <n v="641105"/>
    <s v="TN"/>
    <s v="India"/>
    <n v="4"/>
    <n v="1"/>
    <n v="3"/>
    <n v="1"/>
    <s v="Sun"/>
    <m/>
  </r>
  <r>
    <n v="702"/>
    <s v="Decon India Plastics Pvt Ltd"/>
    <x v="636"/>
    <n v="775"/>
    <s v="4030J lX"/>
    <m/>
    <d v="2019-02-13T00:00:00"/>
    <m/>
    <m/>
    <d v="2019-02-13T00:00:00"/>
    <d v="2022-02-12T00:00:00"/>
    <n v="3"/>
    <s v="Mr. Dharmendra Singh "/>
    <s v="Plant- Head"/>
    <n v="8378960015"/>
    <s v="Tal. Khed"/>
    <s v="Gat # 357/92 Kharabwadi"/>
    <s v="Chakan"/>
    <s v="Pune"/>
    <n v="410501"/>
    <s v="MH"/>
    <s v="India"/>
    <n v="2"/>
    <n v="4"/>
    <n v="2"/>
    <n v="1"/>
    <s v="Thu"/>
    <m/>
  </r>
  <r>
    <n v="703"/>
    <s v="Panasonic Life Solns India Pvt Ltd (Anchor Electricals Pvt Ltd)"/>
    <x v="452"/>
    <n v="766"/>
    <s v="2015J LX"/>
    <m/>
    <d v="2019-02-13T00:00:00"/>
    <m/>
    <m/>
    <d v="2025-06-09T00:00:00"/>
    <d v="2026-06-08T00:00:00"/>
    <n v="3"/>
    <s v="Ms. Pooja Saini "/>
    <m/>
    <s v="01334/325991/92/93 &amp;9557233237"/>
    <s v="SIDCUL"/>
    <s v="Plot No.4 Sector-11, Integrated Industrial Estate"/>
    <s v="Ranipur"/>
    <s v="Haridwar"/>
    <n v="249403"/>
    <s v="UK"/>
    <s v="India"/>
    <n v="1"/>
    <n v="0"/>
    <n v="4"/>
    <n v="2"/>
    <s v="Sun"/>
    <m/>
  </r>
  <r>
    <n v="704"/>
    <s v="Magellan Aerospace (Tumkur) Pvt Ltd (Triveni Aeronautics Pvt Ltd)"/>
    <x v="637"/>
    <n v="776"/>
    <s v="4030J lX"/>
    <m/>
    <d v="2020-02-14T00:00:00"/>
    <m/>
    <m/>
    <d v="2022-01-20T00:00:00"/>
    <d v="2023-01-19T00:00:00"/>
    <n v="3"/>
    <s v="Mr. Hanumanth Barki"/>
    <s v="QC-Head"/>
    <n v="7022276716"/>
    <s v="KIADB Industrial Area"/>
    <s v="No.120 Anthrasanahalli 2nd Phase"/>
    <m/>
    <s v="Tumkur"/>
    <n v="572106"/>
    <s v="KA"/>
    <s v="India"/>
    <n v="8"/>
    <n v="0"/>
    <n v="5"/>
    <n v="2"/>
    <s v="Sun"/>
    <m/>
  </r>
  <r>
    <n v="705"/>
    <s v="Standex Electronics India Pvt Ltd"/>
    <x v="638"/>
    <n v="787"/>
    <s v="2015J LX"/>
    <m/>
    <d v="2019-02-20T00:00:00"/>
    <m/>
    <m/>
    <d v="2019-02-20T00:00:00"/>
    <d v="2020-02-19T00:00:00"/>
    <n v="3"/>
    <s v="Mr.Dhanajayan Balaji"/>
    <m/>
    <s v="9952447354 / 99402 63733"/>
    <s v="Oragandam - Wallajabad Road"/>
    <s v="B300B, Indospace Industrial Park Block 'B', Panrutti Village"/>
    <s v="Sriperumbudur Taluk"/>
    <s v="Kanchipuram"/>
    <n v="631604"/>
    <s v="TN"/>
    <s v="India"/>
    <n v="4"/>
    <n v="0"/>
    <n v="3"/>
    <n v="1"/>
    <s v="Sun"/>
    <m/>
  </r>
  <r>
    <n v="706"/>
    <s v="S and P Enterprises"/>
    <x v="639"/>
    <n v="717"/>
    <s v="4020J LX"/>
    <m/>
    <d v="2019-03-14T00:00:00"/>
    <m/>
    <m/>
    <d v="2020-05-22T00:00:00"/>
    <d v="2021-05-21T00:00:00"/>
    <n v="3"/>
    <m/>
    <m/>
    <s v="044 - 2745 1182"/>
    <s v="NH3"/>
    <s v="Plot No.13/12 Nagavalliamman Koil Street"/>
    <s v="Maramalai Nagar"/>
    <s v="Kanchipuram"/>
    <s v="603 209"/>
    <s v="TN"/>
    <s v="India"/>
    <n v="4"/>
    <n v="0"/>
    <n v="3"/>
    <n v="1"/>
    <s v="Sun"/>
    <m/>
  </r>
  <r>
    <n v="707"/>
    <s v="Terminal Technologies P Ltd"/>
    <x v="468"/>
    <n v="799"/>
    <s v="2015J LX"/>
    <m/>
    <d v="2019-03-18T00:00:00"/>
    <m/>
    <m/>
    <d v="2021-12-18T00:00:00"/>
    <d v="2022-12-17T00:00:00"/>
    <n v="3"/>
    <m/>
    <m/>
    <m/>
    <s v="Merchant Industrial Complex"/>
    <s v="Terminal House Building No.3"/>
    <s v="Valiv, Vasai (E)"/>
    <s v="Palghar"/>
    <n v="401208"/>
    <s v="MH"/>
    <s v="India"/>
    <n v="2"/>
    <n v="1"/>
    <n v="1"/>
    <n v="3"/>
    <s v="Sun"/>
    <m/>
  </r>
  <r>
    <n v="708"/>
    <s v="A.G. Industries"/>
    <x v="640"/>
    <n v="800"/>
    <s v="2015J LX"/>
    <m/>
    <d v="2019-03-21T00:00:00"/>
    <m/>
    <m/>
    <d v="2021-06-16T00:00:00"/>
    <d v="2022-06-15T00:00:00"/>
    <n v="3"/>
    <s v="Mr. Gurudatt"/>
    <s v="CEO"/>
    <n v="9886748330"/>
    <s v="Siddapura"/>
    <s v="Plot No.1 &amp; 2 1st Cross"/>
    <s v="Hosur Road, Wilson garden"/>
    <s v="Bangalore"/>
    <n v="560027"/>
    <s v="KA"/>
    <s v="India"/>
    <n v="8"/>
    <n v="0"/>
    <n v="1"/>
    <n v="3"/>
    <s v="Sun"/>
    <m/>
  </r>
  <r>
    <n v="709"/>
    <s v="Motherson Techno Tools Limited"/>
    <x v="641"/>
    <n v="801"/>
    <s v="2015J LX"/>
    <m/>
    <d v="2019-03-27T00:00:00"/>
    <m/>
    <m/>
    <d v="2021-07-01T00:00:00"/>
    <d v="2022-06-30T00:00:00"/>
    <n v="3"/>
    <m/>
    <m/>
    <s v="0120-2510045 / 2500759"/>
    <s v="Dist: Gautam Budh Nagar"/>
    <s v="A-2 Sector-84"/>
    <m/>
    <s v="Noida"/>
    <n v="201301"/>
    <s v="UP"/>
    <s v="India"/>
    <n v="1"/>
    <n v="1"/>
    <n v="5"/>
    <n v="1"/>
    <s v="Sun"/>
    <m/>
  </r>
  <r>
    <n v="710"/>
    <s v="Varroc Engg Limited"/>
    <x v="642"/>
    <n v="779"/>
    <s v="4030J lX"/>
    <m/>
    <d v="2019-04-05T00:00:00"/>
    <m/>
    <m/>
    <d v="2019-04-05T00:00:00"/>
    <d v="2021-04-04T00:00:00"/>
    <n v="3"/>
    <m/>
    <m/>
    <s v="020-67329000"/>
    <s v="Chafekar Chowk"/>
    <s v="C.T.S No.4270 Elpro Compound"/>
    <s v="Chinchwadgaon"/>
    <s v="Pune"/>
    <n v="411033"/>
    <s v="MH"/>
    <s v="India"/>
    <n v="2"/>
    <n v="4"/>
    <n v="2"/>
    <n v="1"/>
    <s v="Thu"/>
    <m/>
  </r>
  <r>
    <n v="711"/>
    <s v="Mindarika Pvt Ltd"/>
    <x v="643"/>
    <n v="785"/>
    <s v="2015J LX"/>
    <m/>
    <d v="2019-04-05T00:00:00"/>
    <m/>
    <m/>
    <d v="2021-05-06T00:00:00"/>
    <d v="2022-05-05T00:00:00"/>
    <n v="3"/>
    <m/>
    <m/>
    <m/>
    <s v="Village Mahalunge"/>
    <s v="Gat No.427/10, 427/5 Chakan- Talegaon Road"/>
    <m/>
    <s v="Pune"/>
    <n v="410501"/>
    <s v="MH"/>
    <s v="India"/>
    <m/>
    <m/>
    <m/>
    <m/>
    <s v="Thu"/>
    <m/>
  </r>
  <r>
    <n v="712"/>
    <s v="Byraveshwara Engg Enterprises"/>
    <x v="644"/>
    <n v="784"/>
    <s v="2015J LX"/>
    <m/>
    <d v="2019-04-13T00:00:00"/>
    <m/>
    <m/>
    <d v="2021-07-03T00:00:00"/>
    <d v="2022-07-02T00:00:00"/>
    <n v="3"/>
    <s v="Mr. Dhananjaya"/>
    <m/>
    <s v="080- 23282209 / 2273 9677"/>
    <s v="Srigandhakavalu"/>
    <s v="Plot No.108 4th Main, Chandana Layout"/>
    <s v="Sunkadakatte"/>
    <s v="Bangalore"/>
    <n v="560091"/>
    <s v="KA"/>
    <s v="India"/>
    <n v="8"/>
    <n v="0"/>
    <n v="4"/>
    <n v="1"/>
    <s v="Sun"/>
    <m/>
  </r>
  <r>
    <n v="713"/>
    <s v="Naresh Rubber Udyog"/>
    <x v="645"/>
    <n v="802"/>
    <s v="2015J LX"/>
    <m/>
    <d v="2019-04-13T00:00:00"/>
    <m/>
    <m/>
    <d v="2024-02-05T00:00:00"/>
    <d v="2025-02-04T00:00:00"/>
    <n v="3"/>
    <m/>
    <m/>
    <s v="98185 96999 / 98109 01317"/>
    <s v="Industrial Area"/>
    <s v="Plot No.17/2 N.I.T"/>
    <m/>
    <s v="Faridabad"/>
    <n v="121001"/>
    <s v="HR"/>
    <s v="India"/>
    <n v="1"/>
    <n v="1"/>
    <n v="6"/>
    <n v="1"/>
    <s v="Sun"/>
    <m/>
  </r>
  <r>
    <n v="714"/>
    <s v="Microtech Polymers"/>
    <x v="646"/>
    <n v="720"/>
    <s v="4020J LX"/>
    <m/>
    <d v="2019-04-26T00:00:00"/>
    <m/>
    <m/>
    <d v="2022-03-10T00:00:00"/>
    <d v="2023-03-09T00:00:00"/>
    <n v="3"/>
    <s v="Mr. Senthil Kumar"/>
    <m/>
    <m/>
    <s v="Vivekanand Road"/>
    <s v="Plot No. 1/52 Sukkaran Thottam"/>
    <s v="Udayampalayam, Ganapathy"/>
    <s v="Coimbatore"/>
    <n v="641006"/>
    <s v="TN"/>
    <s v="India"/>
    <n v="8"/>
    <n v="0"/>
    <n v="5"/>
    <n v="4"/>
    <s v="Sun"/>
    <m/>
  </r>
  <r>
    <n v="715"/>
    <s v="Yagachi Technologies Pvt Ltd"/>
    <x v="647"/>
    <n v="803"/>
    <s v="2015J LX"/>
    <m/>
    <d v="2019-05-07T00:00:00"/>
    <m/>
    <m/>
    <d v="2021-07-17T00:00:00"/>
    <d v="2022-07-16T00:00:00"/>
    <n v="3"/>
    <m/>
    <m/>
    <s v="08172- 256267"/>
    <s v="Industrial Growth Centre"/>
    <s v="Plot No.3,4 &amp; 5 Thimmanahally Industrial Area"/>
    <s v="Kandali Post"/>
    <s v="Hassan"/>
    <n v="573217"/>
    <s v="KA"/>
    <s v="India"/>
    <n v="8"/>
    <n v="0"/>
    <n v="5"/>
    <n v="3"/>
    <s v="Sun"/>
    <m/>
  </r>
  <r>
    <n v="716"/>
    <s v="Terminal Technologies P Ltd"/>
    <x v="81"/>
    <n v="805"/>
    <s v="2015J LX"/>
    <m/>
    <d v="2019-05-10T00:00:00"/>
    <m/>
    <m/>
    <d v="2025-06-29T00:00:00"/>
    <d v="2026-06-28T00:00:00"/>
    <n v="3"/>
    <m/>
    <m/>
    <s v="02135 - 6606 588/ 8550995083"/>
    <s v="Nanekarawadi"/>
    <s v="Building No.1 &amp; 4 Gat No.312/2, 3 &amp; 6"/>
    <s v="Chakan"/>
    <s v="Pune"/>
    <n v="410501"/>
    <s v="MH"/>
    <s v="India"/>
    <n v="2"/>
    <n v="4"/>
    <n v="2"/>
    <n v="1"/>
    <s v="Thu"/>
    <m/>
  </r>
  <r>
    <n v="717"/>
    <s v="Micro Form Automation"/>
    <x v="648"/>
    <n v="835"/>
    <s v="4020J LX"/>
    <m/>
    <d v="2019-05-13T00:00:00"/>
    <m/>
    <m/>
    <d v="2019-05-13T00:00:00"/>
    <d v="2020-05-12T00:00:00"/>
    <n v="3"/>
    <s v="Mr. Bharath"/>
    <s v="CEO"/>
    <s v="73388 37718 / 73388 37719"/>
    <s v="Vellakinar Post"/>
    <s v="S.F No.546/1 Saravanampatti Road"/>
    <m/>
    <s v="Coimbatore"/>
    <n v="641029"/>
    <s v="TN"/>
    <s v="India"/>
    <n v="4"/>
    <n v="1"/>
    <n v="3"/>
    <n v="1"/>
    <s v="Sun"/>
    <m/>
  </r>
  <r>
    <n v="718"/>
    <s v="Oleo Buffers India Pvt Ltd"/>
    <x v="649"/>
    <n v="836"/>
    <s v="4020J LX"/>
    <m/>
    <d v="2019-05-13T00:00:00"/>
    <m/>
    <m/>
    <d v="2019-05-13T00:00:00"/>
    <d v="2020-05-12T00:00:00"/>
    <n v="3"/>
    <s v="Mr. Umesh Joshi"/>
    <m/>
    <s v="74061 38000 / 99164 84273"/>
    <s v="Hi-Tech Hardware Park"/>
    <s v="Plot No.32 &amp; 33 KIADB"/>
    <s v="Mahadevakodigehalli"/>
    <s v="Bangalore"/>
    <n v="562149"/>
    <s v="KA"/>
    <s v="India"/>
    <n v="8"/>
    <n v="0"/>
    <n v="8"/>
    <n v="1"/>
    <s v="Sun"/>
    <m/>
  </r>
  <r>
    <n v="719"/>
    <s v="MC Industrial Tools"/>
    <x v="650"/>
    <n v="804"/>
    <s v="2015J LX"/>
    <m/>
    <d v="2019-05-20T00:00:00"/>
    <m/>
    <m/>
    <d v="2019-05-20T00:00:00"/>
    <d v="2020-05-19T00:00:00"/>
    <n v="3"/>
    <s v="Mr. Eranna Gowda"/>
    <m/>
    <n v="9980581151"/>
    <s v="1st Stage, 3rd Cross"/>
    <s v="No. DP-23 KSSIDC Industrial Area"/>
    <s v="Jigani, Tq: Anekal"/>
    <s v="Bangalore"/>
    <n v="560105"/>
    <s v="KA"/>
    <s v="India"/>
    <n v="8"/>
    <n v="0"/>
    <n v="2"/>
    <n v="1"/>
    <s v="Sun"/>
    <m/>
  </r>
  <r>
    <n v="720"/>
    <s v="Mitsuba India Pvt Ltd (Mitsuba Sical India Pvt Ltd)"/>
    <x v="651"/>
    <n v="834"/>
    <s v="4020J LX"/>
    <m/>
    <d v="2019-05-20T00:00:00"/>
    <m/>
    <m/>
    <d v="2021-05-07T00:00:00"/>
    <d v="2022-05-06T00:00:00"/>
    <n v="3"/>
    <s v="Mr. Krishnamurthy"/>
    <m/>
    <s v="8754009534 / 044- 27922558"/>
    <s v="Gummidipoondi"/>
    <s v="D-8      SIPCOT Industrial Complex"/>
    <m/>
    <s v="Chennai"/>
    <n v="601201"/>
    <s v="TN"/>
    <s v="India"/>
    <n v="4"/>
    <n v="0"/>
    <n v="5"/>
    <n v="2"/>
    <s v="Sun"/>
    <m/>
  </r>
  <r>
    <n v="721"/>
    <s v="ABI Showatech (India) Limited"/>
    <x v="351"/>
    <n v="806"/>
    <s v="2015J LX"/>
    <m/>
    <d v="2019-05-20T00:00:00"/>
    <m/>
    <m/>
    <d v="2021-05-18T00:00:00"/>
    <d v="2022-06-17T00:00:00"/>
    <n v="3"/>
    <s v="Mr. Azhagesan"/>
    <s v="QC- Head (Tool Room)"/>
    <s v="9047023761 / 04172 - 278431"/>
    <s v="Ranipet (Via)"/>
    <s v="Pulivalam Banavaram (Post)"/>
    <m/>
    <s v="Vellore"/>
    <n v="632505"/>
    <s v="TN"/>
    <s v="India"/>
    <n v="4"/>
    <n v="0"/>
    <n v="3"/>
    <n v="3"/>
    <s v="Sun"/>
    <m/>
  </r>
  <r>
    <n v="722"/>
    <s v="PLANSEE India High Performance Materials Pvt Ltd"/>
    <x v="297"/>
    <n v="824"/>
    <s v="2015J LX"/>
    <m/>
    <d v="2019-05-24T00:00:00"/>
    <m/>
    <m/>
    <d v="2025-08-02T00:00:00"/>
    <d v="2026-08-01T00:00:00"/>
    <n v="3"/>
    <m/>
    <m/>
    <s v="9880367222 / 0821- 4280293"/>
    <s v="Metagalli Post"/>
    <s v="Plot No.311 Hebbal Industrial Area"/>
    <m/>
    <s v="Mysore"/>
    <n v="570016"/>
    <s v="KA"/>
    <s v="India"/>
    <n v="8"/>
    <n v="0"/>
    <n v="3"/>
    <n v="3"/>
    <s v="Sun"/>
    <m/>
  </r>
  <r>
    <n v="723"/>
    <s v="Mando Automotive India Pvt Ltd"/>
    <x v="652"/>
    <n v="833"/>
    <s v="4020J LX"/>
    <m/>
    <d v="2019-05-25T00:00:00"/>
    <m/>
    <m/>
    <d v="2021-06-17T00:00:00"/>
    <d v="2022-06-16T00:00:00"/>
    <n v="3"/>
    <m/>
    <m/>
    <m/>
    <s v="Vengadu Village"/>
    <s v="Plant-1: Plot No.S1A &amp; S5 SIPCOT Industrial Park"/>
    <s v="Pillaipakkam Post"/>
    <s v="Sriperumbudur"/>
    <n v="602105"/>
    <s v="TN"/>
    <s v="India"/>
    <n v="4"/>
    <n v="0"/>
    <n v="3"/>
    <n v="1"/>
    <s v="Sun"/>
    <m/>
  </r>
  <r>
    <n v="724"/>
    <s v="Romsons Scientific &amp; Surgical Industries Pvt ltd"/>
    <x v="653"/>
    <n v="808"/>
    <s v="2015M LX"/>
    <m/>
    <d v="2019-05-28T00:00:00"/>
    <m/>
    <m/>
    <d v="2019-05-28T00:00:00"/>
    <d v="2021-05-27T00:00:00"/>
    <n v="3"/>
    <m/>
    <m/>
    <s v="0562 - 2280720 / 9634295253"/>
    <s v="Nunhai"/>
    <s v="Plot No. 62, 63 Industrial Estate"/>
    <m/>
    <s v="Agra"/>
    <n v="282006"/>
    <s v="UP"/>
    <s v="India"/>
    <n v="1"/>
    <n v="1"/>
    <n v="5"/>
    <n v="4"/>
    <s v="Sun"/>
    <m/>
  </r>
  <r>
    <n v="725"/>
    <s v="DAN Plastics"/>
    <x v="654"/>
    <n v="809"/>
    <s v="2015J LX"/>
    <m/>
    <d v="2019-06-04T00:00:00"/>
    <m/>
    <m/>
    <d v="2021-02-18T00:00:00"/>
    <d v="2022-02-17T00:00:00"/>
    <n v="3"/>
    <s v="Mr. R.Vethanayagam"/>
    <s v="CEO"/>
    <s v="9972144884 / 0821 2581170 "/>
    <s v="Yelwal Hobli"/>
    <s v="Plot No.13-P14 Koorgalli Industrial Area"/>
    <s v="Mysore Taluk"/>
    <s v="Mysore"/>
    <n v="571130"/>
    <s v="KA"/>
    <s v="India"/>
    <n v="8"/>
    <n v="0"/>
    <n v="3"/>
    <n v="3"/>
    <s v="Sun"/>
    <m/>
  </r>
  <r>
    <n v="726"/>
    <s v="DAN Plastics"/>
    <x v="654"/>
    <n v="810"/>
    <s v="2015J LX"/>
    <m/>
    <d v="2019-06-04T00:00:00"/>
    <m/>
    <m/>
    <d v="2025-10-09T00:00:00"/>
    <d v="2026-10-08T00:00:00"/>
    <n v="3"/>
    <s v="Mr. R.Vethanayagam"/>
    <s v="CEO"/>
    <s v="9972144884 / 0821 2581170 "/>
    <s v="Yelwal Hobli"/>
    <s v="Plot No.13-P14 Koorgalli Industrial Area"/>
    <s v="Mysore Taluk"/>
    <s v="Mysore"/>
    <n v="571130"/>
    <s v="KA"/>
    <s v="India"/>
    <n v="8"/>
    <n v="0"/>
    <n v="3"/>
    <n v="3"/>
    <s v="Sun"/>
    <m/>
  </r>
  <r>
    <n v="727"/>
    <s v="Excel Plast"/>
    <x v="655"/>
    <n v="832"/>
    <s v="4020J LX"/>
    <m/>
    <d v="2019-06-04T00:00:00"/>
    <m/>
    <m/>
    <d v="2021-10-06T00:00:00"/>
    <d v="2022-10-05T00:00:00"/>
    <n v="3"/>
    <m/>
    <m/>
    <s v="0422- 2568353"/>
    <s v="Varatharaja Layout -1"/>
    <s v="No.53, 4B P.N.Palayam Road"/>
    <s v="Ganapathy"/>
    <s v="Coimbatore"/>
    <n v="641006"/>
    <s v="TN"/>
    <s v="India"/>
    <n v="4"/>
    <n v="1"/>
    <n v="6"/>
    <n v="1"/>
    <s v="Sun"/>
    <m/>
  </r>
  <r>
    <n v="728"/>
    <s v="Continental Tools &amp; Components"/>
    <x v="656"/>
    <n v="797"/>
    <s v="2015J LX"/>
    <m/>
    <d v="2019-06-06T00:00:00"/>
    <m/>
    <m/>
    <d v="2019-06-06T00:00:00"/>
    <d v="2021-06-05T00:00:00"/>
    <n v="3"/>
    <m/>
    <m/>
    <s v="0129-4001332 / 9811057716"/>
    <s v="Phase-1"/>
    <s v="Plot No.48 &amp; 49 Sanjay Memorial Industrial Area"/>
    <s v="Opp. Y.M.C.A"/>
    <s v="Faridabad"/>
    <n v="121006"/>
    <s v="HR"/>
    <s v="India"/>
    <n v="1"/>
    <n v="1"/>
    <n v="6"/>
    <n v="1"/>
    <s v="Sun"/>
    <m/>
  </r>
  <r>
    <n v="729"/>
    <s v="J L Multitech (J.L Engg Industries)"/>
    <x v="657"/>
    <n v="798"/>
    <s v="2015J LX"/>
    <m/>
    <d v="2019-06-12T00:00:00"/>
    <m/>
    <m/>
    <d v="2019-06-12T00:00:00"/>
    <d v="2020-06-11T00:00:00"/>
    <n v="3"/>
    <s v="Mr. Darshan Achar"/>
    <m/>
    <n v="9591012495"/>
    <s v="Vishwaneedam Post"/>
    <s v="No.47 Rajeev Gandhi Nagar Road"/>
    <s v="Sunkadakatte"/>
    <s v="Bangalore"/>
    <n v="560091"/>
    <s v="KA"/>
    <s v="India"/>
    <n v="8"/>
    <n v="0"/>
    <n v="4"/>
    <n v="1"/>
    <s v="Sun"/>
    <m/>
  </r>
  <r>
    <n v="730"/>
    <s v="JJG Aero Pvt Ltd (J.J. Glasstronics Pvt Ltd)"/>
    <x v="658"/>
    <n v="796"/>
    <n v="2015"/>
    <m/>
    <d v="2019-06-24T00:00:00"/>
    <m/>
    <m/>
    <d v="2019-06-24T00:00:00"/>
    <d v="2020-07-23T00:00:00"/>
    <n v="3"/>
    <m/>
    <m/>
    <s v="080-28520421 / 28520676"/>
    <s v="KIADB Industrial Area"/>
    <s v="Plot No.135 Bommasandra Jigani Link Road"/>
    <s v="Bandenallasandra"/>
    <s v="Bangalore"/>
    <n v="560100"/>
    <s v="KA"/>
    <s v="India"/>
    <n v="8"/>
    <n v="0"/>
    <n v="1"/>
    <n v="1"/>
    <s v="Sun"/>
    <m/>
  </r>
  <r>
    <n v="731"/>
    <s v="Tool Grinding Technologies Inc."/>
    <x v="579"/>
    <s v="DC005"/>
    <m/>
    <m/>
    <d v="2019-07-06T00:00:00"/>
    <m/>
    <m/>
    <d v="2019-07-06T00:00:00"/>
    <d v="2020-07-05T00:00:00"/>
    <n v="3"/>
    <s v="Mr. Santhosh Prabhu"/>
    <s v="Managing Director"/>
    <m/>
    <s v="12th Cross, 4th Phase"/>
    <s v="Site No.1/C Plot No.467, 468 &amp; 469"/>
    <s v="Peenya Industrial Area"/>
    <s v="Bangalore"/>
    <n v="560058"/>
    <s v="KA"/>
    <s v="India"/>
    <n v="8"/>
    <n v="0"/>
    <n v="5"/>
    <n v="1"/>
    <s v="Sun"/>
    <m/>
  </r>
  <r>
    <n v="732"/>
    <s v="SBCT Industries LLP"/>
    <x v="659"/>
    <n v="719"/>
    <s v="4020J LX"/>
    <m/>
    <d v="2019-07-06T00:00:00"/>
    <m/>
    <m/>
    <d v="2021-07-15T00:00:00"/>
    <d v="2022-07-14T00:00:00"/>
    <n v="3"/>
    <s v="Mr. Poornachandra"/>
    <m/>
    <s v="9632506004 / 9740696216"/>
    <s v="Hosur Road,"/>
    <s v="KSSIDC  Veersandra Industrial Estate"/>
    <s v="Electronic City Post"/>
    <s v="Bangalore"/>
    <n v="560100"/>
    <s v="KA"/>
    <s v="India"/>
    <n v="8"/>
    <n v="0"/>
    <n v="6"/>
    <n v="1"/>
    <s v="Sun"/>
    <m/>
  </r>
  <r>
    <n v="733"/>
    <s v="Omni Matrix Pvt Ltd"/>
    <x v="538"/>
    <n v="817"/>
    <s v="2015J LX"/>
    <m/>
    <d v="2019-07-23T00:00:00"/>
    <m/>
    <m/>
    <d v="2025-08-27T00:00:00"/>
    <d v="2026-08-26T00:00:00"/>
    <n v="3"/>
    <s v="Mr. Krishnamurthy Bhat"/>
    <m/>
    <m/>
    <s v="KIADB Industrial Area"/>
    <s v="Plot No.B-11 Bashettyhalli, Kasaba Hobli"/>
    <s v="Doddaballapur"/>
    <s v="Bangalore"/>
    <n v="561203"/>
    <s v="KA"/>
    <s v="India"/>
    <n v="8"/>
    <n v="0"/>
    <n v="6"/>
    <n v="1"/>
    <s v="Sun"/>
    <m/>
  </r>
  <r>
    <n v="734"/>
    <s v="Java Auto Components"/>
    <x v="660"/>
    <n v="813"/>
    <s v="2015J LX"/>
    <m/>
    <d v="2019-08-01T00:00:00"/>
    <m/>
    <m/>
    <d v="2021-08-11T00:00:00"/>
    <d v="2022-08-10T00:00:00"/>
    <n v="3"/>
    <s v="Mr. Vikas Bhardwaj"/>
    <s v="Director"/>
    <s v="98100 52058 / 88068 58588"/>
    <s v="Ecotech-III"/>
    <s v="#138 Toy City"/>
    <m/>
    <s v="Greter Noida"/>
    <n v="201306"/>
    <s v="UP"/>
    <s v="India"/>
    <n v="1"/>
    <n v="1"/>
    <n v="5"/>
    <n v="2"/>
    <s v="Sun"/>
    <m/>
  </r>
  <r>
    <n v="735"/>
    <s v="Crest Metal Engg LLP"/>
    <x v="661"/>
    <n v="807"/>
    <s v="2015J LX"/>
    <m/>
    <d v="2019-08-06T00:00:00"/>
    <m/>
    <m/>
    <d v="2021-06-20T00:00:00"/>
    <d v="2022-06-19T00:00:00"/>
    <n v="3"/>
    <s v="Mr. Mohit Chhadwani"/>
    <m/>
    <n v="8104084718"/>
    <s v="GIDC Phase-II"/>
    <s v="Plot No.275/4 Opp.Bhanu Weigh Bridge"/>
    <s v="Dared"/>
    <s v="Jamnagar"/>
    <n v="361004"/>
    <s v="GJ"/>
    <s v="India"/>
    <n v="5"/>
    <n v="4"/>
    <n v="0"/>
    <n v="1"/>
    <s v="Fri"/>
    <m/>
  </r>
  <r>
    <n v="736"/>
    <s v="Aurolab"/>
    <x v="186"/>
    <n v="815"/>
    <s v="2015J LX"/>
    <m/>
    <d v="2019-08-08T00:00:00"/>
    <m/>
    <m/>
    <d v="2020-11-28T00:00:00"/>
    <d v="2021-11-27T00:00:00"/>
    <n v="3"/>
    <s v="Mr.Ramnath"/>
    <m/>
    <m/>
    <s v="Veerapanjan"/>
    <s v="Plot No.1 Sivagangai Main Road"/>
    <m/>
    <s v="Madurai"/>
    <n v="625020"/>
    <s v="TN"/>
    <s v="India"/>
    <n v="4"/>
    <n v="1"/>
    <n v="0"/>
    <n v="1"/>
    <s v="Sun"/>
    <m/>
  </r>
  <r>
    <n v="737"/>
    <s v="Romson Group Pvt Ltd (Romson Scientific &amp; Surgical Industries Pvt Ltd)"/>
    <x v="662"/>
    <n v="808"/>
    <s v="2015J LX"/>
    <m/>
    <d v="2019-08-08T00:00:00"/>
    <m/>
    <m/>
    <d v="2021-08-15T00:00:00"/>
    <d v="2022-08-14T00:00:00"/>
    <n v="3"/>
    <m/>
    <m/>
    <s v="0562 -2280 720/ 730"/>
    <s v="Nunhai"/>
    <s v="#63, 64 Industrial Estate"/>
    <m/>
    <s v="Agra"/>
    <n v="282006"/>
    <s v="UP"/>
    <s v="India"/>
    <n v="1"/>
    <n v="1"/>
    <n v="5"/>
    <n v="4"/>
    <s v="Sun"/>
    <m/>
  </r>
  <r>
    <n v="738"/>
    <s v="VG Engg"/>
    <x v="663"/>
    <n v="820"/>
    <s v="2015J LX"/>
    <m/>
    <d v="2019-08-10T00:00:00"/>
    <m/>
    <m/>
    <d v="2021-12-04T00:00:00"/>
    <d v="2022-12-03T00:00:00"/>
    <n v="3"/>
    <s v="Mr. Narasimhan"/>
    <m/>
    <n v="9901942588"/>
    <s v="KSSIDC 1st Phase,     5th Cross"/>
    <s v="Plot No.EP-92 Dr. B.R.Ambedkar Industrial Estate"/>
    <s v="Jigani Industrial Area, Anekal Taluk"/>
    <s v="Bangalore"/>
    <n v="560105"/>
    <s v="KA"/>
    <s v="India"/>
    <n v="8"/>
    <n v="0"/>
    <n v="2"/>
    <n v="1"/>
    <s v="Sun"/>
    <m/>
  </r>
  <r>
    <n v="739"/>
    <s v="Romson Group Pvt Ltd (Romson Scientific &amp; Surgical Industries Pvt Ltd)"/>
    <x v="662"/>
    <n v="822"/>
    <s v="2015J LX"/>
    <m/>
    <d v="2019-08-08T00:00:00"/>
    <m/>
    <m/>
    <d v="2021-08-15T00:00:00"/>
    <d v="2022-08-14T00:00:00"/>
    <n v="3"/>
    <m/>
    <m/>
    <s v="0562 -2280 720 / 730"/>
    <s v="Nunhai"/>
    <s v="#63, 64 Industrial Estate"/>
    <m/>
    <s v="Agra"/>
    <n v="282006"/>
    <s v="UP"/>
    <s v="India"/>
    <n v="1"/>
    <n v="1"/>
    <n v="5"/>
    <n v="4"/>
    <s v="Sun"/>
    <m/>
  </r>
  <r>
    <n v="740"/>
    <s v="Max Tools Industries"/>
    <x v="664"/>
    <n v="818"/>
    <s v="2015J LX"/>
    <m/>
    <d v="2019-08-13T00:00:00"/>
    <m/>
    <m/>
    <d v="2019-08-13T00:00:00"/>
    <d v="2020-08-12T00:00:00"/>
    <n v="3"/>
    <s v="Mr. Nirav"/>
    <m/>
    <s v="02827- 254448 / 68, 9723102025"/>
    <s v="Meena Casting Gate, 8-B National Highway"/>
    <s v="Survey No.298 Plot No.10"/>
    <s v="Shapar (Veraval)"/>
    <s v="Rajkot"/>
    <n v="360024"/>
    <s v="GJ"/>
    <s v="India"/>
    <n v="5"/>
    <n v="3"/>
    <n v="0"/>
    <n v="1"/>
    <s v="Wed"/>
    <m/>
  </r>
  <r>
    <n v="741"/>
    <s v="Spectrum Electrical Industries Ltd"/>
    <x v="322"/>
    <n v="825"/>
    <s v="2015J LX"/>
    <m/>
    <d v="2019-08-14T00:00:00"/>
    <m/>
    <m/>
    <d v="2021-03-03T00:00:00"/>
    <d v="2023-03-02T00:00:00"/>
    <n v="3"/>
    <s v="Mr. Mayur Barhate"/>
    <m/>
    <m/>
    <m/>
    <s v="Gat No.139/1 &amp; 139/2 At Post: Umale"/>
    <m/>
    <s v="Jalgaon"/>
    <n v="425003"/>
    <s v="MH"/>
    <s v="India"/>
    <n v="2"/>
    <n v="0"/>
    <n v="1"/>
    <n v="0"/>
    <s v="Sun"/>
    <m/>
  </r>
  <r>
    <n v="742"/>
    <s v="Shree Industries"/>
    <x v="665"/>
    <n v="821"/>
    <s v="2015J LX"/>
    <m/>
    <d v="2019-08-17T00:00:00"/>
    <m/>
    <m/>
    <d v="2019-08-17T00:00:00"/>
    <d v="2020-08-16T00:00:00"/>
    <n v="3"/>
    <m/>
    <m/>
    <m/>
    <s v="PCNTDA, Electronic Zone"/>
    <s v="Plot No.253 Sector-10"/>
    <s v="Bhosari"/>
    <s v="Pune"/>
    <n v="411026"/>
    <s v="MH"/>
    <s v="India"/>
    <n v="2"/>
    <n v="4"/>
    <n v="1"/>
    <n v="1"/>
    <s v="Thu "/>
    <m/>
  </r>
  <r>
    <n v="743"/>
    <s v="Amphenol Interconnect India Pvt Ltd"/>
    <x v="235"/>
    <n v="816"/>
    <s v="2015J LX"/>
    <m/>
    <d v="2019-09-09T00:00:00"/>
    <m/>
    <m/>
    <d v="2021-09-07T00:00:00"/>
    <d v="2023-09-06T00:00:00"/>
    <n v="3"/>
    <m/>
    <m/>
    <s v="020 -67360329/ 331 / 384"/>
    <s v="Bhosari Industrial Area"/>
    <s v="Plot No.105 P.B.No.1"/>
    <s v="Opp HP Petrol Pump, Landewadi"/>
    <s v="Pune"/>
    <n v="411026"/>
    <s v="MH"/>
    <s v="India"/>
    <n v="2"/>
    <n v="4"/>
    <n v="1"/>
    <n v="1"/>
    <s v="Thu "/>
    <m/>
  </r>
  <r>
    <n v="744"/>
    <s v="Ideal Sheet Metal Stampings &amp; Pressings Pvt Ltd"/>
    <x v="666"/>
    <n v="829"/>
    <s v="2015J LX"/>
    <m/>
    <d v="2019-09-16T00:00:00"/>
    <m/>
    <m/>
    <d v="2019-09-16T00:00:00"/>
    <d v="2020-09-15T00:00:00"/>
    <n v="3"/>
    <s v="Mr. Lalwani"/>
    <m/>
    <s v="9726270549 / 079 25831260"/>
    <s v="Phase-1"/>
    <s v="Plot No. 94/2 G.I.D.C Industrial Estate"/>
    <s v="Vatva"/>
    <s v="Ahmedabad"/>
    <n v="382445"/>
    <s v="GJ"/>
    <s v="India"/>
    <n v="2"/>
    <n v="4"/>
    <n v="3"/>
    <n v="1"/>
    <s v="Thu"/>
    <m/>
  </r>
  <r>
    <n v="745"/>
    <s v="AceInotec Manufacturing Pvt Ltd"/>
    <x v="667"/>
    <n v="826"/>
    <s v="2015J LX"/>
    <m/>
    <d v="2019-09-20T00:00:00"/>
    <m/>
    <m/>
    <d v="2020-09-29T00:00:00"/>
    <d v="2021-09-28T00:00:00"/>
    <n v="3"/>
    <s v="Mr. Srinivas"/>
    <s v="QC-Head"/>
    <s v="87479 00333"/>
    <s v="4th Phase"/>
    <s v="Rehoboth Plot No.465"/>
    <s v="Peenya Industrial Area"/>
    <s v="Bangalore"/>
    <n v="560058"/>
    <s v="KA"/>
    <s v="India"/>
    <n v="8"/>
    <n v="0"/>
    <n v="5"/>
    <n v="1"/>
    <s v="Sun"/>
    <m/>
  </r>
  <r>
    <n v="746"/>
    <s v="Larsen &amp; Toubro Limited (Electrical &amp; Automation)"/>
    <x v="668"/>
    <n v="841"/>
    <s v="4020J LX"/>
    <m/>
    <d v="2019-09-24T00:00:00"/>
    <m/>
    <m/>
    <d v="2019-09-24T00:00:00"/>
    <d v="2021-09-23T00:00:00"/>
    <n v="3"/>
    <s v="Mr. Javed Malek"/>
    <m/>
    <s v="9725055660 / 0265 2457624"/>
    <s v="Block No. 205 to 208 &amp; 240, Village Ankhol"/>
    <s v="EAIC Vadaodara Manufacturing Plant"/>
    <s v="Between Ajwa &amp; Waghodia Junction"/>
    <s v="Vadodara"/>
    <n v="390019"/>
    <s v="GJ"/>
    <s v="India"/>
    <n v="5"/>
    <n v="1"/>
    <n v="1"/>
    <n v="2"/>
    <s v="Sun"/>
    <m/>
  </r>
  <r>
    <n v="747"/>
    <s v="JBJ Technologies Ltd"/>
    <x v="669"/>
    <n v="812"/>
    <s v="2015J LX"/>
    <m/>
    <d v="2019-09-24T00:00:00"/>
    <m/>
    <m/>
    <d v="2019-09-24T00:00:00"/>
    <d v="2022-09-23T00:00:00"/>
    <n v="3"/>
    <s v="Mr. Rameshwar Tiwari / Mr. Jitender Kumar Sharma"/>
    <m/>
    <s v="9873071686/ 9958432205"/>
    <s v="Ecotech-III"/>
    <s v="Plot No.350, 351 &amp; 352 Udyog Kendra-II"/>
    <m/>
    <s v="Greter Noida"/>
    <n v="201306"/>
    <s v="UP"/>
    <s v="India"/>
    <n v="1"/>
    <n v="1"/>
    <n v="5"/>
    <n v="2"/>
    <s v="Sun"/>
    <m/>
  </r>
  <r>
    <n v="748"/>
    <s v="JBJ Technologies Ltd"/>
    <x v="669"/>
    <n v="781"/>
    <s v="4030J lX"/>
    <m/>
    <d v="2019-09-24T00:00:00"/>
    <m/>
    <m/>
    <d v="2019-09-24T00:00:00"/>
    <d v="2022-09-23T00:00:00"/>
    <n v="3"/>
    <s v="Mr. Rameshwar Tiwari / Mr. Jitender Kumar Sharma"/>
    <m/>
    <s v="9873071686/ 9958432205"/>
    <s v="Ecotech-III"/>
    <s v="Plot No.350, 351 &amp; 352 Udyog Kendra-II"/>
    <m/>
    <s v="Greter Noida"/>
    <n v="201306"/>
    <s v="UP"/>
    <s v="India"/>
    <n v="1"/>
    <n v="1"/>
    <n v="5"/>
    <n v="2"/>
    <s v="Sun"/>
    <m/>
  </r>
  <r>
    <n v="749"/>
    <s v="ABDOS Labtech Pvt Ltd"/>
    <x v="670"/>
    <n v="814"/>
    <s v="2015J LX"/>
    <m/>
    <d v="2019-09-24T00:00:00"/>
    <m/>
    <m/>
    <d v="2019-09-24T00:00:00"/>
    <d v="2021-09-23T00:00:00"/>
    <n v="3"/>
    <s v="Mr. Vivek Sharma"/>
    <m/>
    <s v="9205589697 / 9897855142"/>
    <s v="Lakeshwari"/>
    <s v="Shiv Ganga Industrial Estate Plot No.1 "/>
    <s v="Bhagwanpur"/>
    <s v="Roorkee"/>
    <n v="247667"/>
    <s v="UK"/>
    <s v="India"/>
    <n v="1"/>
    <n v="0"/>
    <n v="4"/>
    <n v="2"/>
    <s v="Sun"/>
    <m/>
  </r>
  <r>
    <n v="750"/>
    <s v="Smith Industrial Corporation Pvt Ltd"/>
    <x v="671"/>
    <n v="831"/>
    <s v="2015J LX"/>
    <m/>
    <d v="2019-10-05T00:00:00"/>
    <m/>
    <m/>
    <d v="2019-10-05T00:00:00"/>
    <d v="2022-10-04T00:00:00"/>
    <n v="3"/>
    <s v="Mr. Radhey Shyam Sharma"/>
    <m/>
    <n v="9810378204"/>
    <s v="At Harsha Tractor"/>
    <s v="   Site-2  Plot Shed No A"/>
    <s v="Loni Road "/>
    <s v="Ghaziabad "/>
    <n v="201007"/>
    <s v="UP"/>
    <s v="India"/>
    <n v="1"/>
    <n v="1"/>
    <n v="4"/>
    <n v="1"/>
    <s v="Sun"/>
    <m/>
  </r>
  <r>
    <n v="751"/>
    <s v="Pasupaty Springs Pvt Ltd"/>
    <x v="672"/>
    <n v="828"/>
    <s v="2015J LX"/>
    <m/>
    <d v="2019-10-05T00:00:00"/>
    <m/>
    <m/>
    <d v="2019-10-05T00:00:00"/>
    <d v="2021-10-04T00:00:00"/>
    <n v="3"/>
    <s v="Mr. P K Bansal "/>
    <m/>
    <n v="9810031161"/>
    <s v="Phase-1"/>
    <s v="B-76 Mayapuri Industrial Area"/>
    <m/>
    <s v="New Delhi"/>
    <n v="110064"/>
    <s v="DL"/>
    <s v="India"/>
    <n v="1"/>
    <n v="1"/>
    <n v="6"/>
    <n v="2"/>
    <s v="Sun"/>
    <m/>
  </r>
  <r>
    <n v="752"/>
    <s v="Candid Micron Measurements Pvt Ltd"/>
    <x v="673"/>
    <n v="840"/>
    <s v="4020J LX"/>
    <m/>
    <d v="2019-10-14T00:00:00"/>
    <m/>
    <m/>
    <d v="2021-01-06T00:00:00"/>
    <d v="2022-01-05T00:00:00"/>
    <n v="3"/>
    <s v="Mr.Viswanathan"/>
    <s v="Managing Director"/>
    <s v="0422-3955527"/>
    <s v="Athipalayam Junction"/>
    <s v="238A, V.J.Complex,"/>
    <s v="Sathy Main Roa"/>
    <s v="Coimbatore"/>
    <n v="641006"/>
    <s v="TN"/>
    <s v="India"/>
    <n v="4"/>
    <n v="1"/>
    <n v="6"/>
    <n v="1"/>
    <s v="Sun"/>
    <m/>
  </r>
  <r>
    <n v="753"/>
    <s v="Salasar Terminals Pvt Ltd (Om Sai Engg)"/>
    <x v="674"/>
    <n v="819"/>
    <s v="2015J LX"/>
    <m/>
    <d v="2019-10-15T00:00:00"/>
    <m/>
    <m/>
    <d v="2025-11-07T00:00:00"/>
    <d v="2026-11-06T00:00:00"/>
    <n v="3"/>
    <m/>
    <m/>
    <s v="97665 47779"/>
    <s v="Naik Pada, Valiv"/>
    <s v="Gala No.-A7 Dwaraka Industrial Estate"/>
    <s v="Vasai East"/>
    <s v="Palghar"/>
    <n v="401208"/>
    <s v="MH"/>
    <s v="India"/>
    <n v="2"/>
    <n v="1"/>
    <n v="1"/>
    <n v="2"/>
    <s v="Sun"/>
    <m/>
  </r>
  <r>
    <n v="754"/>
    <s v="Devi Turnomatics Pvt Ltd"/>
    <x v="675"/>
    <n v="860"/>
    <s v="2015J LX"/>
    <m/>
    <d v="2019-10-26T00:00:00"/>
    <m/>
    <m/>
    <d v="2025-11-27T00:00:00"/>
    <d v="2026-11-26T00:00:00"/>
    <n v="3"/>
    <m/>
    <m/>
    <m/>
    <s v="Rajkot- Khambhaliya Highway"/>
    <s v="Plot No.32, Survey No. 82 Near Bhavani Extrusion"/>
    <s v="Opp Swami Narayana Nagar, Near Phase-III, Kansumra Village"/>
    <s v="Jamnagar"/>
    <n v="361004"/>
    <s v="GJ"/>
    <s v="India"/>
    <n v="5"/>
    <n v="4"/>
    <n v="0"/>
    <n v="1"/>
    <s v="Fri"/>
    <m/>
  </r>
  <r>
    <n v="755"/>
    <s v="C &amp; S Electric Ltd"/>
    <x v="676"/>
    <n v="830"/>
    <s v="2015J LX"/>
    <m/>
    <d v="2019-11-04T00:00:00"/>
    <m/>
    <m/>
    <d v="2019-11-04T00:00:00"/>
    <d v="2021-11-03T00:00:00"/>
    <n v="3"/>
    <m/>
    <m/>
    <m/>
    <s v="Phase-II"/>
    <s v="Noida Phase-II Plant C-58"/>
    <s v="Dist: Gautam Budh Nagar"/>
    <s v="Noida"/>
    <n v="201305"/>
    <s v="UP"/>
    <s v="India"/>
    <n v="1"/>
    <n v="1"/>
    <n v="5"/>
    <n v="1"/>
    <s v="Sun"/>
    <m/>
  </r>
  <r>
    <n v="756"/>
    <s v="Hyo Seong Electric India Pvt Ltd"/>
    <x v="677"/>
    <n v="861"/>
    <s v="2015J LX"/>
    <m/>
    <d v="2019-11-11T00:00:00"/>
    <m/>
    <m/>
    <d v="2021-11-08T00:00:00"/>
    <d v="2022-11-07T00:00:00"/>
    <n v="3"/>
    <m/>
    <m/>
    <m/>
    <s v="Sriperumbudur Taluk"/>
    <s v="No.49 Sengadu Village"/>
    <m/>
    <s v="Kancheepuram"/>
    <n v="602105"/>
    <s v="TN"/>
    <s v="India"/>
    <n v="4"/>
    <n v="0"/>
    <n v="3"/>
    <n v="1"/>
    <s v="Sun"/>
    <m/>
  </r>
  <r>
    <n v="757"/>
    <s v="Star Engineers (I) Pvt Ltd (Vietnam)"/>
    <x v="678"/>
    <n v="865"/>
    <s v="2015J LX"/>
    <m/>
    <d v="2019-11-14T00:00:00"/>
    <m/>
    <m/>
    <d v="2019-11-14T00:00:00"/>
    <d v="2020-11-13T00:00:00"/>
    <n v="3"/>
    <m/>
    <m/>
    <n v="9823647480"/>
    <s v="Talwade"/>
    <s v="Gat No.67 &amp; 68 Jyotiba Nagar"/>
    <m/>
    <s v="Pune"/>
    <n v="412114"/>
    <s v="MH"/>
    <s v="India"/>
    <n v="2"/>
    <n v="4"/>
    <n v="2"/>
    <n v="1"/>
    <s v="Thu"/>
    <m/>
  </r>
  <r>
    <n v="758"/>
    <s v="AceInotec Manufacturing Pvt Ltd"/>
    <x v="667"/>
    <n v="864"/>
    <s v="2015J LX"/>
    <m/>
    <d v="2019-11-21T00:00:00"/>
    <m/>
    <m/>
    <d v="2019-11-21T00:00:00"/>
    <d v="2020-11-20T00:00:00"/>
    <n v="3"/>
    <s v="Mr. Srinivas"/>
    <s v="QC-Head"/>
    <s v="87479 00333"/>
    <s v="4th Phase"/>
    <s v="Rehoboth Plot No.465"/>
    <s v="Peenya Industrial Area"/>
    <s v="Bangalore"/>
    <n v="560058"/>
    <s v="KA"/>
    <s v="India"/>
    <n v="8"/>
    <n v="0"/>
    <n v="5"/>
    <n v="1"/>
    <s v="Sun"/>
    <m/>
  </r>
  <r>
    <n v="759"/>
    <s v="Pilot Gasket &amp; Engineers"/>
    <x v="679"/>
    <n v="827"/>
    <s v="2015J LX"/>
    <m/>
    <d v="2019-11-27T00:00:00"/>
    <m/>
    <m/>
    <d v="2021-02-02T00:00:00"/>
    <d v="2022-02-01T00:00:00"/>
    <n v="3"/>
    <s v="Mr. Darshan"/>
    <s v="Managing Director"/>
    <s v="80808 82868"/>
    <s v="Krishna Complex, Valgaon, Dapoda"/>
    <s v="1st Floor Building Gala No. 101/102, E Block"/>
    <s v="Anjuru Mankoli Road, Bhiwandi"/>
    <s v="Thane"/>
    <n v="421302"/>
    <s v="MH"/>
    <s v="India"/>
    <n v="2"/>
    <n v="2"/>
    <n v="2"/>
    <n v="2"/>
    <s v="Sun"/>
    <m/>
  </r>
  <r>
    <n v="760"/>
    <s v="Leo Precision Products"/>
    <x v="325"/>
    <n v="842"/>
    <s v="4020J LX"/>
    <m/>
    <d v="2019-11-30T00:00:00"/>
    <m/>
    <m/>
    <d v="2021-12-03T00:00:00"/>
    <d v="2022-12-02T00:00:00"/>
    <n v="3"/>
    <s v="Mr. Senthil Kumar"/>
    <s v="Mangaing Director"/>
    <n v="7211142208"/>
    <s v="Preeti Industrial Estae"/>
    <s v="Unit No.1 to 5, A Building Survey No.127/1"/>
    <s v="66 KVA Road, Amli"/>
    <s v="Silvassa"/>
    <n v="396230"/>
    <s v="DNH"/>
    <s v="India"/>
    <n v="2"/>
    <n v="1"/>
    <n v="1"/>
    <n v="1"/>
    <s v="Sun"/>
    <m/>
  </r>
  <r>
    <n v="761"/>
    <s v="Star Engineers (I) Pvt Ltd"/>
    <x v="318"/>
    <n v="866"/>
    <s v="2015J LX"/>
    <m/>
    <d v="2019-12-03T00:00:00"/>
    <m/>
    <m/>
    <d v="2019-12-03T00:00:00"/>
    <d v="2020-12-02T00:00:00"/>
    <n v="3"/>
    <m/>
    <m/>
    <n v="9823647480"/>
    <s v="Talwade"/>
    <s v="Gat No.67 &amp; 68 Jyotiba Nagar"/>
    <m/>
    <s v="Pune"/>
    <n v="412114"/>
    <s v="MH"/>
    <s v="India"/>
    <n v="2"/>
    <n v="4"/>
    <n v="2"/>
    <n v="1"/>
    <s v="Thu"/>
    <m/>
  </r>
  <r>
    <n v="762"/>
    <s v="BC Instruments India Pvt Ltd"/>
    <x v="680"/>
    <n v="839"/>
    <s v="4020J LX"/>
    <m/>
    <d v="2019-12-06T00:00:00"/>
    <m/>
    <m/>
    <d v="2021-12-03T00:00:00"/>
    <d v="2022-12-02T00:00:00"/>
    <n v="3"/>
    <s v="Mr. Harshad Prajapati"/>
    <s v="QC-Head"/>
    <s v="9979870967 / 8849218198"/>
    <s v="Vithal Udyog Nagar"/>
    <s v="P.B. No.59, Plot No.1802 / 4 GIDC"/>
    <s v="Anand"/>
    <s v="Ahmedabad"/>
    <n v="388121"/>
    <s v="GJ"/>
    <s v="India"/>
    <n v="5"/>
    <n v="1"/>
    <n v="1"/>
    <n v="2"/>
    <s v="Sun"/>
    <m/>
  </r>
  <r>
    <n v="763"/>
    <s v="Indo MIM  Pvt Ltd"/>
    <x v="681"/>
    <n v="777"/>
    <s v="4030J lX"/>
    <m/>
    <d v="2019-12-09T00:00:00"/>
    <m/>
    <m/>
    <d v="2021-11-12T00:00:00"/>
    <d v="2022-11-11T00:00:00"/>
    <n v="3"/>
    <s v="Mr. Ashok Kumar"/>
    <m/>
    <n v="8892880778"/>
    <s v="KIADB Industrial Area"/>
    <s v="Formerly Indo-MIM Tec Pvt Ltd No.45 (P)"/>
    <s v="Doddaballapur"/>
    <s v="Bangalore"/>
    <n v="561203"/>
    <s v="KA"/>
    <s v="India"/>
    <n v="8"/>
    <n v="0"/>
    <n v="6"/>
    <n v="1"/>
    <s v="Sun"/>
    <m/>
  </r>
  <r>
    <n v="764"/>
    <s v="C &amp; S Electric Ltd"/>
    <x v="682"/>
    <n v="862"/>
    <s v="2015J LX"/>
    <m/>
    <d v="2019-12-12T00:00:00"/>
    <m/>
    <m/>
    <d v="2019-12-12T00:00:00"/>
    <d v="2021-12-11T00:00:00"/>
    <n v="3"/>
    <m/>
    <m/>
    <m/>
    <s v="Integrated Industrial Estate"/>
    <s v="Plot No.2 Sector - 8C"/>
    <s v="SIDCUL, Ranipur"/>
    <s v="Haridwar"/>
    <n v="249403"/>
    <s v="UK"/>
    <s v="India"/>
    <n v="1"/>
    <n v="0"/>
    <n v="4"/>
    <n v="2"/>
    <s v="Sun"/>
    <m/>
  </r>
  <r>
    <n v="765"/>
    <s v="Spectra Products Pvt Ltd"/>
    <x v="683"/>
    <n v="845"/>
    <s v="4020J LX"/>
    <m/>
    <d v="2019-12-17T00:00:00"/>
    <m/>
    <m/>
    <d v="2019-12-17T00:00:00"/>
    <d v="2021-12-16T00:00:00"/>
    <n v="3"/>
    <m/>
    <m/>
    <s v="99710 22496 / 9810291906"/>
    <s v="Kavi Nagar Industrial Area"/>
    <s v="F-6 Sector - 17"/>
    <m/>
    <s v="Ghaziabad"/>
    <n v="201002"/>
    <s v="UP"/>
    <s v="India"/>
    <n v="1"/>
    <n v="1"/>
    <n v="4"/>
    <n v="1"/>
    <s v="Sun"/>
    <m/>
  </r>
  <r>
    <n v="766"/>
    <s v="Gowel Rubber Industries"/>
    <x v="684"/>
    <n v="871"/>
    <s v="2015J LX"/>
    <m/>
    <d v="2020-01-06T00:00:00"/>
    <m/>
    <m/>
    <d v="2025-12-19T00:00:00"/>
    <d v="2026-12-18T00:00:00"/>
    <n v="3"/>
    <m/>
    <m/>
    <s v="75034 49007"/>
    <s v="Opp. JCB Ballabgarh"/>
    <s v="Plot No.B4 Sector - 59"/>
    <m/>
    <s v="Faridabad"/>
    <n v="121004"/>
    <s v="HR"/>
    <s v="India"/>
    <n v="1"/>
    <n v="1"/>
    <n v="6"/>
    <n v="1"/>
    <s v="Sun"/>
    <m/>
  </r>
  <r>
    <n v="767"/>
    <s v="Alpha Engineers"/>
    <x v="685"/>
    <n v="869"/>
    <s v="2015J LX"/>
    <m/>
    <d v="2020-01-06T00:00:00"/>
    <m/>
    <m/>
    <d v="2020-01-06T00:00:00"/>
    <d v="2022-01-05T00:00:00"/>
    <n v="3"/>
    <m/>
    <m/>
    <s v="98113 09816"/>
    <s v="Near Eicher Chowk"/>
    <s v="61/5-G Industrial Area"/>
    <s v="N.I.T"/>
    <s v="Faridabad"/>
    <n v="121001"/>
    <s v="HR"/>
    <s v="India"/>
    <n v="1"/>
    <n v="1"/>
    <n v="6"/>
    <n v="1"/>
    <s v="Sun"/>
    <m/>
  </r>
  <r>
    <n v="768"/>
    <s v="Kent Industries"/>
    <x v="686"/>
    <n v="870"/>
    <s v="2015J LX"/>
    <m/>
    <d v="2020-01-10T00:00:00"/>
    <m/>
    <m/>
    <d v="2020-01-10T00:00:00"/>
    <d v="2021-01-09T00:00:00"/>
    <n v="3"/>
    <m/>
    <m/>
    <s v="9842106645 / 9634031688"/>
    <s v="Gundlav"/>
    <s v="Plot No. 128 Old GIDC"/>
    <m/>
    <s v="Valsad"/>
    <n v="396035"/>
    <s v="GJ"/>
    <s v="India"/>
    <n v="2"/>
    <n v="1"/>
    <n v="1"/>
    <n v="1"/>
    <s v="Sun"/>
    <m/>
  </r>
  <r>
    <n v="769"/>
    <s v="KDDL Limited"/>
    <x v="687"/>
    <n v="844"/>
    <s v="4020J LX"/>
    <m/>
    <d v="2020-01-10T00:00:00"/>
    <m/>
    <m/>
    <d v="2020-01-10T00:00:00"/>
    <d v="2022-01-09T00:00:00"/>
    <n v="3"/>
    <m/>
    <m/>
    <s v="78149 67307"/>
    <s v="Derabassi"/>
    <s v="Haibatpur Road Sadomajra"/>
    <m/>
    <s v="Mohali"/>
    <n v="140507"/>
    <s v="PB"/>
    <s v="India"/>
    <n v="1"/>
    <n v="3"/>
    <n v="3"/>
    <n v="4"/>
    <s v="Sun"/>
    <m/>
  </r>
  <r>
    <n v="770"/>
    <s v="Selec Controls Pvt Ltd"/>
    <x v="688"/>
    <n v="867"/>
    <s v="2015J LX"/>
    <m/>
    <d v="2020-01-17T00:00:00"/>
    <m/>
    <m/>
    <d v="2020-01-17T00:00:00"/>
    <d v="2021-01-16T00:00:00"/>
    <n v="3"/>
    <s v="Mr. Vishal Gaikwad"/>
    <m/>
    <s v="93222 40094 / 98928 37017"/>
    <s v="Electronic Zone"/>
    <s v="EL-27/1, EL27/1PT, EL67, EL27/2 &amp; EL23/3 TTC Industrial Area"/>
    <s v="Mahape"/>
    <s v="Navi Mumbai"/>
    <n v="400710"/>
    <s v="MH"/>
    <s v="India"/>
    <n v="2"/>
    <n v="2"/>
    <n v="2"/>
    <n v="4"/>
    <s v="Sun"/>
    <m/>
  </r>
  <r>
    <n v="771"/>
    <s v="Larsen &amp; Toubro Ltd"/>
    <x v="689"/>
    <n v="843"/>
    <s v="4020J LX"/>
    <m/>
    <d v="2020-01-25T00:00:00"/>
    <m/>
    <m/>
    <d v="2022-01-01T00:00:00"/>
    <d v="2022-12-31T00:00:00"/>
    <n v="3"/>
    <s v="Mr. Pandit"/>
    <m/>
    <n v="9604752855"/>
    <s v="Ahmednagar MFG Plant"/>
    <s v="E&amp;AETS ASW"/>
    <s v="A-9/10, MIDC"/>
    <s v="Ahmednagar"/>
    <n v="414111"/>
    <s v="MH"/>
    <s v="India"/>
    <n v="2"/>
    <n v="4"/>
    <n v="3"/>
    <n v="1"/>
    <s v="Thu"/>
    <m/>
  </r>
  <r>
    <n v="772"/>
    <s v="Visat Tools Pvt Ltd"/>
    <x v="690"/>
    <n v="873"/>
    <s v="2015J LX"/>
    <m/>
    <d v="2020-02-08T00:00:00"/>
    <m/>
    <m/>
    <d v="2022-04-16T00:00:00"/>
    <d v="2023-04-15T00:00:00"/>
    <n v="3"/>
    <s v="Mr. Virupax"/>
    <s v="Partner"/>
    <n v="9342555074"/>
    <s v="Peenya Industrial Area"/>
    <s v="#198 12th Main"/>
    <s v="Peenya 3rd Phase"/>
    <s v="Bnagalore"/>
    <n v="560058"/>
    <s v="KA"/>
    <s v="India"/>
    <n v="8"/>
    <n v="0"/>
    <n v="5"/>
    <n v="1"/>
    <s v="Sun"/>
    <m/>
  </r>
  <r>
    <n v="773"/>
    <s v="Vasantha Tool Crafts Pvt Ltd"/>
    <x v="455"/>
    <n v="778"/>
    <s v="4030J lX"/>
    <m/>
    <d v="2020-02-10T00:00:00"/>
    <m/>
    <m/>
    <d v="2025-02-14T00:00:00"/>
    <d v="2026-02-13T00:00:00"/>
    <n v="3"/>
    <s v="Mr. "/>
    <m/>
    <m/>
    <s v="Balanagar"/>
    <s v="Plot No.33 &amp; 34 IDA"/>
    <m/>
    <s v="Hyderabad"/>
    <n v="500037"/>
    <s v="TS"/>
    <s v="India"/>
    <n v="6"/>
    <n v="0"/>
    <n v="2"/>
    <n v="1"/>
    <s v="Sun"/>
    <m/>
  </r>
  <r>
    <n v="774"/>
    <s v="Chennai Autotech Engg Pvt Ltd"/>
    <x v="691"/>
    <n v="872"/>
    <s v="2015J LX"/>
    <m/>
    <d v="2020-02-18T00:00:00"/>
    <m/>
    <m/>
    <d v="2020-02-18T00:00:00"/>
    <d v="2021-02-17T00:00:00"/>
    <n v="3"/>
    <s v="Mr. Saravanan"/>
    <m/>
    <n v="9840983003"/>
    <s v="Thirumudivakkam"/>
    <s v="TS-32 A-Women Industrial Park"/>
    <m/>
    <s v="Chennai"/>
    <n v="600044"/>
    <s v="TN"/>
    <s v="India"/>
    <n v="4"/>
    <n v="0"/>
    <n v="2"/>
    <n v="2"/>
    <s v="Sun"/>
    <m/>
  </r>
  <r>
    <n v="775"/>
    <s v="IWI Stationery Pvt Ltd"/>
    <x v="692"/>
    <n v="874"/>
    <s v="2015J LX"/>
    <m/>
    <d v="2020-02-19T00:00:00"/>
    <m/>
    <m/>
    <d v="2020-02-19T00:00:00"/>
    <d v="2021-02-18T00:00:00"/>
    <n v="3"/>
    <m/>
    <m/>
    <n v="8010012729"/>
    <s v="Phase-II"/>
    <s v="B-4 Mandideep Industrial Area"/>
    <s v="Goharganj"/>
    <s v="Raisen"/>
    <n v="462046"/>
    <s v="MP"/>
    <s v="India"/>
    <n v="1"/>
    <n v="0"/>
    <n v="0"/>
    <n v="1"/>
    <s v="Sun"/>
    <m/>
  </r>
  <r>
    <n v="776"/>
    <s v="Connectwires Engg (Zeeta Electricals)"/>
    <x v="693"/>
    <n v="875"/>
    <s v="2015J LX"/>
    <m/>
    <d v="2020-02-27T00:00:00"/>
    <m/>
    <m/>
    <d v="2025-05-16T00:00:00"/>
    <d v="2026-05-15T00:00:00"/>
    <n v="3"/>
    <s v="Mr. Lalwani"/>
    <m/>
    <n v="9099931253"/>
    <s v="Changodar Bavla Road"/>
    <s v="Mahagujarat Industrial Estate Near T &amp; R"/>
    <s v="Village Moriya, Tal: Sanand"/>
    <s v="Ahmedabad"/>
    <n v="382213"/>
    <s v="GJ"/>
    <s v="India"/>
    <n v="5"/>
    <n v="0"/>
    <n v="1"/>
    <n v="1"/>
    <s v="Sun"/>
    <m/>
  </r>
  <r>
    <n v="777"/>
    <s v="Napino Control Systems Pvt Ltd"/>
    <x v="694"/>
    <n v="846"/>
    <s v="4020J LX"/>
    <m/>
    <d v="2020-03-04T00:00:00"/>
    <m/>
    <m/>
    <d v="2020-03-04T00:00:00"/>
    <d v="2023-03-03T00:00:00"/>
    <n v="3"/>
    <m/>
    <m/>
    <m/>
    <s v="Sector-8"/>
    <s v="NCS IMT Manesar  Plot No.131"/>
    <s v="IMT Manesar"/>
    <s v="Gurugram"/>
    <n v="122050"/>
    <s v="HR"/>
    <s v="India"/>
    <n v="1"/>
    <n v="1"/>
    <n v="1"/>
    <n v="1"/>
    <s v="Sun"/>
    <m/>
  </r>
  <r>
    <n v="778"/>
    <s v="Lakshmi Cutting Tools"/>
    <x v="695"/>
    <n v="863"/>
    <s v="2015J LX"/>
    <m/>
    <d v="2020-03-05T00:00:00"/>
    <m/>
    <m/>
    <d v="2020-03-05T00:00:00"/>
    <d v="2021-03-04T00:00:00"/>
    <n v="3"/>
    <s v="Mr. Karupasamy"/>
    <m/>
    <s v="6379978446/ 9944660260 / 7397421339"/>
    <s v=" 3rd Street, Ravindranath Tagore Road"/>
    <s v="No.92A/3 Kilakku Thottam,"/>
    <s v="Maniyakarampalayam"/>
    <s v="Coimbatore"/>
    <n v="641006"/>
    <s v="TN"/>
    <s v="India"/>
    <n v="4"/>
    <n v="1"/>
    <n v="6"/>
    <n v="1"/>
    <s v="Sun"/>
    <m/>
  </r>
  <r>
    <n v="779"/>
    <s v="Radeo Engineered Components LLP"/>
    <x v="696"/>
    <n v="877"/>
    <s v="2015J LX"/>
    <m/>
    <d v="2020-03-06T00:00:00"/>
    <m/>
    <m/>
    <d v="2020-03-06T00:00:00"/>
    <d v="2021-03-05T00:00:00"/>
    <n v="3"/>
    <s v="Mr. Ravikumar"/>
    <m/>
    <s v="7395801037 / 9449114970"/>
    <s v="Agaraharam, Zuzuvadi"/>
    <s v="No.29/5 Anumepalli Village"/>
    <s v="Thiruvalluvar Nagar Extension"/>
    <s v="Hosur"/>
    <n v="635126"/>
    <s v="TN"/>
    <s v="India"/>
    <n v="8"/>
    <n v="0"/>
    <n v="1"/>
    <n v="3"/>
    <s v="Sun"/>
    <m/>
  </r>
  <r>
    <n v="780"/>
    <s v="Mass Auto Components"/>
    <x v="697"/>
    <n v="847"/>
    <s v="4020J LX"/>
    <m/>
    <d v="2020-03-06T00:00:00"/>
    <m/>
    <m/>
    <d v="2021-09-04T00:00:00"/>
    <d v="2022-09-03T00:00:00"/>
    <n v="3"/>
    <s v="Mr. Sathishkumar"/>
    <m/>
    <n v="7824888312"/>
    <s v="Thirumudivakkam"/>
    <s v="DP 80 Thirumudivakkam Industrial Estate"/>
    <m/>
    <s v="Chennai"/>
    <n v="600044"/>
    <s v="TN"/>
    <s v="India"/>
    <n v="4"/>
    <n v="0"/>
    <n v="2"/>
    <n v="2"/>
    <s v="Sun"/>
    <m/>
  </r>
  <r>
    <n v="781"/>
    <s v="Hindustan Platinum Pvt Ltd"/>
    <x v="698"/>
    <n v="883"/>
    <s v="2015J LX"/>
    <m/>
    <d v="2020-03-09T00:00:00"/>
    <m/>
    <m/>
    <d v="2020-03-09T00:00:00"/>
    <d v="2023-03-08T00:00:00"/>
    <n v="3"/>
    <s v="Mr. Sudhir Joshi"/>
    <m/>
    <s v="022-6190 4000"/>
    <s v="Gate No.6"/>
    <s v="C-154 TTC Industrial Area"/>
    <s v="Pawane Village"/>
    <s v="Navi Mumbai"/>
    <n v="400703"/>
    <s v="MH"/>
    <s v="India"/>
    <n v="2"/>
    <n v="2"/>
    <n v="2"/>
    <n v="4"/>
    <s v="Sun"/>
    <m/>
  </r>
  <r>
    <n v="782"/>
    <s v="Electromech India Pvt Ltd (Electromech Industries)"/>
    <x v="699"/>
    <n v="868"/>
    <s v="2015J LX"/>
    <m/>
    <d v="2020-05-22T00:00:00"/>
    <m/>
    <m/>
    <d v="2020-05-22T00:00:00"/>
    <d v="2022-05-21T00:00:00"/>
    <n v="3"/>
    <m/>
    <m/>
    <s v="01334-319993/ 7618338435"/>
    <s v="SIDCUL"/>
    <s v="Plot No.6 Sec IIDC"/>
    <m/>
    <s v="Haridwar"/>
    <n v="249403"/>
    <s v="UK"/>
    <s v="India"/>
    <n v="1"/>
    <n v="0"/>
    <n v="4"/>
    <n v="2"/>
    <s v="Sun"/>
    <m/>
  </r>
  <r>
    <n v="783"/>
    <s v="Perfect Polymers"/>
    <x v="700"/>
    <n v="789"/>
    <s v="4030J lX"/>
    <m/>
    <d v="2020-06-12T00:00:00"/>
    <m/>
    <m/>
    <d v="2025-10-28T00:00:00"/>
    <d v="2026-10-27T00:00:00"/>
    <n v="3"/>
    <s v="Mr. Arphan Vaghasia"/>
    <m/>
    <s v="90997 28777/ 02827 287729"/>
    <s v="Kishan Gate Main Road"/>
    <s v="Plot No.G-1302 Road-H"/>
    <s v="Metoda GIDC"/>
    <s v="Rajkot"/>
    <n v="360021"/>
    <s v="GJ"/>
    <s v="India"/>
    <n v="5"/>
    <n v="3"/>
    <n v="0"/>
    <n v="1"/>
    <s v="Wed"/>
    <m/>
  </r>
  <r>
    <n v="784"/>
    <s v="Tejas Engg"/>
    <x v="701"/>
    <n v="183"/>
    <s v="2015J LX"/>
    <m/>
    <d v="2020-06-13T00:00:00"/>
    <m/>
    <m/>
    <d v="2020-06-13T00:00:00"/>
    <d v="2021-06-12T00:00:00"/>
    <n v="3"/>
    <s v="Mr. Gurudev/        Mr. Madhukar V S"/>
    <s v="Prtners"/>
    <n v="9845388059"/>
    <s v="Sri Gururaghavendra Nagar"/>
    <s v="No.104 Chengamma Raju Garden"/>
    <s v="Opp. RBI Layout, JP Nagar Phase-7"/>
    <s v="Bangalore"/>
    <n v="560078"/>
    <s v="KA"/>
    <s v="India"/>
    <n v="8"/>
    <n v="0"/>
    <n v="1"/>
    <n v="2"/>
    <s v="Sun"/>
    <m/>
  </r>
  <r>
    <n v="785"/>
    <s v="Instrument India"/>
    <x v="702"/>
    <n v="881"/>
    <s v="2015J LX"/>
    <m/>
    <d v="2020-06-20T00:00:00"/>
    <m/>
    <m/>
    <d v="2025-10-11T00:00:00"/>
    <d v="2026-10-10T00:00:00"/>
    <n v="3"/>
    <s v="Mr. Nimish Prasad /      Mr. Nitin Prasad"/>
    <m/>
    <s v="9886412120 / 99007 58571"/>
    <s v="Mahadevapura"/>
    <s v="B8 ITI Ancillary Industrial Estate"/>
    <m/>
    <s v="Bangalore"/>
    <n v="560048"/>
    <s v="KA"/>
    <s v="India"/>
    <n v="8"/>
    <n v="0"/>
    <n v="5"/>
    <n v="1"/>
    <s v="Sun"/>
    <m/>
  </r>
  <r>
    <n v="786"/>
    <s v="TransCal"/>
    <x v="703"/>
    <n v="788"/>
    <s v="4030J lX"/>
    <m/>
    <d v="2020-06-26T00:00:00"/>
    <m/>
    <m/>
    <d v="2020-06-26T00:00:00"/>
    <d v="2021-06-25T00:00:00"/>
    <n v="3"/>
    <s v="Mr. Vijayakumar"/>
    <s v="Managing Director"/>
    <s v="9449480817 / 9845760543"/>
    <s v="Between sampighe Road &amp; Margosa Road"/>
    <s v="Centenary Bldg, Ground Floor Door No. At 100, W park Road"/>
    <s v="10th Cross Malleswaram"/>
    <s v="Bangalore"/>
    <n v="560003"/>
    <s v="KA"/>
    <s v="India"/>
    <n v="8"/>
    <n v="0"/>
    <n v="4"/>
    <n v="1"/>
    <s v="Sun"/>
    <m/>
  </r>
  <r>
    <n v="787"/>
    <s v="Rhenium Tech Rings"/>
    <x v="704"/>
    <n v="884"/>
    <s v="2015J LX"/>
    <m/>
    <d v="2020-07-09T00:00:00"/>
    <m/>
    <m/>
    <d v="2020-07-09T00:00:00"/>
    <d v="2021-07-08T00:00:00"/>
    <n v="3"/>
    <s v="Mr. Dhaval Vachhani"/>
    <m/>
    <n v="9825383773"/>
    <s v="Shapar Main Road"/>
    <s v="Survey No.15P/2 Opp. Narmada Rings Pvt Ltd"/>
    <s v="Shapar (Veraval)"/>
    <s v="Rajkot"/>
    <n v="360024"/>
    <s v="GJ"/>
    <s v="India"/>
    <n v="5"/>
    <n v="3"/>
    <n v="0"/>
    <n v="1"/>
    <s v="Wed"/>
    <m/>
  </r>
  <r>
    <n v="788"/>
    <s v="Jayson Industries"/>
    <x v="705"/>
    <n v="876"/>
    <s v="2015J LX"/>
    <m/>
    <d v="2020-07-10T00:00:00"/>
    <m/>
    <m/>
    <d v="2021-09-23T00:00:00"/>
    <d v="2022-09-22T00:00:00"/>
    <n v="3"/>
    <s v="Mr. Suresh"/>
    <m/>
    <n v="9611117722"/>
    <s v="Industrial Area (Sub Layout)"/>
    <s v="Plot No.26 Bommasandra 4th Phase"/>
    <s v="Yarandahally Village, Jigani Taluk"/>
    <s v="Bangalore"/>
    <n v="560099"/>
    <s v="KA"/>
    <s v="India"/>
    <n v="8"/>
    <n v="0"/>
    <n v="2"/>
    <n v="1"/>
    <s v="Sun"/>
    <m/>
  </r>
  <r>
    <n v="789"/>
    <s v="Mold-Tek Packaging Ltd"/>
    <x v="706"/>
    <n v="790"/>
    <s v="4030J lX"/>
    <m/>
    <d v="2020-07-28T00:00:00"/>
    <m/>
    <m/>
    <d v="2020-07-28T00:00:00"/>
    <d v="2022-07-27T00:00:00"/>
    <n v="3"/>
    <s v="Mr. Sateesh .R"/>
    <s v="AGM-Purchase"/>
    <s v="96764 41333"/>
    <s v="Annaram Village"/>
    <s v="Unit-I, Sy.No.54,55/A, 70,71 &amp; 72 Near Airforce Academy"/>
    <s v="Gummadi Dal Mandal"/>
    <s v="Sanga Reddy"/>
    <n v="502313"/>
    <s v="TS"/>
    <s v="India"/>
    <n v="6"/>
    <n v="0"/>
    <n v="2"/>
    <n v="1"/>
    <s v="Sun"/>
    <m/>
  </r>
  <r>
    <n v="790"/>
    <s v="TopFlite Components Pvt Ltd"/>
    <x v="429"/>
    <n v="882"/>
    <s v="2015J LX"/>
    <m/>
    <d v="2020-08-06T00:00:00"/>
    <m/>
    <m/>
    <d v="2021-07-17T00:00:00"/>
    <d v="2022-07-16T00:00:00"/>
    <n v="3"/>
    <s v="Mr. Rachin Bhasi"/>
    <s v="Director"/>
    <m/>
    <s v="Koorgahalli"/>
    <s v="Plot No:41 (Part), Koorgalli Industrial Area"/>
    <m/>
    <s v="Mysore"/>
    <n v="570018"/>
    <s v="KA"/>
    <s v="India"/>
    <n v="8"/>
    <n v="0"/>
    <n v="3"/>
    <n v="3"/>
    <s v="Sun"/>
    <m/>
  </r>
  <r>
    <n v="791"/>
    <s v="Brakes India Pvt Ltd"/>
    <x v="707"/>
    <n v="849"/>
    <s v="4020J LX"/>
    <m/>
    <d v="2020-08-10T00:00:00"/>
    <m/>
    <m/>
    <d v="2022-02-01T00:00:00"/>
    <d v="2022-07-31T00:00:00"/>
    <n v="3"/>
    <s v="Mr. Saravanan"/>
    <m/>
    <m/>
    <s v="Sricity, Mopurupalli Village"/>
    <s v="BD22 (Brake Div- Sricity) 210, Kadamba Drive"/>
    <s v="Varadaiahpalem Mandal"/>
    <s v="Chittor"/>
    <n v="517646"/>
    <s v="AP"/>
    <s v="India"/>
    <n v="4"/>
    <n v="0"/>
    <n v="5"/>
    <n v="2"/>
    <s v="Sun"/>
    <m/>
  </r>
  <r>
    <n v="792"/>
    <s v="TGT Tech Private Limited"/>
    <x v="708"/>
    <s v="DC005"/>
    <m/>
    <m/>
    <d v="2020-08-28T00:00:00"/>
    <m/>
    <m/>
    <d v="2020-08-28T00:00:00"/>
    <d v="2021-08-27T00:00:00"/>
    <n v="3"/>
    <s v="Mr. Santhosh Prabhu"/>
    <m/>
    <m/>
    <s v="4th Phase"/>
    <s v="Plot No.467-469 Site 1/C, 12th Cross"/>
    <s v="Peenya Industrial Area"/>
    <s v="Bangalore"/>
    <n v="560058"/>
    <s v="KA"/>
    <s v="India"/>
    <n v="8"/>
    <n v="0"/>
    <n v="5"/>
    <n v="1"/>
    <s v="Sun"/>
    <m/>
  </r>
  <r>
    <n v="793"/>
    <s v="Pragathi Coatings Pvt Ltd"/>
    <x v="709"/>
    <n v="878"/>
    <s v="2015J LX"/>
    <m/>
    <d v="2020-09-02T00:00:00"/>
    <m/>
    <m/>
    <d v="2020-09-02T00:00:00"/>
    <d v="2023-09-01T00:00:00"/>
    <n v="3"/>
    <s v="Mr. J.D.Sharma"/>
    <m/>
    <s v="8860605662 / 9999625200"/>
    <s v="Sector-37"/>
    <s v="1/5 Milestone Khansa Road"/>
    <m/>
    <s v="Gurugram"/>
    <n v="122001"/>
    <s v="HR"/>
    <s v="India"/>
    <n v="1"/>
    <n v="1"/>
    <n v="1"/>
    <n v="1"/>
    <s v="Sun"/>
    <m/>
  </r>
  <r>
    <n v="794"/>
    <s v="Alpla India Pvt Ltd"/>
    <x v="710"/>
    <n v="848"/>
    <s v="4020J LX"/>
    <m/>
    <d v="2020-09-17T00:00:00"/>
    <m/>
    <m/>
    <d v="2025-08-12T00:00:00"/>
    <d v="2026-08-11T00:00:00"/>
    <n v="3"/>
    <s v="Mr. Shailendu Jha"/>
    <m/>
    <n v="7702361333"/>
    <s v="Phase-IV, Pashamylaram"/>
    <s v="Plot No.14 PPTP"/>
    <s v="Medak Dist"/>
    <s v="Sanga Reddy"/>
    <n v="502307"/>
    <s v="TS"/>
    <s v="India"/>
    <n v="6"/>
    <n v="0"/>
    <n v="1"/>
    <n v="1"/>
    <s v="Sun"/>
    <m/>
  </r>
  <r>
    <n v="795"/>
    <s v="Microtek New Technologies Pvt Ltd"/>
    <x v="711"/>
    <n v="879"/>
    <s v="2015J LX"/>
    <m/>
    <d v="2020-09-25T00:00:00"/>
    <m/>
    <m/>
    <d v="2020-09-25T00:00:00"/>
    <d v="2021-09-24T00:00:00"/>
    <n v="3"/>
    <s v="Mr. Sachin Kumar"/>
    <m/>
    <s v="7018463255/ 8448786071"/>
    <m/>
    <s v="Village Katha Baddi"/>
    <m/>
    <s v="Solan"/>
    <n v="173205"/>
    <s v="HP"/>
    <s v="India"/>
    <n v="1"/>
    <n v="3"/>
    <n v="1"/>
    <n v="3"/>
    <s v="Sun"/>
    <m/>
  </r>
  <r>
    <n v="796"/>
    <s v="Brakes India Pvt Ltd"/>
    <x v="180"/>
    <n v="850"/>
    <s v="4020J LX"/>
    <m/>
    <d v="2020-10-01T00:00:00"/>
    <m/>
    <m/>
    <d v="2021-11-01T00:00:00"/>
    <d v="2022-10-31T00:00:00"/>
    <n v="3"/>
    <s v="Mr. Mukesh   "/>
    <m/>
    <n v="9442602946"/>
    <s v="MTH RoadPadi"/>
    <s v="BD01 Brakes Division Padi"/>
    <s v="Padi"/>
    <s v="Chennai"/>
    <n v="600050"/>
    <s v="TN"/>
    <s v="India"/>
    <n v="4"/>
    <n v="0"/>
    <n v="4"/>
    <n v="1"/>
    <s v="Sun"/>
    <m/>
  </r>
  <r>
    <n v="797"/>
    <s v="PITTI Ind Pvt Ltd (Bagadia Chaitra Industries Pvt Ltd)"/>
    <x v="712"/>
    <n v="791"/>
    <s v="4030J lX"/>
    <m/>
    <d v="2020-10-08T00:00:00"/>
    <m/>
    <m/>
    <d v="2024-08-22T00:00:00"/>
    <d v="2025-08-21T00:00:00"/>
    <n v="3"/>
    <s v="Mr. Y. Chakradhara"/>
    <m/>
    <s v="9844689495 / 7349555708"/>
    <s v="2nd Phase, KIADB"/>
    <s v="Plot No.7 &amp; 8 Vasanthanarasapura Industrial Area"/>
    <s v="Tal: Tumkur"/>
    <s v="Tumkur"/>
    <n v="572128"/>
    <s v="KA"/>
    <s v="India"/>
    <n v="8"/>
    <n v="0"/>
    <n v="5"/>
    <n v="2"/>
    <s v="Sun"/>
    <m/>
  </r>
  <r>
    <n v="798"/>
    <s v="Kayens Engg Pvt Ltd (Stencil Engg)"/>
    <x v="713"/>
    <n v="880"/>
    <s v="2015J LX"/>
    <m/>
    <d v="2020-10-16T00:00:00"/>
    <m/>
    <m/>
    <d v="2021-12-04T00:00:00"/>
    <d v="2022-12-03T00:00:00"/>
    <n v="3"/>
    <s v="Mr. Tony Augustian"/>
    <m/>
    <m/>
    <s v="Industrial Area, Jigani Hobli"/>
    <s v="Plot No.232/3 Bommasandra-Jigani Link Road"/>
    <s v="Anekal Taluk"/>
    <s v="Bangalore"/>
    <n v="560105"/>
    <s v="KA"/>
    <s v="India"/>
    <n v="8"/>
    <n v="0"/>
    <n v="2"/>
    <n v="1"/>
    <s v="Sun"/>
    <m/>
  </r>
  <r>
    <n v="799"/>
    <s v="Minda Corporation Ltd"/>
    <x v="714"/>
    <n v="886"/>
    <s v="2015J LX"/>
    <m/>
    <d v="2020-10-31T00:00:00"/>
    <m/>
    <m/>
    <d v="2021-11-15T00:00:00"/>
    <d v="2022-11-14T00:00:00"/>
    <n v="3"/>
    <m/>
    <m/>
    <s v="9911931852 / 9971316468"/>
    <s v="Udyog Kendra"/>
    <s v="Componenision Division  Plot No.2D/1"/>
    <s v="Ecotech-III"/>
    <s v="Greater Noida"/>
    <n v="201306"/>
    <s v="UP"/>
    <s v="India"/>
    <n v="1"/>
    <n v="1"/>
    <n v="5"/>
    <n v="2"/>
    <s v="Sun"/>
    <m/>
  </r>
  <r>
    <n v="800"/>
    <s v="Boeing India Pvt Ltd"/>
    <x v="715"/>
    <n v="885"/>
    <s v="2015J LX"/>
    <m/>
    <d v="2020-11-04T00:00:00"/>
    <m/>
    <m/>
    <d v="2020-11-04T00:00:00"/>
    <d v="2021-11-03T00:00:00"/>
    <n v="3"/>
    <s v="Mr. Ashwin Kumar"/>
    <m/>
    <n v="6366774735"/>
    <s v="6th Floor, Bagamane Tech Park"/>
    <s v="IN BIPL Bangalore-99-F64,6 Lake View Building"/>
    <s v="Bkock-A, CV Raman Nagar"/>
    <s v="Bnagalore"/>
    <n v="560093"/>
    <s v="KA"/>
    <s v="India"/>
    <n v="8"/>
    <n v="0"/>
    <n v="7"/>
    <n v="1"/>
    <s v="Sun"/>
    <m/>
  </r>
  <r>
    <n v="801"/>
    <s v="AceInotec Manufacturing Pvt Ltd"/>
    <x v="667"/>
    <n v="888"/>
    <s v="2015J LX"/>
    <m/>
    <d v="2020-11-05T00:00:00"/>
    <m/>
    <m/>
    <d v="2020-11-05T00:00:00"/>
    <d v="2021-11-04T00:00:00"/>
    <n v="3"/>
    <s v="Mr. Srinivas"/>
    <m/>
    <n v="8747900333"/>
    <s v="4th Phase"/>
    <s v="Rehoboth Plot No.465"/>
    <s v="Peenya Industrial Area"/>
    <s v="Bangalore"/>
    <n v="560058"/>
    <s v="KA"/>
    <s v="India"/>
    <n v="8"/>
    <n v="0"/>
    <n v="5"/>
    <n v="1"/>
    <s v="Sun"/>
    <m/>
  </r>
  <r>
    <n v="802"/>
    <s v="Technotool Solutions India LLP"/>
    <x v="716"/>
    <n v="889"/>
    <s v="2015J LX"/>
    <m/>
    <d v="2020-11-05T00:00:00"/>
    <m/>
    <m/>
    <d v="2020-11-05T00:00:00"/>
    <d v="2021-11-04T00:00:00"/>
    <n v="3"/>
    <s v="Mr. Purushottam"/>
    <s v="CEO"/>
    <n v="9008499335"/>
    <s v="OPP E.T.D.C Bhavan"/>
    <s v="No.19/20 100 Feet Road"/>
    <s v="P.I.A Chokkasandra 3rd Cross"/>
    <s v="Bangalore"/>
    <n v="560057"/>
    <s v="KA"/>
    <s v="India"/>
    <n v="8"/>
    <n v="0"/>
    <n v="1"/>
    <n v="2"/>
    <s v="Sun"/>
    <m/>
  </r>
  <r>
    <n v="803"/>
    <s v="Hindustan Platinum PR "/>
    <x v="717"/>
    <n v="887"/>
    <s v="2015J LX"/>
    <m/>
    <d v="2020-11-13T00:00:00"/>
    <m/>
    <m/>
    <d v="2020-11-13T00:00:00"/>
    <d v="2021-11-12T00:00:00"/>
    <n v="3"/>
    <s v="Mr. Nestor Rios "/>
    <s v="Sr. Plant Manager"/>
    <m/>
    <s v="Humacaco"/>
    <s v="Industrial Park Road No.3, KM 82.0"/>
    <m/>
    <s v="Puerto Rico"/>
    <s v="00791"/>
    <s v="OC"/>
    <m/>
    <n v="0"/>
    <n v="0"/>
    <n v="0"/>
    <n v="0"/>
    <n v="0"/>
    <m/>
  </r>
  <r>
    <n v="804"/>
    <s v="Terminal Technologies (I) Pvt Ltd"/>
    <x v="718"/>
    <n v="892"/>
    <s v="2015J LX"/>
    <m/>
    <d v="2020-11-17T00:00:00"/>
    <m/>
    <m/>
    <d v="2021-12-18T00:00:00"/>
    <d v="2022-12-18T00:00:00"/>
    <n v="3"/>
    <s v="Mr. Sadanand Gharat"/>
    <s v="Deputy Mgr Purchase"/>
    <n v="9545455067"/>
    <s v="Valiv"/>
    <s v="Terminal House Merchant Industrial Complex"/>
    <s v="Vasai East"/>
    <s v="Palghar"/>
    <n v="401208"/>
    <s v="MH"/>
    <s v="India"/>
    <n v="2"/>
    <n v="1"/>
    <n v="1"/>
    <n v="2"/>
    <s v="Sun"/>
    <m/>
  </r>
  <r>
    <n v="805"/>
    <s v="Terminal Technologies (I) Pvt Ltd"/>
    <x v="719"/>
    <n v="893"/>
    <s v="2015J LX"/>
    <m/>
    <d v="2020-11-17T00:00:00"/>
    <m/>
    <m/>
    <d v="2021-12-05T00:00:00"/>
    <d v="2022-12-04T00:00:00"/>
    <n v="3"/>
    <s v="Mr. Prashanth Bhosale"/>
    <s v="Plant Head"/>
    <n v="9545455045"/>
    <s v="Nanekarwadi"/>
    <s v="Building Nos.2,4 &amp; 5 Gat No.312/2, 3 &amp; 6"/>
    <s v="Chakan"/>
    <s v="Pune"/>
    <s v="410510"/>
    <s v="MH"/>
    <s v="India"/>
    <n v="2"/>
    <n v="4"/>
    <n v="2"/>
    <n v="1"/>
    <s v="Thu"/>
    <m/>
  </r>
  <r>
    <n v="806"/>
    <s v="Capital Tool Industries"/>
    <x v="720"/>
    <n v="890"/>
    <s v="2015J LX"/>
    <m/>
    <d v="2020-11-18T00:00:00"/>
    <m/>
    <m/>
    <d v="2020-11-18T00:00:00"/>
    <d v="2021-11-17T00:00:00"/>
    <n v="3"/>
    <m/>
    <m/>
    <m/>
    <m/>
    <s v="7-A Industrial Estate"/>
    <m/>
    <s v="Patiala"/>
    <s v="147004"/>
    <s v="PB"/>
    <s v="India"/>
    <n v="1"/>
    <n v="3"/>
    <n v="3"/>
    <n v="3"/>
    <s v="Sun"/>
    <m/>
  </r>
  <r>
    <n v="807"/>
    <s v="S.R.S Tools"/>
    <x v="721"/>
    <n v="891"/>
    <s v="2015J LX"/>
    <m/>
    <d v="2020-11-23T00:00:00"/>
    <m/>
    <m/>
    <d v="2020-11-23T00:00:00"/>
    <d v="2021-11-22T00:00:00"/>
    <n v="3"/>
    <s v="Mr. Samapth"/>
    <m/>
    <n v="9880148565"/>
    <s v="1st Stage"/>
    <s v="No.M6 (A) 7th Cross"/>
    <s v="Peenya Industrial Estate"/>
    <s v="Bnagalore"/>
    <s v="560058"/>
    <s v="KA"/>
    <s v="India"/>
    <n v="8"/>
    <n v="0"/>
    <n v="5"/>
    <n v="1"/>
    <s v="Sun"/>
    <m/>
  </r>
  <r>
    <n v="808"/>
    <s v="Schneider Electric India Pvt. Ltd."/>
    <x v="722"/>
    <n v="852"/>
    <s v="4020J LX"/>
    <m/>
    <d v="2020-11-24T00:00:00"/>
    <m/>
    <m/>
    <d v="2020-11-24T00:00:00"/>
    <d v="2022-11-23T00:00:00"/>
    <n v="3"/>
    <s v="Mr. Pravin Bhosale"/>
    <m/>
    <m/>
    <s v="MIDC Area"/>
    <s v="ASW Ahmednagar Mfg Plant Mod 10 A-9/10"/>
    <s v="Nagapur"/>
    <s v="Ahmednagar"/>
    <s v="414111"/>
    <s v="MH"/>
    <s v="India"/>
    <n v="2"/>
    <n v="4"/>
    <n v="3"/>
    <n v="1"/>
    <s v="Thu"/>
    <m/>
  </r>
  <r>
    <n v="809"/>
    <s v="Stein Seal Company (India) Pvt Ltd"/>
    <x v="723"/>
    <n v="792"/>
    <s v="4030-Z25"/>
    <m/>
    <d v="2020-12-12T00:00:00"/>
    <m/>
    <m/>
    <d v="2022-01-25T00:00:00"/>
    <d v="2023-01-24T00:00:00"/>
    <n v="3"/>
    <s v="Mr. Vijay Raghavan T.S"/>
    <s v="Head-Opern. &amp; Busi-Develop"/>
    <n v="7676217356"/>
    <s v="Peenya 2nd Stage"/>
    <s v="B-191 5th Main Road"/>
    <m/>
    <s v="Bangalore"/>
    <n v="560058"/>
    <s v="KA"/>
    <s v="India"/>
    <n v="8"/>
    <n v="0"/>
    <n v="5"/>
    <n v="1"/>
    <s v="Sun"/>
    <m/>
  </r>
  <r>
    <n v="810"/>
    <s v="Karamsar Technology Pvt ltd"/>
    <x v="724"/>
    <n v="896"/>
    <s v="2015J LX"/>
    <m/>
    <d v="2020-12-16T00:00:00"/>
    <m/>
    <m/>
    <d v="2020-12-16T00:00:00"/>
    <d v="2021-12-15T00:00:00"/>
    <n v="3"/>
    <s v="Mr. Jaswinder Singh"/>
    <m/>
    <n v="9311334600"/>
    <s v="Rohtak Road"/>
    <s v="K-3 Udyog Nagar"/>
    <m/>
    <s v="Delhi"/>
    <n v="110041"/>
    <s v="ND"/>
    <s v="India"/>
    <n v="1"/>
    <n v="1"/>
    <n v="6"/>
    <n v="2"/>
    <s v="Sun"/>
    <m/>
  </r>
  <r>
    <n v="811"/>
    <s v="RR Precision (India) Pvt Ltd"/>
    <x v="725"/>
    <n v="897"/>
    <s v="2015J LX"/>
    <m/>
    <d v="2020-12-17T00:00:00"/>
    <m/>
    <m/>
    <d v="2025-10-22T00:00:00"/>
    <d v="2026-10-21T00:00:00"/>
    <n v="3"/>
    <s v="Mr. Praveen Jayaraj"/>
    <s v="Managing Director"/>
    <m/>
    <m/>
    <s v="No.25/1 Tamaka Industrial Area"/>
    <m/>
    <s v="Kolar"/>
    <n v="563101"/>
    <s v="KA"/>
    <s v="India"/>
    <n v="8"/>
    <n v="0"/>
    <n v="8"/>
    <n v="2"/>
    <s v="Sun"/>
    <m/>
  </r>
  <r>
    <n v="812"/>
    <s v="Bosch limited"/>
    <x v="13"/>
    <n v="898"/>
    <s v="2015J LX"/>
    <m/>
    <d v="2020-12-24T00:00:00"/>
    <m/>
    <m/>
    <d v="2020-12-24T00:00:00"/>
    <d v="2021-12-23T00:00:00"/>
    <n v="3"/>
    <s v="Mr. S. Manjunath"/>
    <s v="Technical Plant Manager (BidP1/PT)"/>
    <n v="9972351351"/>
    <s v="Bidadi Industrial Area"/>
    <s v="BidP, Plot No.42 2nd Phase, Sector-2"/>
    <s v="Ramanagar Taluk"/>
    <s v="Bangalore"/>
    <n v="562109"/>
    <s v="KA"/>
    <s v="India"/>
    <n v="8"/>
    <n v="0"/>
    <n v="1"/>
    <n v="1"/>
    <s v="Sun"/>
    <m/>
  </r>
  <r>
    <n v="813"/>
    <s v="Spring Tech India"/>
    <x v="726"/>
    <n v="899"/>
    <s v="2015J LX"/>
    <m/>
    <d v="2020-12-28T00:00:00"/>
    <m/>
    <m/>
    <d v="2020-12-28T00:00:00"/>
    <d v="2021-12-27T00:00:00"/>
    <n v="3"/>
    <m/>
    <m/>
    <n v="9205217652"/>
    <s v="Mujesar"/>
    <s v="Plot No.44,45 &amp; 46 VIC"/>
    <s v="Sectpr-24"/>
    <s v="Faridabad"/>
    <n v="121005"/>
    <s v="HR"/>
    <s v="India"/>
    <n v="1"/>
    <n v="1"/>
    <n v="6"/>
    <n v="1"/>
    <s v="Sun"/>
    <m/>
  </r>
  <r>
    <n v="814"/>
    <s v="Kirloskar Toyota Textile Machinery Pvt. Ltd"/>
    <x v="727"/>
    <n v="793"/>
    <s v="4030J LX"/>
    <m/>
    <d v="2021-01-05T00:00:00"/>
    <m/>
    <m/>
    <d v="2021-01-05T00:00:00"/>
    <d v="2022-01-04T00:00:00"/>
    <n v="3"/>
    <s v="Mr. Gururaj Chakravarthi"/>
    <s v="Management Rep &amp; QA"/>
    <s v="9845528406 / 7026603092"/>
    <s v="Phase-2"/>
    <s v="Plot No.10-13 Jigani Industrial Area"/>
    <m/>
    <s v="Bangalore"/>
    <s v="560105"/>
    <s v="KA"/>
    <s v="India"/>
    <n v="8"/>
    <n v="0"/>
    <n v="2"/>
    <n v="1"/>
    <s v="Sun"/>
    <m/>
  </r>
  <r>
    <n v="815"/>
    <s v="OM Engineering"/>
    <x v="728"/>
    <n v="851"/>
    <s v="4020J LX"/>
    <m/>
    <d v="2021-01-05T00:00:00"/>
    <m/>
    <m/>
    <d v="2021-01-05T00:00:00"/>
    <d v="2023-01-04T00:00:00"/>
    <n v="3"/>
    <s v="Mr. Anil Panchal"/>
    <m/>
    <n v="8826454187"/>
    <m/>
    <s v="A-19 Sector-57"/>
    <m/>
    <s v="Noida"/>
    <s v="201301"/>
    <s v="UP"/>
    <s v="India"/>
    <n v="1"/>
    <n v="1"/>
    <n v="5"/>
    <n v="1"/>
    <s v="Sun"/>
    <m/>
  </r>
  <r>
    <n v="816"/>
    <s v="Rashmi Metaliks Ltd"/>
    <x v="729"/>
    <n v="900"/>
    <s v="2015J LX"/>
    <m/>
    <d v="2021-01-13T00:00:00"/>
    <m/>
    <m/>
    <d v="2021-01-13T00:00:00"/>
    <d v="2022-01-12T00:00:00"/>
    <n v="3"/>
    <s v="Mr. Partha Dey"/>
    <m/>
    <m/>
    <s v="NH-6"/>
    <s v="Gokulpur P.O. Shyamraipur"/>
    <m/>
    <s v="Kharagpur"/>
    <s v="721304"/>
    <s v="WB"/>
    <s v="India"/>
    <n v="3"/>
    <n v="0"/>
    <n v="0"/>
    <n v="2"/>
    <s v="Sun"/>
    <m/>
  </r>
  <r>
    <n v="817"/>
    <s v="Sothern Writing Instuments Pvt Ltd (Chennai Pen Products Pvt Ltd)"/>
    <x v="730"/>
    <n v="902"/>
    <s v="2015J LX"/>
    <m/>
    <d v="2021-01-19T00:00:00"/>
    <m/>
    <m/>
    <d v="2025-07-31T00:00:00"/>
    <d v="2026-07-30T00:00:00"/>
    <n v="3"/>
    <s v="Mr. K. Gopalan"/>
    <s v="Quality Head"/>
    <s v="97899 68223/ 93817 37402"/>
    <s v="Attuputhur Post"/>
    <s v="No.201/2A Siruvedal Village"/>
    <m/>
    <s v="Kancheepuram"/>
    <n v="631561"/>
    <s v="TN"/>
    <s v="India"/>
    <n v="4"/>
    <n v="0"/>
    <n v="3"/>
    <n v="1"/>
    <s v="Sun"/>
    <m/>
  </r>
  <r>
    <n v="818"/>
    <s v="Harinder Industries Pvt Ltd"/>
    <x v="731"/>
    <n v="901"/>
    <s v="2015J LX"/>
    <m/>
    <d v="2021-01-20T00:00:00"/>
    <m/>
    <m/>
    <d v="2021-01-20T00:00:00"/>
    <d v="2022-01-19T00:00:00"/>
    <n v="3"/>
    <s v="Mr. Somya Kumar"/>
    <m/>
    <m/>
    <s v="ImMT Manesar"/>
    <s v="Plot No.154-O Sector-7"/>
    <m/>
    <s v="Gurgaon"/>
    <n v="122050"/>
    <s v="HR"/>
    <s v="India"/>
    <n v="1"/>
    <n v="1"/>
    <n v="1"/>
    <n v="1"/>
    <s v="Sun"/>
    <m/>
  </r>
  <r>
    <n v="819"/>
    <s v="Motion Drivetronics Pvt Ltd"/>
    <x v="732"/>
    <n v="853"/>
    <s v="4020J LX"/>
    <m/>
    <d v="2021-01-21T00:00:00"/>
    <m/>
    <m/>
    <d v="2021-01-21T00:00:00"/>
    <d v="2022-01-20T00:00:00"/>
    <n v="3"/>
    <s v="Mr. Pranav P. Javeri"/>
    <s v="Director"/>
    <m/>
    <s v="Electronic Zone"/>
    <s v="EL-108 T.T.C Industrial Area"/>
    <s v="M.I.D.C, Mahape"/>
    <s v="Navi Mumbai"/>
    <n v="400709"/>
    <s v="MH"/>
    <s v="India"/>
    <n v="2"/>
    <n v="2"/>
    <n v="2"/>
    <n v="4"/>
    <s v="Sun"/>
    <m/>
  </r>
  <r>
    <n v="820"/>
    <s v="AGI Greenpac Ltd (HSIL Limited)"/>
    <x v="733"/>
    <n v="795"/>
    <s v="4030J LX"/>
    <m/>
    <d v="2021-01-21T00:00:00"/>
    <m/>
    <m/>
    <d v="2021-01-21T00:00:00"/>
    <d v="2022-01-20T00:00:00"/>
    <n v="3"/>
    <s v="Mr. Samir Kumar Dhir"/>
    <s v="Deputy Manager -Quality Control"/>
    <n v="9346138134"/>
    <s v="Survey No.208 to 218, Sitarampur"/>
    <s v="Packagining Product Division AGI Closure"/>
    <s v="Isnapur"/>
    <s v="Patancheru"/>
    <n v="502307"/>
    <s v="TS"/>
    <s v="India"/>
    <n v="6"/>
    <n v="0"/>
    <n v="1"/>
    <n v="1"/>
    <s v="Sun"/>
    <m/>
  </r>
  <r>
    <n v="821"/>
    <s v="PV Clean Mobility Technologies Pvt Ltd"/>
    <x v="734"/>
    <n v="854"/>
    <s v="4020J LX"/>
    <m/>
    <d v="2021-01-27T00:00:00"/>
    <m/>
    <m/>
    <d v="2025-06-02T00:00:00"/>
    <d v="2026-06-01T00:00:00"/>
    <n v="3"/>
    <s v="Mr. Shailesh. Thakare"/>
    <m/>
    <n v="7218310087"/>
    <s v="Alandi Phata- MIDC"/>
    <s v="Gate No.624/3 Chakan Alandi Road"/>
    <s v="Taluk- Khed, Kurli, Chakan"/>
    <s v="Pune"/>
    <s v="410501"/>
    <s v="MH"/>
    <s v="India"/>
    <n v="2"/>
    <n v="4"/>
    <n v="2"/>
    <n v="1"/>
    <s v="Thu"/>
    <m/>
  </r>
  <r>
    <n v="822"/>
    <s v="Terminal Technologies (I) Pvt Ltd"/>
    <x v="735"/>
    <n v="894"/>
    <s v="2015J LX"/>
    <m/>
    <d v="2021-01-27T00:00:00"/>
    <m/>
    <m/>
    <d v="2022-01-25T00:00:00"/>
    <d v="2023-01-24T00:00:00"/>
    <n v="3"/>
    <s v="Mr. Sadanand Gharat"/>
    <s v="Deputy Manager- Pur"/>
    <n v="9545455067"/>
    <s v="Near Sheela Foam, Village Zaroli"/>
    <s v="Plot No.1A, Ground Floor Survey No.415, Khata No. 708"/>
    <s v="Tal- Umbergaon, Bhilad"/>
    <s v="Valsad"/>
    <s v="396105"/>
    <s v="GJ"/>
    <s v="India"/>
    <n v="2"/>
    <n v="1"/>
    <n v="1"/>
    <n v="1"/>
    <s v="Sun"/>
    <m/>
  </r>
  <r>
    <n v="823"/>
    <s v="Terminal Technologies (I) Pvt Ltd"/>
    <x v="735"/>
    <n v="895"/>
    <s v="2015J LX"/>
    <m/>
    <d v="2021-01-27T00:00:00"/>
    <m/>
    <m/>
    <d v="2022-01-25T00:00:00"/>
    <d v="2023-01-24T00:00:00"/>
    <n v="3"/>
    <s v="Mr. Sadanand Gharat"/>
    <s v="Deputy Manager- Pur"/>
    <n v="9545455067"/>
    <s v="Near Sheela Foam, Village Zaroli"/>
    <s v="Plot No.1A, Ground Floor Survey No.415, Khata No. 708"/>
    <s v="Tal- Umbergaon, Bhilad"/>
    <s v="Valsad"/>
    <s v="396105"/>
    <s v="GJ"/>
    <s v="India"/>
    <n v="2"/>
    <n v="1"/>
    <n v="1"/>
    <n v="1"/>
    <s v="Sun"/>
    <m/>
  </r>
  <r>
    <n v="824"/>
    <s v="Yugal Precision Pvt Ltd"/>
    <x v="736"/>
    <n v="903"/>
    <s v="2015J LX"/>
    <m/>
    <d v="2021-01-27T00:00:00"/>
    <m/>
    <m/>
    <d v="2021-01-27T00:00:00"/>
    <d v="2022-01-26T00:00:00"/>
    <n v="3"/>
    <s v="Mr. Vineet Agarwal"/>
    <s v="Director"/>
    <n v="9837070086"/>
    <s v="Nunhai"/>
    <s v="122-123 Industrial Estate"/>
    <m/>
    <s v="Agra"/>
    <s v="282006"/>
    <s v="UP"/>
    <s v="India"/>
    <n v="1"/>
    <n v="1"/>
    <n v="5"/>
    <n v="4"/>
    <s v="Sun"/>
    <m/>
  </r>
  <r>
    <n v="825"/>
    <s v="AH Mec"/>
    <x v="737"/>
    <n v="904"/>
    <s v="2015J LX"/>
    <m/>
    <d v="2021-02-05T00:00:00"/>
    <m/>
    <m/>
    <d v="2021-02-05T00:00:00"/>
    <d v="2022-02-04T00:00:00"/>
    <n v="3"/>
    <s v="Mr. Harish"/>
    <s v="Partner"/>
    <n v="9036099499"/>
    <s v="Vidyaranyapura Post"/>
    <s v="#11/240 Lakshmipura"/>
    <m/>
    <s v="Bangalore"/>
    <s v="560097"/>
    <s v="KA"/>
    <s v="India"/>
    <n v="8"/>
    <n v="0"/>
    <n v="7"/>
    <n v="1"/>
    <s v="Sun"/>
    <m/>
  </r>
  <r>
    <n v="826"/>
    <s v="DJ Manufacturing"/>
    <x v="738"/>
    <n v="906"/>
    <s v="2015J LX"/>
    <m/>
    <d v="2021-02-15T00:00:00"/>
    <m/>
    <m/>
    <d v="2021-02-15T00:00:00"/>
    <d v="2022-02-14T00:00:00"/>
    <n v="3"/>
    <s v="Mr. Suresh Kumar"/>
    <s v="Proprietor"/>
    <n v="9842486333"/>
    <s v="Bharati Nagar"/>
    <s v="9/1 Police Quarters Road"/>
    <s v="Ganapathy"/>
    <s v="Coimbatore"/>
    <s v="641006"/>
    <s v="TN"/>
    <s v="India"/>
    <n v="4"/>
    <n v="1"/>
    <n v="6"/>
    <n v="1"/>
    <s v="Sun"/>
    <m/>
  </r>
  <r>
    <n v="827"/>
    <s v="DJ Irrigation"/>
    <x v="739"/>
    <n v="960"/>
    <s v="4030J LX"/>
    <m/>
    <d v="2021-02-16T00:00:00"/>
    <m/>
    <m/>
    <d v="2021-02-16T00:00:00"/>
    <d v="2022-02-15T00:00:00"/>
    <n v="3"/>
    <s v="Mr. Umesh Hanswani"/>
    <s v="Managing Director"/>
    <n v="9822327627"/>
    <s v="NICE Area"/>
    <s v="Plant-2: Engineering Division C-1"/>
    <s v="Satpur"/>
    <s v="Nashik"/>
    <s v="422007"/>
    <s v="MH"/>
    <s v="India"/>
    <n v="2"/>
    <n v="3"/>
    <n v="0"/>
    <n v="1"/>
    <s v="Sat "/>
    <m/>
  </r>
  <r>
    <n v="828"/>
    <s v="Electracon Paradise Ltd"/>
    <x v="740"/>
    <n v="908"/>
    <s v="2015J LX"/>
    <m/>
    <d v="2021-02-19T00:00:00"/>
    <m/>
    <m/>
    <d v="2021-02-19T00:00:00"/>
    <d v="2022-02-18T00:00:00"/>
    <n v="3"/>
    <s v="Mr. Chandan Kumar"/>
    <s v="Admin Manager"/>
    <n v="8527006620"/>
    <s v="Phase-2"/>
    <s v="A-7 (G.F) Mayapuri Industrial Area"/>
    <m/>
    <s v="New Delhi"/>
    <s v="110064"/>
    <s v="DL"/>
    <s v="India"/>
    <n v="1"/>
    <n v="1"/>
    <n v="6"/>
    <n v="2"/>
    <s v="Sun"/>
    <m/>
  </r>
  <r>
    <n v="829"/>
    <s v="Bharti Enterprise"/>
    <x v="741"/>
    <n v="905"/>
    <s v="2015J LX"/>
    <m/>
    <d v="2021-03-01T00:00:00"/>
    <m/>
    <m/>
    <d v="2021-03-01T00:00:00"/>
    <d v="2022-02-28T00:00:00"/>
    <n v="3"/>
    <s v="Mr. Vijay Gori"/>
    <m/>
    <n v="9328106554"/>
    <s v="Shankar Tekri"/>
    <s v="K-1/253 GIDC-1"/>
    <m/>
    <s v="Jamnagar"/>
    <s v="361004"/>
    <s v="GJ"/>
    <s v="India"/>
    <n v="5"/>
    <n v="4"/>
    <n v="0"/>
    <n v="1"/>
    <s v="Fri"/>
    <m/>
  </r>
  <r>
    <n v="830"/>
    <s v="SVF Technologies"/>
    <x v="742"/>
    <n v="907"/>
    <s v="2015J LX"/>
    <m/>
    <d v="2021-03-12T00:00:00"/>
    <m/>
    <m/>
    <d v="2021-03-12T00:00:00"/>
    <d v="2022-03-11T00:00:00"/>
    <n v="3"/>
    <s v="Mr. Venu Barrath Kugan"/>
    <s v="CEO"/>
    <n v="9655345608"/>
    <s v="Poothurai"/>
    <s v="No.6, RS No.257/4 Poothurai- Gorimedu Road"/>
    <s v="Vanur Taluk"/>
    <s v="Villupuram"/>
    <s v="605111"/>
    <s v="TN"/>
    <s v="India"/>
    <n v="4"/>
    <n v="0"/>
    <n v="1"/>
    <n v="3"/>
    <s v="Sun"/>
    <m/>
  </r>
  <r>
    <n v="831"/>
    <s v="IFB Automotive Pvt Ltd"/>
    <x v="743"/>
    <n v="855"/>
    <s v="4020J LX"/>
    <m/>
    <d v="2021-03-15T00:00:00"/>
    <m/>
    <m/>
    <d v="2024-03-15T00:00:00"/>
    <d v="2025-03-14T00:00:00"/>
    <n v="3"/>
    <s v="Mr. Nawal Pawar"/>
    <m/>
    <n v="9036201274"/>
    <s v="Soukya Road, Koralur Village"/>
    <s v="Seating Division Hoskote Survey No.49"/>
    <s v="Hoskote Taluk, kasaba Hobli"/>
    <s v="Bangalore"/>
    <s v="560067"/>
    <s v="KA"/>
    <s v="India"/>
    <n v="8"/>
    <n v="0"/>
    <n v="8"/>
    <n v="2"/>
    <s v="Sun"/>
    <m/>
  </r>
  <r>
    <n v="832"/>
    <s v="Prime Progression Icom (India) Pvt Ltd"/>
    <x v="744"/>
    <n v="911"/>
    <s v="2015J LX"/>
    <m/>
    <d v="2021-03-15T00:00:00"/>
    <m/>
    <m/>
    <d v="2021-03-15T00:00:00"/>
    <d v="2022-03-14T00:00:00"/>
    <n v="3"/>
    <s v="Mr.Parthiban. V"/>
    <s v="GM- Sourcing &amp; New Prod. Dev"/>
    <n v="9962645999"/>
    <s v="8th Main, 2nd Cross"/>
    <s v="Regd Off: #323 Amulya Mansion"/>
    <s v="BEML Layout, Kundalahalli Main Road"/>
    <s v="Bangalore"/>
    <s v="560066"/>
    <s v="KA"/>
    <s v="India"/>
    <n v="8"/>
    <n v="0"/>
    <n v="5"/>
    <n v="1"/>
    <s v="Sun"/>
    <m/>
  </r>
  <r>
    <n v="833"/>
    <s v="U3S Engitech Pvt Ltd"/>
    <x v="745"/>
    <n v="909"/>
    <s v="2015J LX"/>
    <m/>
    <d v="2021-03-16T00:00:00"/>
    <m/>
    <m/>
    <d v="2021-03-16T00:00:00"/>
    <d v="2022-03-15T00:00:00"/>
    <n v="3"/>
    <s v="Mr. Sandeep Singh"/>
    <m/>
    <n v="8249656345"/>
    <s v="Nadibandha Road"/>
    <s v="Formerly Sandeep Traders Arundoya Nagar"/>
    <s v="Behind Shyamkunj Apartment"/>
    <s v="Cuttack"/>
    <s v="753012"/>
    <s v="OD"/>
    <s v="India"/>
    <n v="3"/>
    <n v="0"/>
    <n v="0"/>
    <n v="4"/>
    <s v="Sun"/>
    <m/>
  </r>
  <r>
    <n v="834"/>
    <s v="Aurolab"/>
    <x v="186"/>
    <n v="910"/>
    <s v="2015J LX"/>
    <m/>
    <d v="2021-03-18T00:00:00"/>
    <m/>
    <m/>
    <d v="2021-03-18T00:00:00"/>
    <d v="2022-03-17T00:00:00"/>
    <n v="3"/>
    <s v="Mr. Ramnath RK"/>
    <s v="Manager"/>
    <n v="9894083260"/>
    <s v="Sivagangai Main Road"/>
    <s v="Suture Needle Division No.1"/>
    <s v="Veerapanjan"/>
    <s v="Madurai"/>
    <s v="625020"/>
    <s v="TN"/>
    <s v="India"/>
    <n v="4"/>
    <n v="1"/>
    <n v="0"/>
    <n v="1"/>
    <s v="Sun"/>
    <m/>
  </r>
  <r>
    <n v="835"/>
    <s v="Longman Knit Parts Mfg. Co."/>
    <x v="746"/>
    <n v="913"/>
    <s v="2015J LX"/>
    <m/>
    <d v="2021-03-24T00:00:00"/>
    <m/>
    <m/>
    <d v="2021-03-24T00:00:00"/>
    <d v="2023-03-23T00:00:00"/>
    <n v="3"/>
    <s v="Mr. Vinay Jindal"/>
    <m/>
    <n v="9872635643"/>
    <m/>
    <s v="135 Industrial Area-A"/>
    <m/>
    <s v="Ludhiana"/>
    <s v="141003"/>
    <s v="PB"/>
    <s v="India"/>
    <n v="1"/>
    <n v="3"/>
    <n v="3"/>
    <n v="5"/>
    <s v="Sun"/>
    <m/>
  </r>
  <r>
    <n v="836"/>
    <s v="Kewal Engg Pvt Ltd"/>
    <x v="747"/>
    <n v="912"/>
    <s v="2015J LX"/>
    <m/>
    <d v="2021-03-28T00:00:00"/>
    <m/>
    <m/>
    <d v="2021-03-28T00:00:00"/>
    <d v="2022-03-27T00:00:00"/>
    <n v="3"/>
    <s v="Mr. Mounish / Ms. Vasudha Chawla"/>
    <m/>
    <s v="8317391855/ 6366387705"/>
    <s v="Phase-1"/>
    <s v="21-A Kumbalgodu Industrial Area"/>
    <s v="Mysore Road"/>
    <s v="Bangalore"/>
    <s v="560074"/>
    <s v="KA"/>
    <s v="India"/>
    <n v="8"/>
    <n v="0"/>
    <n v="3"/>
    <n v="2"/>
    <s v="Sun"/>
    <m/>
  </r>
  <r>
    <n v="837"/>
    <s v="Lakshmi Machine Works Ltd"/>
    <x v="748"/>
    <n v="961"/>
    <s v="4030J LX"/>
    <m/>
    <d v="2021-03-29T00:00:00"/>
    <m/>
    <m/>
    <d v="2022-03-01T00:00:00"/>
    <d v="2023-02-28T00:00:00"/>
    <n v="3"/>
    <s v="Mr. Karthik  / Mr. Gururaj"/>
    <s v="Purchase / QC"/>
    <s v="8072489466 / 9686987888"/>
    <s v="Sathy Main Road"/>
    <s v="Advance Technology Centre 489-511"/>
    <s v="Ganapathy"/>
    <s v="Coimbatore"/>
    <s v="641006"/>
    <s v="TN"/>
    <s v="India"/>
    <n v="4"/>
    <n v="1"/>
    <n v="6"/>
    <n v="1"/>
    <s v="Sun"/>
    <m/>
  </r>
  <r>
    <n v="838"/>
    <s v="Nidhi Metal Auto Components Pvt Ltd"/>
    <x v="749"/>
    <n v="914"/>
    <s v="2015J LX"/>
    <m/>
    <d v="2021-03-29T00:00:00"/>
    <m/>
    <m/>
    <d v="2021-03-29T00:00:00"/>
    <d v="2023-03-28T00:00:00"/>
    <n v="3"/>
    <s v="Mr. Ramesh Joshi"/>
    <s v="Finance &amp; Accounts"/>
    <n v="7838555477"/>
    <s v="Ballabgarh"/>
    <s v="Opp. Arya Vidhya Mandir School Vita Milk Plant Road"/>
    <m/>
    <s v="Faridabad"/>
    <s v="121004"/>
    <s v="HR"/>
    <s v="India"/>
    <n v="1"/>
    <n v="1"/>
    <n v="6"/>
    <n v="1"/>
    <s v="Sun"/>
    <m/>
  </r>
  <r>
    <n v="839"/>
    <s v="Varrmas Elassto Seals"/>
    <x v="750"/>
    <n v="918"/>
    <s v="2015J LX"/>
    <m/>
    <d v="2021-03-31T00:00:00"/>
    <m/>
    <m/>
    <d v="2021-03-31T00:00:00"/>
    <d v="2022-03-30T00:00:00"/>
    <n v="3"/>
    <s v="Mr. Subhash "/>
    <s v="Managing Director"/>
    <n v="9894798933"/>
    <s v="Vijayakumar Thottam"/>
    <s v="4/139-B7, SF No.358/1, 358/2 Agarwal School Road"/>
    <s v="SomayamPalayam"/>
    <s v="Coimbatore"/>
    <s v="641108"/>
    <s v="TN"/>
    <s v="India"/>
    <n v="4"/>
    <n v="1"/>
    <n v="3"/>
    <n v="1"/>
    <s v="Sun"/>
    <m/>
  </r>
  <r>
    <n v="840"/>
    <s v="Pamp Precision Manufacturing India Pvt Ltd"/>
    <x v="751"/>
    <n v="915"/>
    <s v="2015J LX"/>
    <m/>
    <d v="2021-04-17T00:00:00"/>
    <m/>
    <m/>
    <d v="2021-04-17T00:00:00"/>
    <d v="2023-04-16T00:00:00"/>
    <n v="3"/>
    <s v="Mr. Rohit Rawat"/>
    <m/>
    <n v="9718258624"/>
    <s v="District: Mewat"/>
    <s v="Rojka Meo Industrial Estate Tehsil Nuh"/>
    <m/>
    <s v="Sohna"/>
    <s v="122103"/>
    <s v="HR"/>
    <s v="India"/>
    <n v="1"/>
    <n v="3"/>
    <n v="1"/>
    <n v="3"/>
    <s v="Sun"/>
    <m/>
  </r>
  <r>
    <n v="841"/>
    <s v="Belz Instruments Pvt Ltd"/>
    <x v="752"/>
    <n v="859"/>
    <s v="4020J LX"/>
    <m/>
    <d v="2021-04-17T00:00:00"/>
    <m/>
    <m/>
    <d v="2021-04-17T00:00:00"/>
    <d v="2022-04-16T00:00:00"/>
    <n v="3"/>
    <m/>
    <m/>
    <m/>
    <m/>
    <s v="H.O: 5L-123 N.I.T"/>
    <m/>
    <s v="Faridabad"/>
    <s v="121001"/>
    <s v="HR"/>
    <s v="India"/>
    <n v="1"/>
    <n v="1"/>
    <n v="6"/>
    <n v="1"/>
    <s v="Sun"/>
    <m/>
  </r>
  <r>
    <n v="842"/>
    <s v="Accurate Industrial Machining (TopFlite Components)"/>
    <x v="753"/>
    <n v="917"/>
    <s v="2015J LX"/>
    <m/>
    <d v="2021-04-23T00:00:00"/>
    <m/>
    <m/>
    <d v="2021-04-23T00:00:00"/>
    <d v="2022-04-22T00:00:00"/>
    <n v="3"/>
    <s v="Mr. K.Boopalan"/>
    <s v="Proprietor"/>
    <s v="7760460255 / 8217626256"/>
    <s v="Doddalkallasandra"/>
    <s v="No.51/1B, Shed No.2 Kuvempu Nagar, Near Sarvodhay School"/>
    <s v="Kanakapura Road"/>
    <s v="Bangalore"/>
    <s v="560062"/>
    <s v="KA"/>
    <s v="India"/>
    <n v="8"/>
    <n v="0"/>
    <n v="2"/>
    <n v="3"/>
    <s v="Sun"/>
    <m/>
  </r>
  <r>
    <n v="843"/>
    <s v="Hoffen Plastics Pvt Ltd"/>
    <x v="754"/>
    <n v="962"/>
    <s v="4030J LX"/>
    <m/>
    <d v="2021-04-27T00:00:00"/>
    <m/>
    <m/>
    <d v="2021-04-27T00:00:00"/>
    <d v="2022-04-26T00:00:00"/>
    <n v="3"/>
    <s v="Mr. Pratap Reddy"/>
    <s v="Proprietor"/>
    <n v="9493287497"/>
    <s v="Block No.2, IDA Kukatpally"/>
    <s v="Plot No.F-4 B-3 Road No.4, Ground Floor"/>
    <s v="Gandhi Nagar"/>
    <s v="Hyderabad"/>
    <n v="500037"/>
    <s v="TS"/>
    <s v="India"/>
    <n v="6"/>
    <n v="0"/>
    <n v="2"/>
    <n v="1"/>
    <s v="Sun"/>
    <m/>
  </r>
  <r>
    <n v="844"/>
    <s v="IM Gears Pvt Ltd"/>
    <x v="755"/>
    <n v="963"/>
    <s v="4030J LX"/>
    <m/>
    <d v="2021-05-05T00:00:00"/>
    <m/>
    <m/>
    <d v="2021-05-05T00:00:00"/>
    <d v="2022-05-04T00:00:00"/>
    <n v="3"/>
    <s v="Mr. S. Aruldoss"/>
    <s v="Sr. Manager- Methods"/>
    <n v="9841292792"/>
    <s v="Mabakkam Post"/>
    <s v="235/1A &amp; 2C Vengai Vasal Main Road"/>
    <s v="Selaiyur"/>
    <s v="Chennai"/>
    <s v="600073"/>
    <s v="TN"/>
    <s v="India"/>
    <n v="4"/>
    <n v="0"/>
    <n v="4"/>
    <n v="1"/>
    <s v="Sun"/>
    <m/>
  </r>
  <r>
    <n v="845"/>
    <s v="Aditya Dispomed Products Pvt Ltd"/>
    <x v="756"/>
    <n v="976"/>
    <s v="2015J LX"/>
    <m/>
    <d v="2021-06-09T00:00:00"/>
    <m/>
    <m/>
    <d v="2025-06-05T00:00:00"/>
    <d v="2026-06-04T00:00:00"/>
    <n v="3"/>
    <s v="Mr. Sandeep Kumar"/>
    <m/>
    <n v="9350931535"/>
    <s v="IMT Manesar"/>
    <s v="Plot No.19 Sector-6"/>
    <m/>
    <s v="Gurugram"/>
    <s v="122050"/>
    <s v="HR"/>
    <s v="India"/>
    <n v="1"/>
    <n v="1"/>
    <n v="1"/>
    <n v="1"/>
    <s v="Sun"/>
    <m/>
  </r>
  <r>
    <n v="846"/>
    <s v="Vasantha Tool Crafts Pvt Ltd"/>
    <x v="455"/>
    <n v="964"/>
    <s v="4030J LX"/>
    <m/>
    <d v="2021-06-28T00:00:00"/>
    <m/>
    <m/>
    <d v="2021-06-28T00:00:00"/>
    <d v="2023-06-27T00:00:00"/>
    <n v="3"/>
    <s v="Mr. Anand Ganti"/>
    <s v="Deputy Mgr-Purchase "/>
    <n v="9963947812"/>
    <s v="Subhash Nagar"/>
    <s v="Unit-II 7-605/A"/>
    <s v="Jeedimetla"/>
    <s v="Hyderabad"/>
    <s v="500055"/>
    <s v="TS"/>
    <s v="India"/>
    <n v="6"/>
    <n v="0"/>
    <n v="2"/>
    <n v="1"/>
    <s v="Sun"/>
    <m/>
  </r>
  <r>
    <n v="847"/>
    <s v="Matta Drawing Works"/>
    <x v="757"/>
    <n v="980"/>
    <s v="2015J LX"/>
    <m/>
    <d v="2021-06-30T00:00:00"/>
    <m/>
    <m/>
    <d v="2021-06-30T00:00:00"/>
    <d v="2023-06-29T00:00:00"/>
    <n v="3"/>
    <s v="Mr. Dheeraj Mehta"/>
    <m/>
    <n v="9810035476"/>
    <s v="IMT Faridabad"/>
    <s v="Plot No.843 Sector-69"/>
    <m/>
    <s v="Faridabad"/>
    <s v="121004"/>
    <s v="HR"/>
    <s v="India"/>
    <n v="1"/>
    <n v="1"/>
    <n v="6"/>
    <n v="1"/>
    <s v="Sun"/>
    <m/>
  </r>
  <r>
    <n v="848"/>
    <s v="RVB Shorlube Industry Pvt Ltd"/>
    <x v="758"/>
    <n v="919"/>
    <s v="2015J LX"/>
    <m/>
    <d v="2021-06-30T00:00:00"/>
    <m/>
    <m/>
    <d v="2021-06-30T00:00:00"/>
    <d v="2022-06-29T00:00:00"/>
    <n v="3"/>
    <s v="Mr. Kuldeep Tiwari"/>
    <s v="Purchase Dept"/>
    <n v="7706970024"/>
    <s v="Rania"/>
    <s v="781-M Chiroura Road"/>
    <m/>
    <s v="Kanpur"/>
    <s v="209304"/>
    <s v="UP"/>
    <s v="India"/>
    <n v="1"/>
    <n v="0"/>
    <n v="5"/>
    <n v="4"/>
    <s v="Sun"/>
    <m/>
  </r>
  <r>
    <n v="849"/>
    <s v="Unnati Engineers"/>
    <x v="759"/>
    <n v="977"/>
    <s v="2015J LX"/>
    <m/>
    <d v="2021-07-19T00:00:00"/>
    <m/>
    <m/>
    <d v="2021-07-19T00:00:00"/>
    <d v="2022-07-18T00:00:00"/>
    <n v="3"/>
    <s v="Mr. Aradhya Pundlik"/>
    <m/>
    <n v="9673479671"/>
    <s v="Ambad"/>
    <s v="Plot No.L-7 MIDC"/>
    <m/>
    <s v="Nashik"/>
    <s v="422010"/>
    <s v="MH"/>
    <s v="India"/>
    <n v="2"/>
    <n v="3"/>
    <n v="0"/>
    <n v="1"/>
    <s v="Sat "/>
    <m/>
  </r>
  <r>
    <n v="850"/>
    <s v="Aurolab"/>
    <x v="186"/>
    <n v="979"/>
    <s v="2015J LX"/>
    <m/>
    <d v="2021-07-25T00:00:00"/>
    <m/>
    <m/>
    <d v="2022-03-03T00:00:00"/>
    <d v="2023-03-02T00:00:00"/>
    <n v="3"/>
    <s v="Mr. Saravanan.S"/>
    <s v="Mrg-Surgical Blade Div"/>
    <n v="9994788553"/>
    <s v="Sivagangai Main Road"/>
    <s v="Surgical Blade Division No.1"/>
    <s v="Veerapanjan"/>
    <s v="Madurai"/>
    <s v="625020"/>
    <s v="TN"/>
    <s v="India"/>
    <n v="4"/>
    <n v="1"/>
    <n v="0"/>
    <n v="1"/>
    <s v="Sun"/>
    <m/>
  </r>
  <r>
    <n v="851"/>
    <s v="IMAC Cables India Pvt Ltd"/>
    <x v="760"/>
    <n v="857"/>
    <s v="4020J LX"/>
    <m/>
    <d v="2021-07-26T00:00:00"/>
    <m/>
    <m/>
    <d v="2021-07-26T00:00:00"/>
    <d v="2022-07-25T00:00:00"/>
    <n v="3"/>
    <s v="Mr. D.Janarthanam"/>
    <m/>
    <n v="9940079312"/>
    <s v="SIDCO Industrial Estate"/>
    <s v="#100/2 10th Cross Street"/>
    <s v="Thirumudivakkam"/>
    <s v="Chennai"/>
    <s v="600044"/>
    <s v="TN"/>
    <s v="India"/>
    <n v="4"/>
    <n v="0"/>
    <n v="2"/>
    <n v="2"/>
    <s v="Sun"/>
    <m/>
  </r>
  <r>
    <n v="852"/>
    <s v="Sri Balaji Assemblies &amp; Plastics Pvt Ltd"/>
    <x v="271"/>
    <n v="920"/>
    <s v="4020J LX"/>
    <m/>
    <d v="2021-08-09T00:00:00"/>
    <m/>
    <m/>
    <d v="2021-08-09T00:00:00"/>
    <d v="2022-08-08T00:00:00"/>
    <n v="3"/>
    <s v="Mr. Senthamizharasan"/>
    <s v="Purchase"/>
    <n v="9884047334"/>
    <s v="SIDCO Industrial Estate "/>
    <s v="Unit-III Developed Plot 83"/>
    <s v="Thirumudivakkam"/>
    <s v="Chennai"/>
    <s v="600132"/>
    <s v="TN"/>
    <s v="India"/>
    <n v="4"/>
    <n v="0"/>
    <n v="2"/>
    <n v="2"/>
    <s v="Sun"/>
    <m/>
  </r>
  <r>
    <n v="853"/>
    <s v="Excel Metal Engg Pvt Ltd"/>
    <x v="761"/>
    <n v="858"/>
    <s v="4020J LX"/>
    <m/>
    <d v="2021-08-17T00:00:00"/>
    <m/>
    <m/>
    <d v="2021-08-17T00:00:00"/>
    <d v="2022-08-16T00:00:00"/>
    <n v="3"/>
    <s v="Mr. Vijayadevan S"/>
    <s v="Manager- Purchase"/>
    <n v="9900091865"/>
    <s v="4th Phase"/>
    <s v="Plot No.340 9th Cross"/>
    <s v="Peenya Industrial Area"/>
    <s v="Bangalore"/>
    <s v="560058"/>
    <s v="KA"/>
    <s v="India"/>
    <n v="8"/>
    <n v="0"/>
    <n v="5"/>
    <n v="1"/>
    <s v="Sun"/>
    <m/>
  </r>
  <r>
    <n v="854"/>
    <s v="Alliance Metal India"/>
    <x v="762"/>
    <n v="978"/>
    <s v="2015J LX"/>
    <m/>
    <d v="2021-08-18T00:00:00"/>
    <m/>
    <m/>
    <d v="2021-08-18T00:00:00"/>
    <d v="2022-08-17T00:00:00"/>
    <n v="3"/>
    <s v="Mr. Keyur Patel"/>
    <s v="General Manager"/>
    <n v="9879823475"/>
    <s v="GIDC"/>
    <s v="Plot No.3392 Road-E"/>
    <s v="Phase-3, Dared"/>
    <s v="Jamnagar"/>
    <s v="361004"/>
    <s v="GJ"/>
    <s v="India"/>
    <n v="5"/>
    <n v="4"/>
    <n v="0"/>
    <n v="1"/>
    <s v="Fri"/>
    <m/>
  </r>
  <r>
    <n v="855"/>
    <s v="Vscon Engg Pvt Ltd"/>
    <x v="763"/>
    <n v="981"/>
    <s v="2015J LX"/>
    <m/>
    <d v="2021-08-25T00:00:00"/>
    <m/>
    <m/>
    <d v="2021-08-25T00:00:00"/>
    <d v="2023-08-24T00:00:00"/>
    <n v="3"/>
    <s v="Mr. Vineet Sharma"/>
    <m/>
    <n v="7827271027"/>
    <s v="DSIIDC"/>
    <s v="Plot No.372 Pocket-E, Sector-5"/>
    <s v="Bawana Industrial Area"/>
    <s v="Delhi"/>
    <s v="110039"/>
    <s v="DL"/>
    <s v="India"/>
    <n v="1"/>
    <n v="1"/>
    <n v="3"/>
    <n v="1"/>
    <s v="Sun"/>
    <m/>
  </r>
  <r>
    <n v="856"/>
    <s v="Reckitt Benckiser India Pvt Ltd"/>
    <x v="764"/>
    <n v="982"/>
    <s v="2015J LX"/>
    <m/>
    <d v="2021-09-01T00:00:00"/>
    <m/>
    <m/>
    <d v="2021-09-01T00:00:00"/>
    <d v="2022-08-31T00:00:00"/>
    <n v="3"/>
    <s v="Mr. Bharti Chauhan"/>
    <m/>
    <m/>
    <s v="6th &amp; 7th Floor, "/>
    <s v="DLF Cyber Park-2 Tower-C"/>
    <s v="Sector-22, Udyog Vihar"/>
    <s v="Gurgaon"/>
    <s v="122008"/>
    <s v="HR"/>
    <s v="India"/>
    <n v="1"/>
    <n v="1"/>
    <n v="1"/>
    <n v="1"/>
    <s v="Sun"/>
    <m/>
  </r>
  <r>
    <n v="857"/>
    <s v="Shankar Moulding Pvt Ltd"/>
    <x v="765"/>
    <n v="923"/>
    <s v="4020J LX"/>
    <m/>
    <d v="2021-09-01T00:00:00"/>
    <m/>
    <m/>
    <d v="2025-08-22T00:00:00"/>
    <d v="2026-08-21T00:00:00"/>
    <n v="3"/>
    <s v="Mr. Neeraj Sharma"/>
    <s v="Leader Purchase"/>
    <n v="9999021677"/>
    <s v="North Delhi"/>
    <s v="#36-A Rajasthan Udyog Nagar"/>
    <m/>
    <s v="Delhi"/>
    <s v="110033"/>
    <s v="DL"/>
    <s v="India"/>
    <n v="1"/>
    <n v="1"/>
    <n v="6"/>
    <n v="2"/>
    <s v="Sun"/>
    <m/>
  </r>
  <r>
    <n v="858"/>
    <s v="Pavna Industries Ltd"/>
    <x v="766"/>
    <n v="922"/>
    <s v="4020J LX"/>
    <m/>
    <d v="2021-09-01T00:00:00"/>
    <m/>
    <m/>
    <d v="2024-01-17T00:00:00"/>
    <d v="2025-01-16T00:00:00"/>
    <n v="3"/>
    <s v="Mr. Binnami Sharma "/>
    <s v="Purchase Dept"/>
    <n v="8006409320"/>
    <s v="G.T. Road"/>
    <s v="9th Km Aligarh- Delhi Road"/>
    <m/>
    <s v="Aligarh"/>
    <s v="202001"/>
    <s v="UP"/>
    <s v="India"/>
    <n v="1"/>
    <n v="1"/>
    <n v="5"/>
    <n v="3"/>
    <s v="Sun"/>
    <m/>
  </r>
  <r>
    <n v="859"/>
    <s v="Vertex Auto Components"/>
    <x v="767"/>
    <n v="965"/>
    <s v="4030J LX"/>
    <m/>
    <d v="2021-09-04T00:00:00"/>
    <m/>
    <m/>
    <d v="2021-09-04T00:00:00"/>
    <d v="2024-09-03T00:00:00"/>
    <n v="3"/>
    <s v="Mr. Thirumal Balu Subburaj"/>
    <s v="Plant Operations"/>
    <n v="9840513023"/>
    <m/>
    <s v="Plot No. N-14 SIDCO Industrial Estate"/>
    <m/>
    <s v="Hosur"/>
    <s v="635126"/>
    <s v="TN"/>
    <s v="India"/>
    <n v="8"/>
    <n v="0"/>
    <n v="1"/>
    <n v="3"/>
    <s v="Sun"/>
    <m/>
  </r>
  <r>
    <n v="860"/>
    <s v="Accura Toolings"/>
    <x v="768"/>
    <n v="984"/>
    <s v="2015J LX"/>
    <m/>
    <d v="2021-09-06T00:00:00"/>
    <m/>
    <m/>
    <d v="2021-09-06T00:00:00"/>
    <d v="2022-09-05T00:00:00"/>
    <n v="3"/>
    <s v="Mr. Chandru / Mr. Anand"/>
    <m/>
    <s v="7899506489 / 9611383239"/>
    <s v="2nd Main, 2nd Stage"/>
    <s v="No. A-43 South Eastern Portion"/>
    <s v="Peenya Industrial Area"/>
    <s v="Bangalore"/>
    <s v="560058"/>
    <s v="KA"/>
    <s v="India"/>
    <n v="8"/>
    <n v="0"/>
    <n v="5"/>
    <n v="1"/>
    <s v="Sun"/>
    <m/>
  </r>
  <r>
    <n v="861"/>
    <s v="Pragathi Tools and Dies"/>
    <x v="769"/>
    <n v="986"/>
    <s v="2015J LX"/>
    <m/>
    <d v="2021-09-20T00:00:00"/>
    <m/>
    <m/>
    <d v="2021-09-20T00:00:00"/>
    <d v="2022-09-19T00:00:00"/>
    <n v="3"/>
    <s v="Mr. Vijayanad"/>
    <s v="Proprietor"/>
    <s v="9686794801 / 8951771944"/>
    <s v="Srigandhakavalu"/>
    <s v="#434/A/41 5th Cross, Hanumanthanagara"/>
    <s v="Sunkadakatte"/>
    <s v="Bangalore"/>
    <s v="560093"/>
    <s v="KA"/>
    <s v="India"/>
    <n v="8"/>
    <n v="0"/>
    <n v="4"/>
    <n v="1"/>
    <s v="Sun"/>
    <m/>
  </r>
  <r>
    <n v="862"/>
    <s v="Lamda Components Pvt Ltd"/>
    <x v="770"/>
    <n v="924"/>
    <s v="4020J LX"/>
    <m/>
    <d v="2021-09-21T00:00:00"/>
    <m/>
    <m/>
    <d v="2021-09-21T00:00:00"/>
    <d v="2022-09-20T00:00:00"/>
    <n v="3"/>
    <s v="Mr. Razak"/>
    <s v="Quality Head"/>
    <m/>
    <s v="Hosur Road,"/>
    <s v="Plot No.30 Veerasandra Industrial Area"/>
    <m/>
    <s v="Bangalore"/>
    <s v="560100"/>
    <s v="KA"/>
    <s v="India"/>
    <n v="8"/>
    <n v="0"/>
    <n v="1"/>
    <n v="2"/>
    <s v="Sun"/>
    <m/>
  </r>
  <r>
    <n v="863"/>
    <s v="Egearz Pvt Ltd"/>
    <x v="771"/>
    <n v="925"/>
    <s v="4020J LX"/>
    <m/>
    <d v="2021-09-22T00:00:00"/>
    <m/>
    <m/>
    <d v="2023-10-04T00:00:00"/>
    <d v="2024-10-03T00:00:00"/>
    <n v="3"/>
    <s v="Mr. Chetan Mane"/>
    <s v="Purchase Dept"/>
    <n v="7020265893"/>
    <s v="Village: Shindewadi, Shirwal"/>
    <s v="Plot No.3, Gat No.457/458 Global Industrial Park"/>
    <s v="Tal- Khandala"/>
    <s v="Satara"/>
    <s v="412801"/>
    <s v="MH"/>
    <s v="India"/>
    <n v="2"/>
    <n v="4"/>
    <n v="5"/>
    <n v="1"/>
    <s v="Thu"/>
    <m/>
  </r>
  <r>
    <n v="864"/>
    <s v="Gandhi Springs Pvt Ltd"/>
    <x v="772"/>
    <n v="989"/>
    <s v="2015J LX"/>
    <m/>
    <d v="2021-10-11T00:00:00"/>
    <m/>
    <m/>
    <d v="2021-10-11T00:00:00"/>
    <d v="2023-10-09T00:00:00"/>
    <n v="3"/>
    <s v="Mr. Sumit Agarwal"/>
    <m/>
    <n v="9810022642"/>
    <s v="IMT Manesar"/>
    <s v="Plot No.154-D Sector-7, Phase-II"/>
    <s v="Industrial Area"/>
    <s v="Gurgaon"/>
    <s v="122050"/>
    <s v="HR"/>
    <s v="India"/>
    <n v="1"/>
    <n v="1"/>
    <n v="1"/>
    <n v="1"/>
    <s v="Sun"/>
    <m/>
  </r>
  <r>
    <n v="865"/>
    <s v="Maxmould"/>
    <x v="773"/>
    <n v="985"/>
    <s v="2015J LX"/>
    <m/>
    <d v="2021-10-12T00:00:00"/>
    <m/>
    <m/>
    <d v="2021-10-12T00:00:00"/>
    <d v="2022-10-11T00:00:00"/>
    <n v="3"/>
    <s v="Mr. Mohit Rajput / Ms. Rajashree"/>
    <m/>
    <s v="7983029119 / 9833304615"/>
    <s v="Sativali Road"/>
    <s v="G20, Shailesh Industrial Estate Opp. Hyundai Showroom"/>
    <s v="Waliv Phata, Vasai (East) "/>
    <s v="Palghar"/>
    <s v="401208"/>
    <s v="MH"/>
    <s v="India"/>
    <n v="2"/>
    <n v="1"/>
    <n v="1"/>
    <n v="2"/>
    <s v="Sun"/>
    <m/>
  </r>
  <r>
    <n v="866"/>
    <s v="Radium Creation Ltd"/>
    <x v="774"/>
    <n v="991"/>
    <s v="2015J LX"/>
    <m/>
    <d v="2021-10-21T00:00:00"/>
    <m/>
    <m/>
    <d v="2021-10-21T00:00:00"/>
    <d v="2022-10-20T00:00:00"/>
    <n v="3"/>
    <m/>
    <m/>
    <m/>
    <s v="Village Tumb"/>
    <s v="Survey No.77 &amp; 169/1/3 Near Hindustan Pencil Factory"/>
    <s v="Taluk: Umeragaon"/>
    <s v="Valsad"/>
    <s v="396150"/>
    <s v="GJ"/>
    <s v="India"/>
    <n v="2"/>
    <n v="1"/>
    <n v="1"/>
    <n v="1"/>
    <s v="Sun"/>
    <m/>
  </r>
  <r>
    <n v="867"/>
    <s v="Microtech Polymers"/>
    <x v="775"/>
    <n v="966"/>
    <s v="4030J LX"/>
    <m/>
    <d v="2021-10-23T00:00:00"/>
    <m/>
    <m/>
    <d v="2021-10-25T00:00:00"/>
    <d v="2022-10-24T00:00:00"/>
    <n v="3"/>
    <s v="Mr. Senthil Kumar"/>
    <m/>
    <m/>
    <s v="Maraimalai Nagar"/>
    <s v="Plant-II No-29/3-4, Industrial Estate"/>
    <s v="Chengalpattu"/>
    <s v="Chennai"/>
    <n v="641004"/>
    <s v="TN"/>
    <s v="India"/>
    <n v="4"/>
    <n v="0"/>
    <n v="2"/>
    <n v="4"/>
    <s v="Sun"/>
    <m/>
  </r>
  <r>
    <n v="868"/>
    <s v="Umiya Pharma Tech"/>
    <x v="776"/>
    <n v="992"/>
    <s v="2015J LX"/>
    <m/>
    <d v="2021-11-10T00:00:00"/>
    <m/>
    <m/>
    <d v="2021-11-10T00:00:00"/>
    <d v="2022-11-09T00:00:00"/>
    <n v="3"/>
    <s v="Zankhana Patel"/>
    <m/>
    <n v="8200762516"/>
    <s v="Nr. Odhav Ring Road Circle"/>
    <s v="Shed No.10,11, Vishal 111 Industrial Estate B/h Grand Vishal Industrial Estate"/>
    <s v="Odhav"/>
    <s v="Ahmedabad"/>
    <s v="382415"/>
    <s v="GJ"/>
    <s v="India"/>
    <n v="5"/>
    <n v="0"/>
    <n v="1"/>
    <n v="1"/>
    <s v="Sun"/>
    <m/>
  </r>
  <r>
    <n v="869"/>
    <s v="A.G. Industries"/>
    <x v="777"/>
    <n v="990"/>
    <s v="2015J LX"/>
    <m/>
    <d v="2021-11-13T00:00:00"/>
    <m/>
    <m/>
    <d v="2021-11-13T00:00:00"/>
    <d v="2022-11-12T00:00:00"/>
    <n v="3"/>
    <s v="Mr. Gurudatt Chennagiri (M.S)"/>
    <s v="Partner"/>
    <n v="9886748330"/>
    <s v="Siddapura, Hosur Road"/>
    <s v="No.1 &amp; 2 1st Cross"/>
    <s v="Wilson Garden"/>
    <s v="Bangalore"/>
    <s v="560027"/>
    <s v="KA"/>
    <s v="India"/>
    <n v="8"/>
    <n v="0"/>
    <n v="3"/>
    <n v="1"/>
    <s v="Sun"/>
    <m/>
  </r>
  <r>
    <n v="870"/>
    <s v="Polycab India Ltd "/>
    <x v="778"/>
    <n v="995"/>
    <s v="2015J LX"/>
    <m/>
    <d v="2021-11-27T00:00:00"/>
    <m/>
    <m/>
    <d v="2021-11-27T00:00:00"/>
    <d v="2022-11-26T00:00:00"/>
    <n v="3"/>
    <s v="Mr. Vinit S Dabholkar"/>
    <s v="Purchase"/>
    <n v="9819961455"/>
    <s v="Daman Industrial Estate"/>
    <s v="Daman EWA 01-19A Plot No.35, 35A"/>
    <s v="Somanath Road, Nani Daman"/>
    <s v="Daman"/>
    <s v="396215"/>
    <s v="D&amp;D"/>
    <s v="India"/>
    <n v="2"/>
    <n v="1"/>
    <n v="1"/>
    <n v="1"/>
    <s v="Sun"/>
    <m/>
  </r>
  <r>
    <n v="871"/>
    <s v="Nexteer Automotive India Pvt Ltd"/>
    <x v="779"/>
    <n v="967"/>
    <s v="4030J LX"/>
    <m/>
    <d v="2021-11-27T00:00:00"/>
    <m/>
    <m/>
    <d v="2021-11-27T00:00:00"/>
    <d v="2022-11-26T00:00:00"/>
    <n v="3"/>
    <s v="Mr. Ravikumar Suryavanshi"/>
    <m/>
    <s v="99601 57113"/>
    <s v="Phase-1"/>
    <s v="Plot No.B-17/1 Chakan Industrial Area"/>
    <s v="Khed"/>
    <s v="Pune"/>
    <s v="410501"/>
    <s v="MH"/>
    <s v="India"/>
    <n v="2"/>
    <n v="4"/>
    <n v="2"/>
    <n v="1"/>
    <s v="Thu"/>
    <m/>
  </r>
  <r>
    <n v="872"/>
    <s v="Impact Tool Crafts Pvt Ltd"/>
    <x v="780"/>
    <n v="993"/>
    <s v="2015J LX"/>
    <m/>
    <d v="2021-12-03T00:00:00"/>
    <m/>
    <m/>
    <d v="2021-12-03T00:00:00"/>
    <d v="2022-12-02T00:00:00"/>
    <n v="3"/>
    <s v="Mr. Siddarudha Nidoni"/>
    <s v="Partner"/>
    <n v="8237628093"/>
    <s v="M.I.D.C"/>
    <s v="Works: 75A/2/1  General Block"/>
    <s v="Bhosari"/>
    <s v="Pune"/>
    <s v="411026"/>
    <s v="MH"/>
    <s v="India"/>
    <n v="2"/>
    <n v="4"/>
    <n v="1"/>
    <n v="1"/>
    <s v="Thu "/>
    <m/>
  </r>
  <r>
    <n v="873"/>
    <s v="C &amp; S Electric Ltd"/>
    <x v="682"/>
    <n v="998"/>
    <s v="2015J LX"/>
    <m/>
    <d v="2021-12-25T00:00:00"/>
    <m/>
    <m/>
    <d v="2023-12-18T00:00:00"/>
    <d v="2024-12-17T00:00:00"/>
    <n v="3"/>
    <m/>
    <m/>
    <m/>
    <s v="Integrated Industrial Estate (SIDCUL)"/>
    <s v="Plot No.1B Sector-8C"/>
    <s v="Ranipur"/>
    <s v="Haridwar"/>
    <s v="249403"/>
    <s v="UK"/>
    <s v="India"/>
    <n v="1"/>
    <n v="0"/>
    <n v="4"/>
    <n v="2"/>
    <s v="Sun"/>
    <m/>
  </r>
  <r>
    <n v="874"/>
    <s v="Luxor International Pvt Ltd"/>
    <x v="781"/>
    <n v="996"/>
    <s v="2015J LX"/>
    <m/>
    <d v="2021-12-29T00:00:00"/>
    <m/>
    <m/>
    <d v="2021-12-29T00:00:00"/>
    <d v="2024-12-28T00:00:00"/>
    <n v="3"/>
    <m/>
    <m/>
    <n v="9871390469"/>
    <s v="Gautam Budh Nagar"/>
    <s v="#C-42 Phase-II"/>
    <m/>
    <s v="Noida"/>
    <s v="201305"/>
    <s v="UP"/>
    <s v="India"/>
    <n v="1"/>
    <n v="1"/>
    <n v="5"/>
    <n v="1"/>
    <s v="Sun"/>
    <m/>
  </r>
  <r>
    <n v="875"/>
    <s v="PMI Global Technologies Pvt Ltd"/>
    <x v="782"/>
    <n v="997"/>
    <s v="2015J LX"/>
    <m/>
    <d v="2022-01-06T00:00:00"/>
    <m/>
    <m/>
    <d v="2022-01-06T00:00:00"/>
    <d v="2023-01-05T00:00:00"/>
    <n v="3"/>
    <s v="Mr. Sivakumar R"/>
    <s v="QC – Mgr &amp; Manag'nt Rep"/>
    <n v="7338746885"/>
    <s v="Madras Export Promotion Zone"/>
    <s v="Plot No.C 6/2 Phase-II, Zone-B"/>
    <s v="SEZ, Tambaram"/>
    <s v="Chennai"/>
    <s v="600045"/>
    <s v="TN"/>
    <s v="India"/>
    <n v="4"/>
    <n v="0"/>
    <n v="2"/>
    <n v="3"/>
    <s v="Sun"/>
    <m/>
  </r>
  <r>
    <n v="876"/>
    <s v="Shigan Quantum Technologies Pvt Ltd"/>
    <x v="634"/>
    <n v="928"/>
    <s v="4020J LX"/>
    <m/>
    <d v="2022-01-18T00:00:00"/>
    <m/>
    <m/>
    <d v="2022-01-18T00:00:00"/>
    <d v="2023-01-17T00:00:00"/>
    <n v="3"/>
    <s v="Mr. Amit Singh Rawat"/>
    <s v="QA"/>
    <n v="9599902752"/>
    <s v="Bhangrola Road"/>
    <s v="Shyam Udyog  Parisar Hall No.2"/>
    <s v="IMT Manesar"/>
    <s v="Gurgaon"/>
    <s v="122505"/>
    <s v="HR"/>
    <s v="India"/>
    <n v="1"/>
    <n v="1"/>
    <n v="1"/>
    <n v="1"/>
    <s v="Sun"/>
    <m/>
  </r>
  <r>
    <n v="877"/>
    <s v="Steelman Broaches Pvt Ltd"/>
    <x v="783"/>
    <n v="1001"/>
    <s v="2015J LX"/>
    <m/>
    <d v="2022-01-29T00:00:00"/>
    <m/>
    <m/>
    <d v="2022-01-29T00:00:00"/>
    <d v="2024-01-28T00:00:00"/>
    <n v="3"/>
    <s v="Mr. Amrinder Singh"/>
    <m/>
    <n v="9888369930"/>
    <s v="Dist: Sangrur"/>
    <s v="Patiala Sangrur Road Village: Channo"/>
    <m/>
    <s v="Sangrur"/>
    <s v="148026"/>
    <s v="PB"/>
    <s v="India"/>
    <n v="1"/>
    <n v="3"/>
    <n v="3"/>
    <n v="3"/>
    <s v="Sun"/>
    <m/>
  </r>
  <r>
    <n v="878"/>
    <s v="Brakes India Pvt Ltd"/>
    <x v="180"/>
    <n v="927"/>
    <s v="4020J LX"/>
    <m/>
    <d v="2022-02-01T00:00:00"/>
    <m/>
    <m/>
    <d v="2022-02-01T00:00:00"/>
    <d v="2023-01-31T00:00:00"/>
    <n v="3"/>
    <s v="Mr. S.Palani"/>
    <s v="Deputy Mgr- Maint"/>
    <s v="9445709371 / 82483 71604"/>
    <s v="MTH Road"/>
    <s v="Brakes Division Unit 28"/>
    <s v="Padi"/>
    <s v="Chennai"/>
    <s v="600050"/>
    <s v="TN"/>
    <s v="India"/>
    <n v="4"/>
    <n v="0"/>
    <n v="4"/>
    <n v="1"/>
    <s v="Sun"/>
    <m/>
  </r>
  <r>
    <n v="879"/>
    <s v="Niraj Engg "/>
    <x v="784"/>
    <n v="999"/>
    <s v="2015J LX"/>
    <m/>
    <d v="2022-02-09T00:00:00"/>
    <m/>
    <m/>
    <d v="2022-02-09T00:00:00"/>
    <d v="2023-02-08T00:00:00"/>
    <n v="3"/>
    <s v="Mr. Sunil Chabbi"/>
    <m/>
    <m/>
    <s v="Opp. Entramond Polymers"/>
    <s v="Plot No.35    Street No.13"/>
    <s v="MIDC Area, Satpur"/>
    <s v="Nashik"/>
    <s v="422007"/>
    <s v="MH"/>
    <s v="India"/>
    <n v="2"/>
    <n v="3"/>
    <n v="0"/>
    <n v="1"/>
    <s v="Sat "/>
    <m/>
  </r>
  <r>
    <n v="880"/>
    <s v="Oswin Industries"/>
    <x v="535"/>
    <n v="929"/>
    <s v="4020J LX"/>
    <m/>
    <d v="2022-02-16T00:00:00"/>
    <m/>
    <m/>
    <d v="2022-02-16T00:00:00"/>
    <d v="2024-02-15T00:00:00"/>
    <n v="3"/>
    <s v="Mr. Anubhav Arora "/>
    <m/>
    <n v="9872685267"/>
    <s v="Derabassi"/>
    <s v="H.B No.198 Khasra No.36"/>
    <s v="SAS Nagar"/>
    <s v="Mohali"/>
    <n v="140507"/>
    <s v="PB"/>
    <s v="India"/>
    <n v="1"/>
    <n v="3"/>
    <n v="3"/>
    <n v="4"/>
    <s v="Sun"/>
    <m/>
  </r>
  <r>
    <n v="881"/>
    <s v="EL-Chico Clutch Pvt Ltd"/>
    <x v="785"/>
    <n v="969"/>
    <s v="4030J LX"/>
    <m/>
    <d v="2022-02-21T00:00:00"/>
    <m/>
    <m/>
    <d v="2022-02-21T00:00:00"/>
    <d v="2024-02-20T00:00:00"/>
    <n v="3"/>
    <s v="Mr. Aravind Rakheja"/>
    <m/>
    <n v="9871992354"/>
    <m/>
    <s v="Plot No.252 Sector-24"/>
    <m/>
    <s v="Faridabad"/>
    <s v="121005"/>
    <s v="HR"/>
    <s v="India"/>
    <n v="1"/>
    <n v="1"/>
    <n v="6"/>
    <n v="1"/>
    <s v="Sun"/>
    <m/>
  </r>
  <r>
    <n v="882"/>
    <s v="G.N.Surgicals"/>
    <x v="786"/>
    <n v="1004"/>
    <s v="2015J LX"/>
    <m/>
    <d v="2022-03-04T00:00:00"/>
    <m/>
    <m/>
    <d v="2022-03-04T00:00:00"/>
    <d v="2023-03-02T00:00:00"/>
    <n v="3"/>
    <s v="Mr. B.R Deora"/>
    <m/>
    <n v="9549884777"/>
    <s v="Swadeshi Politax"/>
    <s v="Plot No.A-1/256 Sector-17"/>
    <s v="Kavi Nagar"/>
    <s v="Ghaziabad"/>
    <s v="201001"/>
    <s v="UP"/>
    <s v="India"/>
    <n v="1"/>
    <n v="1"/>
    <n v="4"/>
    <n v="1"/>
    <s v="Sun"/>
    <m/>
  </r>
  <r>
    <n v="883"/>
    <s v="Rapid Industries (Hydrobenz Industries Pvt Ltd)"/>
    <x v="787"/>
    <n v="968"/>
    <s v="4030-Z25J LX"/>
    <m/>
    <d v="2022-03-04T00:00:00"/>
    <m/>
    <m/>
    <d v="2022-03-04T00:00:00"/>
    <d v="2023-03-02T00:00:00"/>
    <n v="3"/>
    <s v="Mr. Ashish Kiyada "/>
    <s v="Managing Partner"/>
    <s v="95740 19301"/>
    <s v="GIDC, Lodhika Industrial Estate"/>
    <s v="Plot No.108/B Almight Gate-2"/>
    <s v="Kalawad Road, Vill: Matoda"/>
    <s v="Rajkot"/>
    <s v="360021"/>
    <s v="GJ"/>
    <s v="India"/>
    <n v="5"/>
    <n v="3"/>
    <n v="0"/>
    <n v="1"/>
    <s v="Wed"/>
    <m/>
  </r>
  <r>
    <n v="884"/>
    <s v="Shree Engineers"/>
    <x v="788"/>
    <n v="1003"/>
    <s v="2015J LX"/>
    <m/>
    <d v="2022-03-05T00:00:00"/>
    <m/>
    <m/>
    <d v="2022-03-05T00:00:00"/>
    <d v="2025-03-04T00:00:00"/>
    <n v="3"/>
    <s v="Mr. Srinivas Shirsat"/>
    <s v="Managing Partner"/>
    <n v="9822027255"/>
    <s v="Tal: Haveli, Near PARI"/>
    <s v="Sujay House Survey No.38/2, Narhe"/>
    <s v="Off, Dhayari Ambegaon Road"/>
    <s v="Pune"/>
    <s v="411041"/>
    <s v="MH"/>
    <s v="India"/>
    <n v="2"/>
    <n v="4"/>
    <n v="1"/>
    <n v="1"/>
    <s v="Thu "/>
    <m/>
  </r>
  <r>
    <n v="885"/>
    <s v="S R Enterprises"/>
    <x v="789"/>
    <n v="930"/>
    <s v="4020J LX"/>
    <m/>
    <d v="2022-03-21T00:00:00"/>
    <m/>
    <m/>
    <d v="2022-03-21T00:00:00"/>
    <d v="2023-03-20T00:00:00"/>
    <n v="3"/>
    <s v="Mr. M.S. Lohith"/>
    <m/>
    <n v="9620788023"/>
    <s v="Anagahalli Village,_x000a_Belagola Post"/>
    <s v="Survey #102/P2, Emerald Enclave Near Ram Mandir,_x000a_Behind Mysore Infosys"/>
    <s v="Srirangapatna Taluk"/>
    <s v="Mysore"/>
    <s v="571606"/>
    <s v="KA"/>
    <s v="India"/>
    <n v="8"/>
    <n v="0"/>
    <n v="3"/>
    <n v="3"/>
    <s v="Sun"/>
    <m/>
  </r>
  <r>
    <n v="886"/>
    <s v="Micro Tech"/>
    <x v="790"/>
    <n v="988"/>
    <s v="2015J LX"/>
    <m/>
    <d v="2022-03-22T00:00:00"/>
    <m/>
    <m/>
    <d v="2022-03-22T00:00:00"/>
    <d v="2023-03-21T00:00:00"/>
    <n v="3"/>
    <s v="Mr. Karthik"/>
    <m/>
    <n v="9944796108"/>
    <s v="Opp. Kumar Tower"/>
    <s v="#237-M LIC Colony"/>
    <s v="SIDCO  "/>
    <s v="Coimbatore"/>
    <s v="641021"/>
    <s v="TN"/>
    <s v="India"/>
    <n v="4"/>
    <n v="1"/>
    <n v="6"/>
    <n v="1"/>
    <s v="Sun"/>
    <m/>
  </r>
  <r>
    <n v="887"/>
    <s v="Grindstar Tools and Machinery (Shabari Impacts)"/>
    <x v="791"/>
    <s v="not_filled"/>
    <s v="2015J LX"/>
    <m/>
    <d v="2022-03-24T00:00:00"/>
    <m/>
    <m/>
    <d v="2023-03-24T00:00:00"/>
    <d v="2023-03-23T00:00:00"/>
    <n v="3"/>
    <s v="Mr. Abhilash"/>
    <m/>
    <n v="9900083477"/>
    <s v="3rd Stage"/>
    <s v="P-5/A-1, 1st Cross 10th Main Road"/>
    <s v="Peenya Industrial Area"/>
    <s v="Bangalore"/>
    <s v="560058"/>
    <s v="KA"/>
    <s v="India"/>
    <n v="8"/>
    <n v="0"/>
    <n v="5"/>
    <n v="1"/>
    <s v="Sun"/>
    <m/>
  </r>
  <r>
    <n v="888"/>
    <s v="Sujay Industries"/>
    <x v="792"/>
    <n v="1008"/>
    <s v="2015J LX"/>
    <m/>
    <d v="2022-03-28T00:00:00"/>
    <m/>
    <m/>
    <d v="2022-03-28T00:00:00"/>
    <d v="2023-03-27T00:00:00"/>
    <n v="3"/>
    <s v="Mr. Shivakumar"/>
    <m/>
    <n v="8722940086"/>
    <s v="Avverahalli Industrial Area"/>
    <s v="Plot No.8   Dobaspet 4th Phase"/>
    <m/>
    <s v="Bangalore"/>
    <s v="562111"/>
    <s v="KA"/>
    <s v="India"/>
    <n v="8"/>
    <n v="0"/>
    <n v="1"/>
    <n v="2"/>
    <s v="Sun"/>
    <m/>
  </r>
  <r>
    <n v="889"/>
    <s v="V.S.R. Private Limited"/>
    <x v="793"/>
    <n v="970"/>
    <s v="4030J LX"/>
    <m/>
    <d v="2022-03-31T00:00:00"/>
    <m/>
    <m/>
    <d v="2022-03-31T00:00:00"/>
    <d v="2023-03-30T00:00:00"/>
    <n v="3"/>
    <s v="Mr. Mathan"/>
    <m/>
    <n v="9600038668"/>
    <s v="K. Pudur"/>
    <s v="C4 Industrial Estate"/>
    <m/>
    <s v="Madurai"/>
    <s v="625007"/>
    <s v="KA"/>
    <s v="India"/>
    <n v="4"/>
    <n v="1"/>
    <n v="0"/>
    <n v="1"/>
    <s v="Sun"/>
    <m/>
  </r>
  <r>
    <n v="890"/>
    <s v="Motherson Techno Tools Limited"/>
    <x v="641"/>
    <n v="1009"/>
    <s v="2015-Z25J LX"/>
    <m/>
    <d v="2022-04-04T00:00:00"/>
    <m/>
    <m/>
    <d v="2022-04-04T00:00:00"/>
    <d v="2024-04-03T00:00:00"/>
    <n v="3"/>
    <s v="Ms. Deepshikha Kanwar"/>
    <s v="Purchase Executive"/>
    <n v="9311166029"/>
    <s v="Dist: Gautam Budh Nagar"/>
    <s v="Plot No.A2 Sector-84"/>
    <m/>
    <s v="Noida"/>
    <s v="201301"/>
    <s v="UP"/>
    <s v="India"/>
    <n v="1"/>
    <n v="1"/>
    <n v="5"/>
    <n v="1"/>
    <s v="Sun"/>
    <m/>
  </r>
  <r>
    <n v="891"/>
    <s v="Terminal Technologies (I) Pvt Ltd"/>
    <x v="718"/>
    <n v="1005"/>
    <s v="2015J LX"/>
    <m/>
    <d v="2022-04-13T00:00:00"/>
    <m/>
    <m/>
    <d v="2022-04-13T00:00:00"/>
    <d v="2024-04-12T00:00:00"/>
    <n v="3"/>
    <s v="Mr. Sadand Gharat"/>
    <m/>
    <n v="9545455067"/>
    <s v="Merchant Industrial Complex"/>
    <s v="Terminal House Building No.3"/>
    <s v="Valiv, Vasai (E)"/>
    <s v="Palghar"/>
    <s v="401208"/>
    <s v="MH"/>
    <s v="India"/>
    <n v="2"/>
    <n v="1"/>
    <n v="1"/>
    <n v="2"/>
    <s v="Sun"/>
    <m/>
  </r>
  <r>
    <n v="892"/>
    <s v="Terminal Technologies (I) Pvt Ltd"/>
    <x v="719"/>
    <n v="1006"/>
    <s v="2015J LX"/>
    <m/>
    <d v="2022-04-13T00:00:00"/>
    <m/>
    <m/>
    <d v="2022-04-13T00:00:00"/>
    <d v="2024-04-12T00:00:00"/>
    <n v="3"/>
    <s v="Mr. Prashanth Bhosale"/>
    <s v="Plant Head"/>
    <n v="9545455045"/>
    <s v="Nanekarwadi Industrial Area"/>
    <s v="Building No. 2,4 &amp; 5 Gat No. 312/2, 3 &amp; 6"/>
    <s v="Chakan"/>
    <s v="Pune"/>
    <s v="410501"/>
    <s v="MH"/>
    <s v="India"/>
    <n v="2"/>
    <n v="4"/>
    <n v="2"/>
    <n v="1"/>
    <s v="Thu"/>
    <m/>
  </r>
  <r>
    <n v="893"/>
    <s v="Terminal Technologies (I) Pvt Ltd"/>
    <x v="719"/>
    <n v="1007"/>
    <s v="2015J LX"/>
    <m/>
    <d v="2022-04-13T00:00:00"/>
    <m/>
    <m/>
    <d v="2022-04-13T00:00:00"/>
    <d v="2024-04-12T00:00:00"/>
    <n v="3"/>
    <s v="Mr. Prashanth Bhosale"/>
    <s v="Plant Head"/>
    <n v="9545455045"/>
    <s v="Nanekarwadi Industrial Area"/>
    <s v="Building No. 2,4 &amp; 5 Gat No. 312/2, 3 &amp; 6"/>
    <s v="Chakan"/>
    <s v="Pune"/>
    <s v="410501"/>
    <s v="MH"/>
    <s v="India"/>
    <n v="2"/>
    <n v="4"/>
    <n v="2"/>
    <n v="1"/>
    <s v="Thu"/>
    <m/>
  </r>
  <r>
    <n v="894"/>
    <s v="Hisar Steels Pvt Ltd"/>
    <x v="794"/>
    <n v="1010"/>
    <s v="2015J LX"/>
    <m/>
    <d v="2022-04-16T00:00:00"/>
    <m/>
    <m/>
    <d v="2022-04-16T00:00:00"/>
    <d v="2024-04-15T00:00:00"/>
    <n v="3"/>
    <s v="Mr. Aman Garg"/>
    <m/>
    <n v="9996477640"/>
    <s v="Village Raipur"/>
    <s v="Sector-19 Raipur Road"/>
    <m/>
    <s v="Hisar"/>
    <s v="125044"/>
    <s v="HR"/>
    <s v="India"/>
    <n v="0"/>
    <n v="0"/>
    <n v="0"/>
    <n v="0"/>
    <n v="0"/>
    <m/>
  </r>
  <r>
    <n v="895"/>
    <s v="Coindia Modern Tool Room"/>
    <x v="795"/>
    <n v="971"/>
    <s v="4030J LX"/>
    <m/>
    <d v="2022-04-22T00:00:00"/>
    <m/>
    <m/>
    <d v="2022-04-22T00:00:00"/>
    <d v="2023-04-22T00:00:00"/>
    <n v="3"/>
    <s v="Mr. Sathiyaraj. S"/>
    <s v="Manager - Tool Room"/>
    <n v="9944111479"/>
    <s v="E&amp;E Industrial Estate Campus"/>
    <s v="SF No.771/8-B-Part Kalapatti Village"/>
    <s v="Sitra, Civil Aerodrome (PO) "/>
    <s v="Coimbatore"/>
    <s v="641014"/>
    <s v="TN"/>
    <s v="India"/>
    <n v="4"/>
    <n v="1"/>
    <n v="6"/>
    <n v="1"/>
    <s v="Sun"/>
    <m/>
  </r>
  <r>
    <n v="896"/>
    <s v="Future Brake Components"/>
    <x v="796"/>
    <n v="1012"/>
    <s v="2015J LX"/>
    <m/>
    <d v="2022-04-22T00:00:00"/>
    <m/>
    <m/>
    <d v="2022-04-22T00:00:00"/>
    <d v="2023-04-22T00:00:00"/>
    <n v="3"/>
    <s v="Mr. Varun Sood"/>
    <s v="Business Unit Head"/>
    <n v="9599917664"/>
    <s v="Mundka Industrial Area"/>
    <s v="Khasra No.51/15 Swarn Park"/>
    <m/>
    <s v="New Delhi"/>
    <s v="110041"/>
    <s v="DL"/>
    <s v="India"/>
    <n v="1"/>
    <n v="1"/>
    <n v="6"/>
    <n v="2"/>
    <s v="Sun"/>
    <m/>
  </r>
  <r>
    <n v="897"/>
    <s v="Coptec"/>
    <x v="797"/>
    <n v="932"/>
    <s v="4020J LX"/>
    <m/>
    <d v="2022-05-02T00:00:00"/>
    <m/>
    <m/>
    <d v="2022-05-02T00:00:00"/>
    <d v="2023-05-01T00:00:00"/>
    <n v="3"/>
    <s v="Mr. Milan Moulick  "/>
    <s v="PPC"/>
    <n v="8237745815"/>
    <s v="Vadfalia"/>
    <s v="Shed No.4 Survey No. 709/1/1/1-B"/>
    <s v="Naroli"/>
    <s v="Silvassa"/>
    <s v="396230"/>
    <s v="D&amp;NH"/>
    <s v="India"/>
    <n v="2"/>
    <n v="1"/>
    <n v="1"/>
    <n v="1"/>
    <s v="Sun"/>
    <m/>
  </r>
  <r>
    <n v="898"/>
    <s v="Canbus Audio International"/>
    <x v="798"/>
    <n v="983"/>
    <s v="2015J LX"/>
    <m/>
    <d v="2022-05-02T00:00:00"/>
    <m/>
    <m/>
    <d v="2022-05-02T00:00:00"/>
    <d v="2024-05-01T00:00:00"/>
    <n v="3"/>
    <s v="Mr. Murli Jha"/>
    <m/>
    <n v="8882205720"/>
    <s v="Industrial Area"/>
    <s v="B-331 Mangola Puri"/>
    <s v="Phase-1"/>
    <s v="New Delhi"/>
    <s v="110083"/>
    <s v="DL"/>
    <s v="India"/>
    <n v="1"/>
    <n v="1"/>
    <n v="6"/>
    <n v="2"/>
    <s v="Sun"/>
    <m/>
  </r>
  <r>
    <n v="899"/>
    <s v="Indian Writing Instruments Pvt Ltd"/>
    <x v="799"/>
    <n v="1011"/>
    <s v="2015J LX"/>
    <m/>
    <d v="2022-05-18T00:00:00"/>
    <m/>
    <m/>
    <d v="2022-05-18T00:00:00"/>
    <d v="2023-05-17T00:00:00"/>
    <n v="3"/>
    <s v="Mr. Govind Jangid"/>
    <s v="QA Manager/MR"/>
    <n v="9421564232"/>
    <s v="Satpur"/>
    <s v="H-50, W-58A, W-60A, W-61A MIDC"/>
    <m/>
    <s v="Nashik"/>
    <s v="400021"/>
    <s v="MH"/>
    <s v="India"/>
    <n v="2"/>
    <n v="3"/>
    <n v="0"/>
    <n v="1"/>
    <s v="Sat "/>
    <m/>
  </r>
  <r>
    <n v="900"/>
    <s v="Dynamic Transmission Ltd"/>
    <x v="800"/>
    <n v="987"/>
    <s v="2015J LX"/>
    <m/>
    <d v="2022-06-04T00:00:00"/>
    <m/>
    <m/>
    <d v="2022-06-04T00:00:00"/>
    <d v="2024-06-03T00:00:00"/>
    <n v="3"/>
    <s v="Mr. Aman Narwal"/>
    <m/>
    <n v="9899186201"/>
    <s v="IMT Manesar"/>
    <s v="Plot No.265 Sector-6"/>
    <m/>
    <s v="Gurgaon"/>
    <n v="122010"/>
    <s v="HR"/>
    <s v="India"/>
    <n v="2"/>
    <n v="1"/>
    <n v="1"/>
    <n v="4"/>
    <s v="Sun"/>
    <m/>
  </r>
  <r>
    <n v="901"/>
    <s v="Toshiba Transmission &amp; Distribution Systems(I) Pvt Ltd"/>
    <x v="801"/>
    <n v="1013"/>
    <s v="2015J LX"/>
    <m/>
    <d v="2022-06-04T00:00:00"/>
    <m/>
    <m/>
    <d v="2022-06-04T00:00:00"/>
    <d v="2023-06-03T00:00:00"/>
    <n v="3"/>
    <s v="Mr. Jyothi Kumar Veladineni"/>
    <s v="Deputy Manager- Procurement"/>
    <n v="9100989410"/>
    <s v="Patancheru Mandal"/>
    <s v="Stores: Unit-4 Rudraram Village"/>
    <m/>
    <s v="Sangareddy"/>
    <n v="502329"/>
    <s v="TS"/>
    <s v="India"/>
    <n v="6"/>
    <n v="0"/>
    <n v="1"/>
    <n v="1"/>
    <s v="Sun"/>
    <m/>
  </r>
  <r>
    <n v="902"/>
    <s v="Innomech Aerospace Toolings Pvt Ltd"/>
    <x v="802"/>
    <n v="973"/>
    <s v="4030J LX"/>
    <m/>
    <d v="2022-06-08T00:00:00"/>
    <m/>
    <m/>
    <d v="2022-06-08T00:00:00"/>
    <d v="2023-06-07T00:00:00"/>
    <n v="3"/>
    <s v="Mr. Girish G"/>
    <m/>
    <n v="9880934159"/>
    <s v="Kavadadasanahalli, Channarayapattan Hobli"/>
    <s v="Plot No.3, Sy No.21-P SEZ Sector, Hitech Defence &amp; Aerospace Park"/>
    <s v="Devanahalli"/>
    <s v="Bangalore"/>
    <n v="562110"/>
    <s v="KA"/>
    <s v="India"/>
    <n v="8"/>
    <n v="0"/>
    <n v="7"/>
    <n v="1"/>
    <s v="Sun"/>
    <m/>
  </r>
  <r>
    <n v="903"/>
    <s v="Alpro Extrusion Private Limited (GRK Tech Centre-Gurgaon)"/>
    <x v="803"/>
    <n v="1016"/>
    <s v="2015J LX"/>
    <m/>
    <d v="2022-06-13T00:00:00"/>
    <m/>
    <m/>
    <d v="2022-06-13T00:00:00"/>
    <d v="2023-06-12T00:00:00"/>
    <n v="3"/>
    <s v="Mr. Rajesh Gadia/ Mr. Partho Naskar"/>
    <m/>
    <s v="9830176807 /8013100812"/>
    <s v="P.S.- Domjur"/>
    <s v="Village-Nimerhati P.O. - Makardah"/>
    <m/>
    <s v="Hawrah"/>
    <n v="711409"/>
    <s v="WB"/>
    <s v="India"/>
    <n v="8"/>
    <n v="0"/>
    <n v="0"/>
    <n v="5"/>
    <s v="Sun"/>
    <m/>
  </r>
  <r>
    <n v="904"/>
    <s v="Lakshmi Butt Welders"/>
    <x v="804"/>
    <n v="1017"/>
    <s v="2015J LX"/>
    <m/>
    <d v="2022-06-15T00:00:00"/>
    <m/>
    <m/>
    <d v="2022-06-15T00:00:00"/>
    <d v="2023-06-14T00:00:00"/>
    <n v="3"/>
    <s v="Mr. Ramesh"/>
    <m/>
    <n v="9345311530"/>
    <s v="Rayakotta Road"/>
    <s v="SF No.948 Near Luk India"/>
    <s v="Channathur Post"/>
    <s v="Hosur"/>
    <n v="635105"/>
    <s v="TN"/>
    <s v="India"/>
    <n v="8"/>
    <n v="0"/>
    <n v="1"/>
    <n v="3"/>
    <s v="Sun"/>
    <m/>
  </r>
  <r>
    <n v="905"/>
    <s v="NIFCO India Pvt Ltd"/>
    <x v="805"/>
    <n v="933"/>
    <s v="4020J LX"/>
    <m/>
    <d v="2022-06-15T00:00:00"/>
    <m/>
    <m/>
    <d v="2022-06-15T00:00:00"/>
    <d v="2023-06-14T00:00:00"/>
    <n v="3"/>
    <s v="Mr. Pradeep "/>
    <s v="Asst. Engineer- Purchase"/>
    <n v="9625792264"/>
    <s v="Industrial Estate"/>
    <s v="Plot No.PE 109 PE 110 &amp; PE 111"/>
    <s v="Sanand II, Sanand"/>
    <s v="Ahmedabad"/>
    <n v="382110"/>
    <s v="GJ"/>
    <s v="India"/>
    <n v="2"/>
    <n v="4"/>
    <n v="3"/>
    <n v="1"/>
    <s v="Thu"/>
    <m/>
  </r>
  <r>
    <n v="906"/>
    <s v="RB Metrology (Deusch Motocomp Pvt. Ltd)"/>
    <x v="806"/>
    <n v="1019"/>
    <s v="2015J LX"/>
    <m/>
    <d v="2022-06-27T00:00:00"/>
    <m/>
    <m/>
    <d v="2022-06-27T00:00:00"/>
    <d v="2024-06-26T00:00:00"/>
    <n v="3"/>
    <s v="Mr. Dinesh Ahuja"/>
    <m/>
    <n v="9212482031"/>
    <s v="New Nandwani Nagar"/>
    <s v="#8 Near Chandna Property Dealer"/>
    <m/>
    <s v="Sonipat"/>
    <n v="131001"/>
    <s v="HR"/>
    <s v="India"/>
    <n v="1"/>
    <n v="1"/>
    <n v="3"/>
    <n v="2"/>
    <s v="Sun"/>
    <m/>
  </r>
  <r>
    <n v="907"/>
    <s v="Turbo India"/>
    <x v="807"/>
    <n v="1014"/>
    <s v="2015J LX"/>
    <m/>
    <d v="2022-06-30T00:00:00"/>
    <m/>
    <m/>
    <d v="2022-06-30T00:00:00"/>
    <d v="2023-06-29T00:00:00"/>
    <n v="3"/>
    <s v="Ms. Pushpalatha.H"/>
    <s v="Executive-Purchase"/>
    <n v="6360162847"/>
    <s v="Kamakshipalya"/>
    <s v="#114 Pete Channappa Industrial area"/>
    <s v="Magadi Road"/>
    <s v="Bangalore"/>
    <n v="560079"/>
    <s v="KA"/>
    <s v="India"/>
    <n v="8"/>
    <n v="0"/>
    <n v="4"/>
    <n v="1"/>
    <s v="Sun"/>
    <m/>
  </r>
  <r>
    <n v="908"/>
    <s v="TVS Engg Ltd"/>
    <x v="808"/>
    <n v="934"/>
    <s v="4020J LX"/>
    <m/>
    <d v="2022-07-04T00:00:00"/>
    <m/>
    <m/>
    <d v="2022-07-04T00:00:00"/>
    <d v="2023-07-03T00:00:00"/>
    <n v="3"/>
    <s v="Mr. N Nagarajan /Mr. V. Dinesh Kumar"/>
    <s v="Central Supplier Interface/ Defence Quality"/>
    <s v="7358666106/ 9342991973"/>
    <m/>
    <s v="No.20 SIDCO Industrial Estate"/>
    <m/>
    <s v="Chennai"/>
    <n v="600098"/>
    <s v="TN"/>
    <s v="India"/>
    <n v="4"/>
    <n v="0"/>
    <n v="4"/>
    <n v="1"/>
    <s v="Sun"/>
    <m/>
  </r>
  <r>
    <n v="909"/>
    <s v="Excellent Hi Care Pvt Ltd"/>
    <x v="809"/>
    <n v="1015"/>
    <s v="2015J LX"/>
    <m/>
    <d v="2022-07-04T00:00:00"/>
    <m/>
    <m/>
    <d v="2022-07-04T00:00:00"/>
    <d v="2023-07-03T00:00:00"/>
    <n v="3"/>
    <s v="Mr. Yasar Arafath"/>
    <m/>
    <n v="9094789760"/>
    <s v="Pattanam Village"/>
    <s v="58/5A Indira Nagar Extension"/>
    <s v="Ural Post"/>
    <s v="Tindivanam"/>
    <n v="604001"/>
    <s v="TN"/>
    <s v="India"/>
    <n v="0"/>
    <n v="0"/>
    <n v="0"/>
    <n v="0"/>
    <n v="0"/>
    <m/>
  </r>
  <r>
    <n v="910"/>
    <s v="KTT Pharmatech"/>
    <x v="810"/>
    <n v="1020"/>
    <s v="2015J LX"/>
    <m/>
    <d v="2022-07-05T00:00:00"/>
    <m/>
    <m/>
    <d v="2022-07-05T00:00:00"/>
    <d v="2023-07-04T00:00:00"/>
    <n v="3"/>
    <s v="Mr. Anand Rai/ Mr. Kalpesh Panchal"/>
    <s v="Team Leader-Operns./ Head-Design &amp; Develn"/>
    <s v="7738356156/ 9307304232"/>
    <s v="Near Saibaba Mandir"/>
    <s v="Plot No.17, Manish Indl. Estate No.4 Opp. Tania Commercial Complex"/>
    <s v="Navghar Road, Vasai (East)"/>
    <s v="Palghar"/>
    <n v="401210"/>
    <s v="MH"/>
    <s v="India"/>
    <n v="2"/>
    <n v="1"/>
    <n v="1"/>
    <n v="2"/>
    <s v="Sun"/>
    <m/>
  </r>
  <r>
    <n v="911"/>
    <s v="Sandhar Automotives"/>
    <x v="811"/>
    <n v="972"/>
    <s v="4030J LX"/>
    <m/>
    <d v="2022-07-11T00:00:00"/>
    <m/>
    <m/>
    <d v="2022-07-11T00:00:00"/>
    <d v="2023-07-10T00:00:00"/>
    <n v="3"/>
    <s v="Mr. Raja Kumar"/>
    <s v="Procurement Division"/>
    <n v="9538001601"/>
    <s v="Bommasandra-Jigani Link Road, Taluk-Anekal"/>
    <s v="A Unit of Sandhar Technologies Ltd Plot No.8"/>
    <s v="KIADB Industrial Area"/>
    <s v="Bangalore"/>
    <n v="562106"/>
    <s v="KA"/>
    <s v="India"/>
    <n v="8"/>
    <n v="0"/>
    <n v="1"/>
    <n v="2"/>
    <s v="Sun"/>
    <m/>
  </r>
  <r>
    <n v="912"/>
    <s v="Medivation Bio Pvt ltd"/>
    <x v="812"/>
    <n v="936"/>
    <s v="4020J LX"/>
    <m/>
    <d v="2022-07-11T00:00:00"/>
    <m/>
    <m/>
    <d v="2022-07-11T00:00:00"/>
    <d v="2023-07-10T00:00:00"/>
    <n v="3"/>
    <s v="Mr. Harshit Panchal"/>
    <m/>
    <n v="7383407733"/>
    <s v="Phase-1"/>
    <s v="Plot No.E-127 B RIICO Industrial Area"/>
    <s v="RIICO Chowk"/>
    <s v="Bhiwadi"/>
    <n v="301019"/>
    <s v="RJ"/>
    <s v="India"/>
    <n v="1"/>
    <n v="1"/>
    <n v="1"/>
    <n v="4"/>
    <s v="Sun"/>
    <m/>
  </r>
  <r>
    <n v="913"/>
    <s v="Turbo India"/>
    <x v="807"/>
    <n v="1018"/>
    <s v="2015J LX"/>
    <m/>
    <d v="2022-07-14T00:00:00"/>
    <m/>
    <m/>
    <d v="2022-07-14T00:00:00"/>
    <d v="2023-07-13T00:00:00"/>
    <n v="3"/>
    <s v="Ms. Pushpalatha.H"/>
    <s v="Executive-Purchase"/>
    <n v="6360162847"/>
    <s v="Kamakshipalya"/>
    <s v="#114 Pete Channappa Industrial area"/>
    <s v="Magadi Road"/>
    <s v="Bangalore"/>
    <n v="560079"/>
    <s v="KA"/>
    <s v="India"/>
    <n v="8"/>
    <n v="0"/>
    <n v="4"/>
    <n v="1"/>
    <s v="Sun"/>
    <m/>
  </r>
  <r>
    <n v="914"/>
    <s v="Universal Precision Screws"/>
    <x v="813"/>
    <n v="1022"/>
    <s v="2015J LX"/>
    <m/>
    <d v="2022-07-21T00:00:00"/>
    <m/>
    <m/>
    <d v="2022-07-21T00:00:00"/>
    <d v="2023-07-20T00:00:00"/>
    <n v="3"/>
    <s v="Mr.Monia Uppal/ Mr. Vineet Raina    "/>
    <s v="Executive assistant "/>
    <s v="9729870601 /8814999226"/>
    <s v="Teshil Sampla"/>
    <s v="Khasra No. 103/2, 3/2, 8,9, 13/11 Village Kharawar"/>
    <m/>
    <s v="Rohtak"/>
    <n v="124001"/>
    <s v="HR"/>
    <s v="India"/>
    <n v="1"/>
    <n v="1"/>
    <n v="2"/>
    <n v="2"/>
    <s v="Sun"/>
    <m/>
  </r>
  <r>
    <n v="915"/>
    <s v="Universal Precision Screws"/>
    <x v="813"/>
    <n v="1023"/>
    <s v="2015J LX"/>
    <m/>
    <d v="2022-07-21T00:00:00"/>
    <m/>
    <m/>
    <d v="2022-07-21T00:00:00"/>
    <d v="2023-07-20T00:00:00"/>
    <n v="3"/>
    <s v="Mr.Monia Uppal/ Mr. Vineet Raina    "/>
    <s v="Executive assistant "/>
    <s v="9729870601 /8814999226"/>
    <s v="Teshil Sampla"/>
    <s v="Khasra No. 103/2, 3/2, 8,9, 13/11 Village Kharawar"/>
    <m/>
    <s v="Rohtak"/>
    <n v="124001"/>
    <s v="HR"/>
    <s v="India"/>
    <n v="1"/>
    <n v="1"/>
    <n v="2"/>
    <n v="2"/>
    <s v="Sun"/>
    <m/>
  </r>
  <r>
    <n v="916"/>
    <s v="Sandhar Components"/>
    <x v="814"/>
    <n v="974"/>
    <s v="4030J LX"/>
    <m/>
    <d v="2022-08-01T00:00:00"/>
    <m/>
    <m/>
    <d v="2022-08-01T00:00:00"/>
    <d v="2023-07-31T00:00:00"/>
    <n v="3"/>
    <s v="Mr. Raja Kumar"/>
    <s v="Procurement Division"/>
    <n v="9538001601"/>
    <s v="7-A, KIADB Industrial Area"/>
    <s v="Unit-I, Attibele A Unit of Sandhar Technologies Ltd"/>
    <s v="Attibele, Taluk-Anekal"/>
    <s v="Bangalore"/>
    <n v="562107"/>
    <s v="KA"/>
    <s v="India"/>
    <n v="8"/>
    <n v="0"/>
    <n v="1"/>
    <n v="2"/>
    <s v="Sun"/>
    <m/>
  </r>
  <r>
    <n v="917"/>
    <s v="Schneider Electric India Pvt. Ltd"/>
    <x v="815"/>
    <n v="937"/>
    <s v="4020J LX"/>
    <m/>
    <d v="2022-08-04T00:00:00"/>
    <m/>
    <m/>
    <d v="2022-08-04T00:00:00"/>
    <d v="2023-08-03T00:00:00"/>
    <n v="3"/>
    <s v="Mr. Nitin Kumar Gupta"/>
    <s v="Manager-Engineered Tooling Solutions"/>
    <n v="7567286586"/>
    <s v="Between Ajwa &amp; Waghodia Junction"/>
    <s v="ETS Vadodara Mfg Plant Block No.205 to 208, 240"/>
    <s v="Ankhol"/>
    <s v="Vadodara"/>
    <n v="390019"/>
    <s v="GJ"/>
    <s v="India"/>
    <n v="5"/>
    <n v="1"/>
    <n v="1"/>
    <n v="2"/>
    <s v="Sun"/>
    <m/>
  </r>
  <r>
    <n v="918"/>
    <s v="Bhansali Component &amp; Fasteners"/>
    <x v="816"/>
    <n v="938"/>
    <s v="4020J LX"/>
    <m/>
    <d v="2022-08-04T00:00:00"/>
    <m/>
    <m/>
    <d v="2022-08-04T00:00:00"/>
    <d v="2023-08-03T00:00:00"/>
    <n v="3"/>
    <s v="Mr. Mukhesh Bhansali"/>
    <s v="Director"/>
    <n v="9867854088"/>
    <s v="Sativali Road"/>
    <s v="Siddarth Industrial Complex No.4 Gala No.12"/>
    <s v="Opp. Nicholas Garage, Vasai (East)"/>
    <s v="Palghar"/>
    <n v="401208"/>
    <s v="MH"/>
    <s v="India"/>
    <n v="2"/>
    <n v="1"/>
    <n v="1"/>
    <n v="2"/>
    <s v="Sun"/>
    <m/>
  </r>
  <r>
    <n v="919"/>
    <s v="S.G.B Industries"/>
    <x v="817"/>
    <n v="1025"/>
    <s v="2015J LX"/>
    <m/>
    <d v="2022-08-08T00:00:00"/>
    <m/>
    <m/>
    <d v="2022-08-08T00:00:00"/>
    <d v="2023-08-07T00:00:00"/>
    <n v="3"/>
    <s v="Mr. Gururaj   "/>
    <s v="Proprietor"/>
    <n v="9739716619"/>
    <s v="Bommasandra Industrial Area"/>
    <s v="No.108, 3rd Cross Vidhyanagar"/>
    <s v="Taluk- Anekal"/>
    <s v="Bangalore"/>
    <n v="560099"/>
    <s v="KA"/>
    <s v="India"/>
    <n v="8"/>
    <n v="0"/>
    <n v="2"/>
    <n v="1"/>
    <s v="Sun"/>
    <m/>
  </r>
  <r>
    <n v="920"/>
    <s v="Vishwakarma Tech"/>
    <x v="818"/>
    <n v="1021"/>
    <s v="2015J LX"/>
    <m/>
    <d v="2022-08-10T00:00:00"/>
    <m/>
    <m/>
    <d v="2022-08-10T00:00:00"/>
    <d v="2023-08-09T00:00:00"/>
    <n v="3"/>
    <s v="Mr. Praveen Gopalakrishnan"/>
    <s v="Managing Partner"/>
    <n v="9482597452"/>
    <s v="Shivapura, Nelagadaranahalli"/>
    <s v="No.12 &amp; 13, Ground Floor 1st Main, 2nd Cross"/>
    <s v="Peenya Industrial Area"/>
    <s v="Bangalore"/>
    <n v="560058"/>
    <s v="KA"/>
    <s v="India"/>
    <n v="8"/>
    <n v="0"/>
    <n v="5"/>
    <n v="1"/>
    <s v="Sun"/>
    <m/>
  </r>
  <r>
    <n v="921"/>
    <s v="KL Export Pvt Ltd"/>
    <x v="819"/>
    <n v="1002"/>
    <s v="2015J LX"/>
    <m/>
    <d v="2022-08-17T00:00:00"/>
    <m/>
    <m/>
    <d v="2022-08-17T00:00:00"/>
    <d v="2023-08-16T00:00:00"/>
    <n v="3"/>
    <m/>
    <m/>
    <m/>
    <s v="IMT"/>
    <s v="Plot No.62 Sector-68"/>
    <m/>
    <s v="Faridabad"/>
    <s v="121004"/>
    <s v="HR"/>
    <s v="India"/>
    <n v="1"/>
    <n v="1"/>
    <n v="6"/>
    <n v="1"/>
    <s v="Sun"/>
    <m/>
  </r>
  <r>
    <n v="922"/>
    <s v="AFC Elastomers Technology Pvt Ltd"/>
    <x v="820"/>
    <n v="939"/>
    <s v="4020J LX"/>
    <m/>
    <d v="2022-08-17T00:00:00"/>
    <m/>
    <m/>
    <d v="2025-06-18T00:00:00"/>
    <d v="2027-06-17T00:00:00"/>
    <n v="3"/>
    <s v="Mr. Amrish Patel"/>
    <s v="Managing Director"/>
    <n v="9820230783"/>
    <s v="GIDC"/>
    <s v="Plot No.8 Savli Manjusar "/>
    <s v="Tal: Savli"/>
    <s v="Vadaodara"/>
    <s v="391775"/>
    <s v="GJ"/>
    <s v="India"/>
    <n v="5"/>
    <n v="1"/>
    <n v="1"/>
    <n v="2"/>
    <s v="Sun"/>
    <m/>
  </r>
  <r>
    <n v="923"/>
    <s v="Sri Vinayaka Industries"/>
    <x v="821"/>
    <n v="1024"/>
    <s v="2015J LX"/>
    <m/>
    <d v="2022-08-19T00:00:00"/>
    <m/>
    <m/>
    <d v="2022-08-19T00:00:00"/>
    <d v="2023-08-18T00:00:00"/>
    <n v="3"/>
    <s v="Mr. Murugan"/>
    <s v="Managing Director"/>
    <n v="9360312078"/>
    <s v="Govind Agraharam"/>
    <s v="SF No.43, 2N &amp; M Plot No.234 &amp; 235"/>
    <s v="SIPCOT"/>
    <s v="Hosur"/>
    <s v="635126"/>
    <s v="TN"/>
    <s v="India"/>
    <n v="8"/>
    <n v="0"/>
    <n v="1"/>
    <n v="3"/>
    <s v="Sun"/>
    <m/>
  </r>
  <r>
    <n v="924"/>
    <s v="Unitek Engineering (Garuda Aerotech)"/>
    <x v="822"/>
    <n v="940"/>
    <s v="4020J lX"/>
    <m/>
    <d v="2022-08-22T00:00:00"/>
    <m/>
    <m/>
    <d v="2025-08-20T00:00:00"/>
    <d v="2026-08-19T00:00:00"/>
    <n v="3"/>
    <s v="Mr. Akshay Nagabushan"/>
    <s v="Managing Director"/>
    <n v="7760047865"/>
    <s v="Dasanapura Hobli"/>
    <s v="#5/8 Byandahalli Village"/>
    <m/>
    <s v="Bangalore"/>
    <s v="562130"/>
    <s v="KA"/>
    <s v="India"/>
    <n v="8"/>
    <n v="0"/>
    <n v="5"/>
    <n v="1"/>
    <s v="Sun"/>
    <m/>
  </r>
  <r>
    <n v="925"/>
    <s v="Advanced Cutting Tools"/>
    <x v="823"/>
    <n v="916"/>
    <s v="2015J LX"/>
    <m/>
    <d v="2022-08-24T00:00:00"/>
    <m/>
    <m/>
    <d v="2022-08-24T00:00:00"/>
    <d v="2023-08-23T00:00:00"/>
    <n v="3"/>
    <s v="Mr. Govind   "/>
    <s v="Partner"/>
    <n v="9740841641"/>
    <s v="GP Nagar"/>
    <s v="Ground Floor, 23 2nd Phase, 3rd &quot;B&quot; Cross"/>
    <s v="Laggere"/>
    <s v="Bangalore"/>
    <s v="560058"/>
    <s v="KA"/>
    <s v="India"/>
    <n v="8"/>
    <n v="0"/>
    <n v="5"/>
    <n v="1"/>
    <s v="Sun"/>
    <m/>
  </r>
  <r>
    <n v="926"/>
    <s v="Leitz Tooling System India Pvt Ltd"/>
    <x v="824"/>
    <n v="975"/>
    <s v="4030-Z25"/>
    <m/>
    <d v="2022-08-29T00:00:00"/>
    <m/>
    <m/>
    <d v="2022-08-29T00:00:00"/>
    <d v="2023-08-28T00:00:00"/>
    <n v="3"/>
    <s v="Mr. R. Vasudeva Murthy"/>
    <s v="Dy. GM, Operations"/>
    <n v="9148434699"/>
    <s v="IV Phase"/>
    <s v="486C 14th Cross"/>
    <s v="Peenya Industrial Area"/>
    <s v="Bangalore"/>
    <s v="560058"/>
    <s v="KA"/>
    <s v="India"/>
    <n v="8"/>
    <n v="0"/>
    <n v="5"/>
    <n v="1"/>
    <s v="Sun"/>
    <m/>
  </r>
  <r>
    <n v="927"/>
    <s v="Toolcom Innovative Solutions Pvt Ltd"/>
    <x v="825"/>
    <n v="941"/>
    <s v="4020J LX"/>
    <m/>
    <d v="2022-09-05T00:00:00"/>
    <m/>
    <m/>
    <d v="2022-09-05T00:00:00"/>
    <d v="2023-09-04T00:00:00"/>
    <n v="3"/>
    <s v="Mr. Nandhakumar.L"/>
    <m/>
    <n v="9789365535"/>
    <s v="Kuppepalyam"/>
    <s v="930, SF No.222/2B, 222/3B Sri Subha Ganesh Industrial Estate"/>
    <s v="Annur Taluk"/>
    <s v="Coimbatore"/>
    <s v="641107"/>
    <s v="TN"/>
    <s v="India"/>
    <n v="4"/>
    <n v="1"/>
    <n v="6"/>
    <n v="2"/>
    <s v="Sun"/>
    <m/>
  </r>
  <r>
    <n v="928"/>
    <s v="JJG Machining Pvt Ltd"/>
    <x v="419"/>
    <n v="942"/>
    <s v="4020J LX"/>
    <m/>
    <d v="2022-09-09T00:00:00"/>
    <m/>
    <m/>
    <d v="2023-09-07T00:00:00"/>
    <d v="2024-09-06T00:00:00"/>
    <n v="3"/>
    <s v="Mr. Vinayak"/>
    <s v="Plant Head"/>
    <m/>
    <s v="Bommasandra Industrial Area"/>
    <s v="107 4th Phase"/>
    <m/>
    <s v="Bangalore"/>
    <s v="560105"/>
    <s v="KA"/>
    <s v="India"/>
    <n v="8"/>
    <n v="0"/>
    <n v="1"/>
    <n v="2"/>
    <s v="Sun"/>
    <m/>
  </r>
  <r>
    <n v="929"/>
    <s v="Timex Group Precision Engg Ltd"/>
    <x v="826"/>
    <n v="943"/>
    <s v="4020J LX"/>
    <m/>
    <d v="2022-09-19T00:00:00"/>
    <m/>
    <m/>
    <d v="2022-09-19T00:00:00"/>
    <d v="2024-09-18T00:00:00"/>
    <n v="3"/>
    <s v="Mr. Debasish Mitra "/>
    <m/>
    <n v="9818237638"/>
    <m/>
    <s v="A 27 Sector-68"/>
    <m/>
    <s v="Noida"/>
    <s v="201307"/>
    <s v="UP"/>
    <s v="India"/>
    <n v="1"/>
    <n v="1"/>
    <n v="5"/>
    <n v="1"/>
    <s v="Sun"/>
    <m/>
  </r>
  <r>
    <n v="930"/>
    <s v="Neha Engg Tools"/>
    <x v="827"/>
    <n v="1026"/>
    <s v="2015J LX"/>
    <m/>
    <d v="2022-09-19T00:00:00"/>
    <m/>
    <m/>
    <d v="2022-09-19T00:00:00"/>
    <d v="2024-09-18T00:00:00"/>
    <n v="3"/>
    <s v="Mr. Pardeep Dhiman"/>
    <m/>
    <n v="9815065680"/>
    <s v="Phase-II"/>
    <s v="Plot No.531 Industrial Area"/>
    <m/>
    <s v="Chandigarh"/>
    <s v="160002"/>
    <s v="CH"/>
    <s v="India"/>
    <n v="1"/>
    <n v="3"/>
    <n v="3"/>
    <n v="4"/>
    <s v="Sun"/>
    <m/>
  </r>
  <r>
    <n v="931"/>
    <s v="AGS Visions Pvt Ltd"/>
    <x v="828"/>
    <n v="1027"/>
    <s v="2015J LX"/>
    <m/>
    <d v="2022-09-19T00:00:00"/>
    <m/>
    <m/>
    <d v="2022-09-19T00:00:00"/>
    <d v="2023-09-18T00:00:00"/>
    <n v="3"/>
    <s v="Mr. Karam Chand"/>
    <m/>
    <n v="9988950292"/>
    <s v="16/1, Tehsil- Derra Bassi, Mauja"/>
    <s v="Khewat No.36/33 Khatoni No.11/21, 11/22, 11/23"/>
    <s v="Kurnwala"/>
    <s v="SAS Nagara"/>
    <s v="140507"/>
    <s v="PB"/>
    <s v="India"/>
    <n v="1"/>
    <n v="3"/>
    <n v="3"/>
    <n v="4"/>
    <s v="Sun"/>
    <m/>
  </r>
  <r>
    <n v="932"/>
    <s v="JHY Techserve Pvt Ltd"/>
    <x v="829"/>
    <n v="1032"/>
    <s v="4030J LX"/>
    <m/>
    <d v="2022-09-26T00:00:00"/>
    <m/>
    <m/>
    <d v="2025-12-05T00:00:00"/>
    <d v="2026-12-04T00:00:00"/>
    <n v="3"/>
    <s v="Mr. Vishweshwara Prasad"/>
    <s v="Plant Head"/>
    <n v="9741783940"/>
    <s v="Madivala Village"/>
    <s v="Khata No.13 Survey No.38/2A/2B &amp; 42"/>
    <s v="Kasaba Hobli, Malur Taluk"/>
    <s v="Kolar"/>
    <s v="563130"/>
    <s v="KA"/>
    <s v="India"/>
    <n v="8"/>
    <n v="0"/>
    <n v="8"/>
    <n v="2"/>
    <s v="Sun"/>
    <m/>
  </r>
  <r>
    <n v="933"/>
    <s v="Gleason Works (India) Pvt Ltd"/>
    <x v="830"/>
    <n v="952"/>
    <s v="2015J HT"/>
    <m/>
    <d v="2022-10-07T00:00:00"/>
    <m/>
    <m/>
    <d v="2022-10-07T00:00:00"/>
    <d v="2023-10-06T00:00:00"/>
    <n v="3"/>
    <s v="Mr. S.Thiyagu"/>
    <s v="Design Engineer"/>
    <n v="6364889278"/>
    <s v="Bhattaramarenahalli"/>
    <s v="Plot No.710A KIADB Aerospace Park, PO Budigere"/>
    <s v="Devanahalli Taluk"/>
    <s v="Bangalore"/>
    <s v="562129"/>
    <s v="KA"/>
    <s v="India"/>
    <n v="8"/>
    <n v="0"/>
    <n v="7"/>
    <n v="1"/>
    <s v="Sun"/>
    <m/>
  </r>
  <r>
    <n v="934"/>
    <s v="Patco Precision Components P Ltd"/>
    <x v="85"/>
    <n v="931"/>
    <s v="4020J LX"/>
    <m/>
    <d v="2022-10-15T00:00:00"/>
    <m/>
    <m/>
    <d v="2022-10-15T00:00:00"/>
    <d v="2025-10-14T00:00:00"/>
    <n v="3"/>
    <s v="Mr. R D Patil"/>
    <s v="Managing Director"/>
    <n v="9850682583"/>
    <s v="Ambad"/>
    <s v="S-26 &amp; S-26/1 MIDC"/>
    <m/>
    <s v="Nashik"/>
    <n v="422010"/>
    <s v="MH"/>
    <s v="India"/>
    <n v="2"/>
    <n v="3"/>
    <n v="0"/>
    <n v="1"/>
    <s v="Sat "/>
    <m/>
  </r>
  <r>
    <n v="935"/>
    <s v="Integral Cable and Interconnect LLP"/>
    <x v="831"/>
    <n v="1028"/>
    <s v="2015J LX"/>
    <m/>
    <d v="2022-10-18T00:00:00"/>
    <m/>
    <m/>
    <d v="2022-10-18T00:00:00"/>
    <d v="2023-10-19T00:00:00"/>
    <n v="3"/>
    <s v="Mr. Ajit Kshirasagar"/>
    <m/>
    <n v="8793007075"/>
    <s v="Narhe"/>
    <s v="SN. 13/2/2/28 Orchid Plaza"/>
    <m/>
    <s v="Pune"/>
    <n v="411041"/>
    <s v="MH"/>
    <s v="India"/>
    <n v="4"/>
    <n v="0"/>
    <n v="3"/>
    <n v="4"/>
    <s v="Sun"/>
    <m/>
  </r>
  <r>
    <n v="936"/>
    <s v="TGT Tech Private Limited"/>
    <x v="708"/>
    <s v="DC005"/>
    <m/>
    <m/>
    <d v="2022-10-19T00:00:00"/>
    <m/>
    <m/>
    <d v="2022-10-19T00:00:00"/>
    <d v="2023-10-18T00:00:00"/>
    <n v="3"/>
    <s v="Mr. Santhosh Prabhu"/>
    <s v="Managing Director"/>
    <n v="9886126239"/>
    <s v="12th Cross, 4th Phase"/>
    <s v="Plot No.467, 469  Site No.1/C"/>
    <s v="Peenya Industrial Area"/>
    <s v="Bangalore"/>
    <n v="560058"/>
    <s v="KA"/>
    <s v="India"/>
    <n v="8"/>
    <n v="0"/>
    <n v="5"/>
    <n v="1"/>
    <s v="Sun"/>
    <m/>
  </r>
  <r>
    <n v="937"/>
    <s v="J J Glastronics Pvt. Ltd"/>
    <x v="832"/>
    <n v="944"/>
    <s v="4020J lX"/>
    <m/>
    <d v="2022-10-20T00:00:00"/>
    <m/>
    <m/>
    <d v="2022-10-20T00:00:00"/>
    <d v="2023-10-19T00:00:00"/>
    <n v="3"/>
    <s v="Mr. Prakash"/>
    <s v="Purchase Dept"/>
    <n v="9880735123"/>
    <s v="18th KM"/>
    <s v="Plot No.25A Electronics City"/>
    <s v="Hosur Road "/>
    <s v="Bangalore"/>
    <n v="560100"/>
    <s v="KA"/>
    <s v="India"/>
    <n v="8"/>
    <n v="0"/>
    <n v="1"/>
    <n v="1"/>
    <s v="Sun"/>
    <m/>
  </r>
  <r>
    <n v="938"/>
    <s v="Prabha Engg Pvt Ltd"/>
    <x v="833"/>
    <n v="946"/>
    <s v="4020J LX"/>
    <m/>
    <d v="2022-10-26T00:00:00"/>
    <m/>
    <m/>
    <d v="2022-10-26T00:00:00"/>
    <d v="2023-10-25T00:00:00"/>
    <n v="3"/>
    <s v="Ms. Nisha"/>
    <s v="QC Dept"/>
    <n v="7094385165"/>
    <s v="Panruti Post"/>
    <s v="Survey No.274/2 Mettupalyam Main Road"/>
    <s v="Sriperumbudur "/>
    <s v="Kancheepuram"/>
    <n v="631604"/>
    <s v="TN"/>
    <s v="India"/>
    <n v="4"/>
    <n v="0"/>
    <n v="3"/>
    <n v="1"/>
    <s v="Sun"/>
    <m/>
  </r>
  <r>
    <n v="939"/>
    <s v="Foreaxis Technology "/>
    <x v="834"/>
    <n v="945"/>
    <s v="4020J LX "/>
    <m/>
    <d v="2022-10-28T00:00:00"/>
    <m/>
    <m/>
    <d v="2024-01-05T00:00:00"/>
    <d v="2025-01-04T00:00:00"/>
    <n v="3"/>
    <m/>
    <m/>
    <m/>
    <s v="Bommasandra Imdustrial Area, "/>
    <s v="342/1326/110,Naidu Layout Vikash Nagar 3rd Cross, Yarandahalli,"/>
    <m/>
    <s v="Bangalore"/>
    <n v="560099"/>
    <s v="KA"/>
    <s v="India"/>
    <n v="8"/>
    <n v="0"/>
    <n v="2"/>
    <n v="1"/>
    <s v="Sun"/>
    <m/>
  </r>
  <r>
    <n v="940"/>
    <s v="Karthik Auto Components"/>
    <x v="835"/>
    <n v="1029"/>
    <s v="2015 J LX"/>
    <m/>
    <d v="2022-11-03T00:00:00"/>
    <m/>
    <m/>
    <d v="2022-11-03T00:00:00"/>
    <d v="2023-11-02T00:00:00"/>
    <n v="3"/>
    <m/>
    <m/>
    <m/>
    <s v="Bagepalli Village, "/>
    <s v="SF.No:66/1 lakshmipathi Thottam"/>
    <s v="Bagepalli Post "/>
    <s v="Hosur"/>
    <n v="635126"/>
    <s v="TN"/>
    <s v="India"/>
    <n v="8"/>
    <n v="0"/>
    <n v="1"/>
    <n v="3"/>
    <s v="Sun"/>
    <m/>
  </r>
  <r>
    <n v="941"/>
    <s v="Nasmyth Asia "/>
    <x v="836"/>
    <n v="947"/>
    <s v="4020J LX"/>
    <m/>
    <d v="2022-11-07T00:00:00"/>
    <m/>
    <m/>
    <d v="2023-10-27T00:00:00"/>
    <d v="2024-10-26T00:00:00"/>
    <n v="3"/>
    <m/>
    <m/>
    <m/>
    <s v="Peenya Industrial Area"/>
    <s v="Plot No.18/A. 2nd Phase 1st main road "/>
    <m/>
    <s v="Bangalore"/>
    <n v="560058"/>
    <s v="KA"/>
    <s v="India"/>
    <n v="8"/>
    <n v="0"/>
    <n v="5"/>
    <n v="1"/>
    <s v="Sun"/>
    <m/>
  </r>
  <r>
    <n v="942"/>
    <s v="Efficient Plastech Pvt Ltd (Efficient Engg)"/>
    <x v="837"/>
    <n v="1031"/>
    <s v="2015J LX"/>
    <m/>
    <d v="2022-11-18T00:00:00"/>
    <m/>
    <m/>
    <d v="2022-11-18T00:00:00"/>
    <d v="2023-11-17T00:00:00"/>
    <n v="3"/>
    <m/>
    <m/>
    <m/>
    <s v="Chandansar,Virar East"/>
    <s v="Plot No.49,HDIL Industrial park Virar Ahmedabad Highway Road "/>
    <m/>
    <s v="Palghar"/>
    <n v="401305"/>
    <s v="MH"/>
    <s v="India"/>
    <n v="2"/>
    <n v="1"/>
    <n v="1"/>
    <n v="2"/>
    <s v="Sun"/>
    <m/>
  </r>
  <r>
    <n v="943"/>
    <s v="Schneider Electric"/>
    <x v="838"/>
    <n v="1030"/>
    <s v="2015J LX"/>
    <m/>
    <d v="2022-11-18T00:00:00"/>
    <m/>
    <m/>
    <d v="2022-11-18T00:00:00"/>
    <d v="2024-11-17T00:00:00"/>
    <n v="3"/>
    <m/>
    <m/>
    <m/>
    <s v="Process MIDC Area,"/>
    <s v="ESP Ahmednagar Mfg Plant A9,A10,ESE ESP Mfg"/>
    <s v="Nagapur"/>
    <s v="Ahmednagar"/>
    <n v="414111"/>
    <s v="MH"/>
    <s v="India"/>
    <n v="2"/>
    <n v="4"/>
    <n v="3"/>
    <n v="1"/>
    <s v="Thu"/>
    <m/>
  </r>
  <r>
    <n v="944"/>
    <s v="MSK CNC Technology"/>
    <x v="839"/>
    <n v="948"/>
    <s v="4020J LX"/>
    <m/>
    <d v="2022-11-29T00:00:00"/>
    <m/>
    <m/>
    <d v="2022-11-29T00:00:00"/>
    <d v="2023-11-28T00:00:00"/>
    <n v="3"/>
    <m/>
    <m/>
    <m/>
    <s v="MTC Back Side, Near Lee Springs"/>
    <s v="Sy No 50/5 Thimma Reddy Industrial Estate"/>
    <s v="Bommasandra "/>
    <s v="Bangalore"/>
    <n v="560099"/>
    <s v="KA"/>
    <s v="India"/>
    <n v="8"/>
    <n v="0"/>
    <n v="1"/>
    <n v="2"/>
    <s v="Sun"/>
    <m/>
  </r>
  <r>
    <n v="945"/>
    <s v="Rams Engg Industries"/>
    <x v="107"/>
    <n v="1044"/>
    <s v="2015J LX"/>
    <m/>
    <d v="2022-12-15T00:00:00"/>
    <m/>
    <m/>
    <d v="2022-12-15T00:00:00"/>
    <d v="2023-12-14T00:00:00"/>
    <n v="3"/>
    <m/>
    <m/>
    <m/>
    <s v="Ambattur"/>
    <s v="Plot No.25A/5, SIDCO Industrial Estate"/>
    <m/>
    <s v="Chennai"/>
    <n v="600098"/>
    <s v="TN"/>
    <s v="India"/>
    <n v="4"/>
    <n v="0"/>
    <n v="4"/>
    <n v="1"/>
    <s v="Sun"/>
    <m/>
  </r>
  <r>
    <n v="946"/>
    <s v="MARS Electronics "/>
    <x v="840"/>
    <n v="373"/>
    <s v="2015J LX"/>
    <m/>
    <d v="2022-12-20T00:00:00"/>
    <m/>
    <m/>
    <d v="2022-12-20T00:00:00"/>
    <d v="2023-12-19T00:00:00"/>
    <n v="3"/>
    <m/>
    <m/>
    <m/>
    <s v="Doddalkallasandra,"/>
    <s v="No.33,34 &amp;35 Sree Annapurneshwari Industrial Estate"/>
    <s v="Kanakapura Road"/>
    <s v="Bangalore"/>
    <n v="560062"/>
    <s v="KA"/>
    <s v="India"/>
    <n v="8"/>
    <n v="0"/>
    <n v="2"/>
    <n v="2"/>
    <s v="Sun"/>
    <m/>
  </r>
  <r>
    <n v="947"/>
    <s v="Voltkon Industries "/>
    <x v="841"/>
    <n v="1045"/>
    <s v="2015J LX"/>
    <m/>
    <d v="2022-12-27T00:00:00"/>
    <m/>
    <m/>
    <d v="2024-01-22T00:00:00"/>
    <d v="2025-01-21T00:00:00"/>
    <n v="3"/>
    <m/>
    <m/>
    <m/>
    <s v="Machohalli Forest Gate "/>
    <s v="No.118/5-9, 1st Floor industrial Shed Mookambika Temple road "/>
    <s v="Magadi main Road"/>
    <s v="Bnagalore"/>
    <n v="560091"/>
    <s v="KA"/>
    <s v="India"/>
    <n v="8"/>
    <n v="0"/>
    <n v="4"/>
    <n v="1"/>
    <s v="Sun"/>
    <m/>
  </r>
  <r>
    <n v="948"/>
    <s v="Mogli labs India Pvt Ltd "/>
    <x v="842"/>
    <n v="1041"/>
    <s v="5030J LX"/>
    <m/>
    <d v="2023-01-09T00:00:00"/>
    <m/>
    <m/>
    <d v="2023-01-09T00:00:00"/>
    <d v="2024-01-08T00:00:00"/>
    <n v="3"/>
    <m/>
    <m/>
    <m/>
    <s v="Ranjanagaon"/>
    <s v="B/20,MIDC, Shirur-Satara Road"/>
    <m/>
    <s v="Pune"/>
    <n v="412220"/>
    <s v="MH"/>
    <s v="India"/>
    <n v="2"/>
    <n v="4"/>
    <n v="5"/>
    <n v="1"/>
    <s v="Thu"/>
    <m/>
  </r>
  <r>
    <n v="949"/>
    <s v="Besmak Components Pvt Ltd"/>
    <x v="843"/>
    <n v="1046"/>
    <s v="2015J LX"/>
    <m/>
    <d v="2023-01-10T00:00:00"/>
    <m/>
    <m/>
    <d v="2023-01-10T00:00:00"/>
    <d v="2024-01-09T00:00:00"/>
    <n v="3"/>
    <m/>
    <m/>
    <m/>
    <s v="Organdam,Sriperumbudur TK."/>
    <s v="Factory No A45, SIPCOT Industrial Growth Centre "/>
    <s v="Kancheepuram district"/>
    <s v="Chennai"/>
    <n v="602105"/>
    <s v="TN"/>
    <s v="India"/>
    <n v="4"/>
    <n v="0"/>
    <n v="3"/>
    <n v="1"/>
    <s v="Sun"/>
    <m/>
  </r>
  <r>
    <n v="950"/>
    <s v="Ankita Crafts"/>
    <x v="844"/>
    <n v="951"/>
    <s v="4020J LX"/>
    <m/>
    <d v="2023-01-10T00:00:00"/>
    <m/>
    <m/>
    <d v="2023-01-10T00:00:00"/>
    <d v="2024-01-09T00:00:00"/>
    <n v="3"/>
    <m/>
    <m/>
    <m/>
    <s v="Nallampalayam"/>
    <s v="No.11  Annaiappa Street "/>
    <m/>
    <s v="Coimbatore"/>
    <n v="641006"/>
    <s v="TN"/>
    <s v="India"/>
    <n v="4"/>
    <n v="1"/>
    <n v="6"/>
    <n v="1"/>
    <s v="Sun"/>
    <m/>
  </r>
  <r>
    <n v="951"/>
    <s v="Yoncorp Innovation Pvt Ltd (Tecnicraft Industries)"/>
    <x v="845"/>
    <n v="949"/>
    <s v="4020J LX"/>
    <m/>
    <d v="2023-01-14T00:00:00"/>
    <m/>
    <m/>
    <d v="2023-01-14T00:00:00"/>
    <d v="2024-01-13T00:00:00"/>
    <n v="3"/>
    <s v="Mr. Udayakumar"/>
    <s v="Director"/>
    <n v="9036077421"/>
    <s v="Mahadevapura P.O."/>
    <s v="# C20 - GF NGEF Ancillary Industrial Estate"/>
    <m/>
    <s v="Bangalore"/>
    <s v="560 048"/>
    <s v="KA"/>
    <s v="India"/>
    <n v="8"/>
    <n v="0"/>
    <n v="8"/>
    <n v="1"/>
    <s v="Sun"/>
    <m/>
  </r>
  <r>
    <n v="952"/>
    <s v="Sandhar Whetron Electronics Pvt Ltd "/>
    <x v="846"/>
    <n v="1033"/>
    <s v="4030J LX"/>
    <m/>
    <d v="2023-01-14T00:00:00"/>
    <m/>
    <m/>
    <d v="2023-01-14T00:00:00"/>
    <d v="2024-01-13T00:00:00"/>
    <n v="3"/>
    <m/>
    <m/>
    <m/>
    <s v="Sohna-Gurugram Road."/>
    <s v="Village  Dhamaspur, P.O. Badshapur,"/>
    <m/>
    <s v="Gurugram "/>
    <n v="122101"/>
    <s v="HR"/>
    <s v="India"/>
    <n v="1"/>
    <n v="1"/>
    <n v="1"/>
    <n v="1"/>
    <s v="Sun"/>
    <m/>
  </r>
  <r>
    <n v="953"/>
    <s v="Bhavani Industries"/>
    <x v="114"/>
    <n v="950"/>
    <s v="4020J LX"/>
    <m/>
    <d v="2023-01-16T00:00:00"/>
    <m/>
    <m/>
    <d v="2024-03-27T00:00:00"/>
    <d v="2025-03-26T00:00:00"/>
    <n v="3"/>
    <m/>
    <m/>
    <m/>
    <s v="Electronic City , Phase-II (East)"/>
    <s v="Unit III,  Plot No.8B"/>
    <m/>
    <s v="Bangalore"/>
    <n v="560100"/>
    <s v="KA"/>
    <s v="India"/>
    <n v="8"/>
    <n v="0"/>
    <n v="1"/>
    <n v="1"/>
    <s v="Sun"/>
    <m/>
  </r>
  <r>
    <n v="954"/>
    <s v="Rohit Industries group P Ltd"/>
    <x v="847"/>
    <n v="480"/>
    <s v="4020J HT"/>
    <m/>
    <d v="2023-02-02T00:00:00"/>
    <m/>
    <m/>
    <d v="2023-02-02T00:00:00"/>
    <d v="2024-02-01T00:00:00"/>
    <n v="3"/>
    <m/>
    <m/>
    <m/>
    <m/>
    <s v="#337, Modern Industrial Estate Part-A"/>
    <m/>
    <s v="Bahadurgarh"/>
    <n v="124507"/>
    <s v="HR"/>
    <s v="India"/>
    <n v="1"/>
    <n v="1"/>
    <n v="2"/>
    <n v="2"/>
    <s v="Sun"/>
    <m/>
  </r>
  <r>
    <n v="955"/>
    <s v="Hical Technologies Pvt Ltd"/>
    <x v="22"/>
    <n v="1040"/>
    <s v="5030J LX"/>
    <m/>
    <d v="2023-02-06T00:00:00"/>
    <m/>
    <m/>
    <d v="2024-07-01T00:00:00"/>
    <d v="2025-06-30T00:00:00"/>
    <n v="3"/>
    <m/>
    <m/>
    <m/>
    <s v="Hosur Road,"/>
    <s v="Survey No, 46 &amp; 47 Phase II, Electronics City"/>
    <m/>
    <s v="Bangalore"/>
    <n v="560100"/>
    <s v="KA"/>
    <s v="India"/>
    <n v="8"/>
    <n v="0"/>
    <n v="1"/>
    <n v="1"/>
    <s v="Sun"/>
    <m/>
  </r>
  <r>
    <n v="956"/>
    <s v="Pricol Engg Industries Pvt Ltd "/>
    <x v="848"/>
    <n v="959"/>
    <s v="4020J LX"/>
    <m/>
    <d v="2023-03-10T00:00:00"/>
    <m/>
    <m/>
    <d v="2023-03-10T00:00:00"/>
    <d v="2024-03-11T00:00:00"/>
    <n v="3"/>
    <m/>
    <m/>
    <m/>
    <s v="Narashimanaicken Palayam"/>
    <s v="SF No.455- 1B 455-2B  Poochiyur "/>
    <m/>
    <s v="Coimbatore"/>
    <n v="641031"/>
    <s v="TN"/>
    <s v="India"/>
    <n v="4"/>
    <n v="1"/>
    <n v="6"/>
    <n v="1"/>
    <s v="Sun"/>
    <m/>
  </r>
  <r>
    <n v="957"/>
    <s v="Twinstar Tooling Solutions "/>
    <x v="849"/>
    <n v="1047"/>
    <s v="2015J LX "/>
    <m/>
    <d v="2023-03-13T00:00:00"/>
    <m/>
    <m/>
    <d v="2023-03-13T00:00:00"/>
    <d v="2024-03-12T00:00:00"/>
    <n v="3"/>
    <m/>
    <m/>
    <m/>
    <s v="Moodramkattalai,"/>
    <s v="No.10B  Moogambigai Nagar,"/>
    <m/>
    <s v="Chennai"/>
    <n v="600128"/>
    <s v="TN"/>
    <s v="India"/>
    <n v="4"/>
    <n v="0"/>
    <n v="2"/>
    <n v="1"/>
    <s v="Sun"/>
    <m/>
  </r>
  <r>
    <n v="958"/>
    <s v="KDDL Limited"/>
    <x v="850"/>
    <n v="957"/>
    <s v="4020J LX "/>
    <m/>
    <d v="2023-03-18T00:00:00"/>
    <m/>
    <m/>
    <d v="2023-03-18T00:00:00"/>
    <d v="2025-03-17T00:00:00"/>
    <n v="3"/>
    <m/>
    <m/>
    <m/>
    <m/>
    <s v="Haibatpur Road, Sadomajra, Derabassi,"/>
    <m/>
    <s v="Mohali"/>
    <n v="140507"/>
    <s v="PB"/>
    <s v="India"/>
    <n v="1"/>
    <n v="3"/>
    <n v="3"/>
    <n v="3"/>
    <s v="Sun"/>
    <m/>
  </r>
  <r>
    <n v="959"/>
    <s v="Autotex Pvt Ltd ( Unit-2)"/>
    <x v="851"/>
    <n v="1035"/>
    <s v="4030J LX "/>
    <m/>
    <d v="2023-03-19T00:00:00"/>
    <m/>
    <m/>
    <d v="2023-03-19T00:00:00"/>
    <d v="2024-03-18T00:00:00"/>
    <n v="3"/>
    <m/>
    <m/>
    <m/>
    <s v="karuvallur Road,Ponnegoundenpuddhur Post "/>
    <s v="(Formerly known Associated Autotex Ancillaries Pvt Ltd) 6/97 A1 Masagoundenchettipalyam,"/>
    <m/>
    <s v="Coimbatore"/>
    <n v="641014"/>
    <s v="TN"/>
    <s v="India"/>
    <n v="4"/>
    <n v="1"/>
    <n v="6"/>
    <n v="2"/>
    <s v="Sun"/>
    <m/>
  </r>
  <r>
    <n v="960"/>
    <s v="Manastu Space Technologies "/>
    <x v="852"/>
    <n v="958"/>
    <s v="4020J LX "/>
    <m/>
    <d v="2023-03-23T00:00:00"/>
    <m/>
    <m/>
    <d v="2023-03-23T00:00:00"/>
    <d v="2024-03-22T00:00:00"/>
    <n v="3"/>
    <m/>
    <m/>
    <m/>
    <s v="Opp Kanjurmarg Railway Station "/>
    <s v="Gala No.235, 2nd Floor, Hiranandani Industrial Estate "/>
    <s v="Kanjurmarg(West)"/>
    <s v="Mumbai"/>
    <n v="400078"/>
    <s v="MH"/>
    <s v="India"/>
    <n v="2"/>
    <n v="2"/>
    <n v="2"/>
    <n v="4"/>
    <s v="Sun"/>
    <m/>
  </r>
  <r>
    <n v="961"/>
    <s v="Schneider Electric India Pvt Ltd "/>
    <x v="853"/>
    <n v="1034"/>
    <s v="4030J LX"/>
    <m/>
    <d v="2023-03-28T00:00:00"/>
    <m/>
    <m/>
    <d v="2023-03-28T00:00:00"/>
    <d v="2025-03-27T00:00:00"/>
    <n v="3"/>
    <m/>
    <m/>
    <m/>
    <m/>
    <s v="MPS Mysore Mgf Plant 324-330, KIADB Industrial Estate"/>
    <m/>
    <s v="Mysore"/>
    <n v="570018"/>
    <s v="KA"/>
    <s v="India"/>
    <n v="8"/>
    <n v="0"/>
    <n v="3"/>
    <n v="3"/>
    <s v="Sun"/>
    <m/>
  </r>
  <r>
    <n v="962"/>
    <s v="Nigasavi Solution "/>
    <x v="854"/>
    <n v="1048"/>
    <s v="2015J LX "/>
    <m/>
    <d v="2023-03-28T00:00:00"/>
    <m/>
    <m/>
    <d v="2023-03-28T00:00:00"/>
    <d v="2024-03-27T00:00:00"/>
    <n v="3"/>
    <m/>
    <m/>
    <m/>
    <s v="Village Paud "/>
    <s v="Gut No.36/2, Property No.945 Paud-paud Highway"/>
    <s v="District Pune "/>
    <m/>
    <n v="412108"/>
    <s v="MH"/>
    <s v="India"/>
    <n v="2"/>
    <n v="4"/>
    <n v="5"/>
    <n v="1"/>
    <s v="Thu"/>
    <m/>
  </r>
  <r>
    <n v="963"/>
    <s v="Engineered Components &amp; Systems India Pvt Ltd "/>
    <x v="855"/>
    <n v="1052"/>
    <s v="4020J LX"/>
    <m/>
    <d v="2023-03-28T00:00:00"/>
    <m/>
    <m/>
    <d v="2023-03-28T00:00:00"/>
    <d v="2024-03-27T00:00:00"/>
    <n v="3"/>
    <m/>
    <m/>
    <m/>
    <s v="Yeshwanthpura "/>
    <s v="Plot No.67,1st Main Industrial Suburb,2nd Stage "/>
    <m/>
    <s v="Bangalore"/>
    <n v="560022"/>
    <s v="KA"/>
    <s v="India"/>
    <n v="8"/>
    <n v="0"/>
    <n v="5"/>
    <n v="1"/>
    <s v="Sun"/>
    <m/>
  </r>
  <r>
    <n v="964"/>
    <s v="Bright brother (Candid Milcron)"/>
    <x v="856"/>
    <n v="1051"/>
    <s v="4020J LX "/>
    <m/>
    <d v="2023-03-28T00:00:00"/>
    <m/>
    <m/>
    <d v="2023-03-28T00:00:00"/>
    <d v="2024-03-27T00:00:00"/>
    <n v="3"/>
    <m/>
    <m/>
    <m/>
    <s v="Thirubhavanai Village "/>
    <s v="Plot No-1/1 to 1/4 Mannadipet Commune "/>
    <m/>
    <s v="Puducherry"/>
    <n v="605107"/>
    <s v="TN"/>
    <s v="India"/>
    <n v="4"/>
    <n v="0"/>
    <n v="1"/>
    <n v="3"/>
    <s v="Sun"/>
    <m/>
  </r>
  <r>
    <n v="965"/>
    <s v="Sandhar Technologies Ltd"/>
    <x v="857"/>
    <n v="1036"/>
    <s v="4030J LX "/>
    <m/>
    <d v="2023-03-28T00:00:00"/>
    <m/>
    <m/>
    <d v="2023-03-28T00:00:00"/>
    <d v="2024-03-27T00:00:00"/>
    <n v="3"/>
    <m/>
    <m/>
    <m/>
    <s v="Organdam,Sriperumbudur TK."/>
    <s v="(A unit of Sandhar technologies ltd) Plot No.B2, SIPCOT Industrial Growth Centre."/>
    <m/>
    <s v="Kancheepuram"/>
    <n v="602105"/>
    <s v="TN"/>
    <s v="India"/>
    <n v="4"/>
    <n v="0"/>
    <n v="3"/>
    <n v="1"/>
    <s v="Sun"/>
    <m/>
  </r>
  <r>
    <n v="966"/>
    <s v="J D Industries"/>
    <x v="858"/>
    <n v="1049"/>
    <s v="2015J LX "/>
    <m/>
    <d v="2023-03-30T00:00:00"/>
    <m/>
    <m/>
    <d v="2023-03-30T00:00:00"/>
    <d v="2024-03-29T00:00:00"/>
    <n v="3"/>
    <m/>
    <m/>
    <m/>
    <m/>
    <s v="Plot No.Q20, KSSIDC Industries Estate 3rd Main Road ,2nd Phase Jigani,"/>
    <m/>
    <s v="Bangalore"/>
    <n v="560105"/>
    <s v="KA"/>
    <s v="India"/>
    <n v="8"/>
    <n v="0"/>
    <n v="2"/>
    <n v="1"/>
    <s v="Sun"/>
    <m/>
  </r>
  <r>
    <n v="967"/>
    <s v="Excelon Technologies"/>
    <x v="66"/>
    <n v="1050"/>
    <s v="4020J LX"/>
    <m/>
    <d v="2023-04-05T00:00:00"/>
    <m/>
    <m/>
    <d v="2024-03-30T00:00:00"/>
    <d v="2026-03-29T00:00:00"/>
    <n v="3"/>
    <m/>
    <m/>
    <m/>
    <s v="Peenya Industrial Area "/>
    <s v="Plot No.340 2nd Floor,9th Cross,4th Phase "/>
    <m/>
    <s v="Bangalore"/>
    <n v="560058"/>
    <s v="KA"/>
    <s v="India"/>
    <n v="8"/>
    <n v="0"/>
    <n v="5"/>
    <n v="1"/>
    <s v="Sun"/>
    <m/>
  </r>
  <r>
    <n v="968"/>
    <s v="Wise Tech precision Engg "/>
    <x v="859"/>
    <n v="1053"/>
    <s v="4020J LX "/>
    <m/>
    <d v="2023-04-27T00:00:00"/>
    <m/>
    <m/>
    <d v="2023-04-27T00:00:00"/>
    <d v="2024-04-26T00:00:00"/>
    <n v="3"/>
    <m/>
    <m/>
    <m/>
    <s v="Attibele Hobli,"/>
    <s v="29, Balagaranahalli,  Neralur  Post, "/>
    <m/>
    <s v="Bangalore "/>
    <n v="562107"/>
    <s v="KA"/>
    <s v="India"/>
    <n v="8"/>
    <n v="0"/>
    <n v="1"/>
    <n v="2"/>
    <s v="Sun"/>
    <m/>
  </r>
  <r>
    <n v="969"/>
    <s v="Schneider Electric IT Business India Pvt Ltd (SDI Business Service India Pvt Ltd)"/>
    <x v="860"/>
    <n v="1054"/>
    <s v="2015J LX "/>
    <m/>
    <d v="2023-04-28T00:00:00"/>
    <m/>
    <m/>
    <d v="2023-04-28T00:00:00"/>
    <d v="2024-04-27T00:00:00"/>
    <n v="3"/>
    <m/>
    <m/>
    <m/>
    <s v="Anekal Taluk"/>
    <s v="EHTP Unit I 187/3 7 188/3, Jigani Hobli,"/>
    <m/>
    <s v="Bangalore urban (BEF)"/>
    <m/>
    <s v="KA"/>
    <s v="India"/>
    <n v="8"/>
    <n v="0"/>
    <n v="2"/>
    <n v="1"/>
    <s v="Sun"/>
    <m/>
  </r>
  <r>
    <n v="970"/>
    <s v="Accusharp Cutting Tools Pvt Ltd"/>
    <x v="861"/>
    <n v="953"/>
    <s v="2015J HT"/>
    <m/>
    <d v="2023-05-08T00:00:00"/>
    <m/>
    <m/>
    <d v="2023-05-08T00:00:00"/>
    <d v="2024-05-07T00:00:00"/>
    <n v="3"/>
    <m/>
    <m/>
    <m/>
    <s v="Bhosari"/>
    <s v="Plot No.EL  15/2, EL Block, MIDC, "/>
    <m/>
    <s v="Pune"/>
    <n v="411026"/>
    <s v="MH"/>
    <s v="India"/>
    <n v="2"/>
    <n v="4"/>
    <n v="1"/>
    <n v="1"/>
    <s v="Thu "/>
    <m/>
  </r>
  <r>
    <n v="971"/>
    <s v="Paragon Electric Switchgears Pvt Ltd"/>
    <x v="862"/>
    <n v="1056"/>
    <s v="2015J LX"/>
    <m/>
    <d v="2023-05-08T00:00:00"/>
    <m/>
    <m/>
    <d v="2023-05-08T00:00:00"/>
    <d v="2024-05-07T00:00:00"/>
    <n v="3"/>
    <m/>
    <m/>
    <m/>
    <s v="Patil Lane Number 2"/>
    <s v="Flat No. 602, Moksh Apartment"/>
    <s v="Canada Corner "/>
    <s v="Nashik"/>
    <n v="422005"/>
    <s v="MH"/>
    <s v="India"/>
    <n v="2"/>
    <n v="3"/>
    <n v="0"/>
    <n v="1"/>
    <s v="Sat"/>
    <m/>
  </r>
  <r>
    <n v="972"/>
    <s v="Bosch Ltd (Disha Enterprises)"/>
    <x v="863"/>
    <n v="1055"/>
    <s v="2015J LX"/>
    <m/>
    <d v="2023-05-11T00:00:00"/>
    <m/>
    <m/>
    <d v="2024-06-07T00:00:00"/>
    <d v="2025-06-06T00:00:00"/>
    <n v="3"/>
    <m/>
    <m/>
    <m/>
    <s v="Next to Mico Lorr"/>
    <s v="BanP,903A-Bosch-AA ADC-AA, N0.48/1"/>
    <m/>
    <s v="Bangalore"/>
    <n v="560100"/>
    <s v="KA"/>
    <s v="India"/>
    <n v="8"/>
    <n v="0"/>
    <n v="1"/>
    <n v="1"/>
    <s v="Sun"/>
    <m/>
  </r>
  <r>
    <n v="973"/>
    <s v="Romsons Group Pvt Ltd"/>
    <x v="864"/>
    <n v="956"/>
    <s v="4020J LX"/>
    <m/>
    <d v="2023-05-13T00:00:00"/>
    <m/>
    <m/>
    <d v="2023-05-13T00:00:00"/>
    <d v="2025-05-12T00:00:00"/>
    <n v="3"/>
    <m/>
    <m/>
    <m/>
    <m/>
    <s v="R&amp;D Centre 62-63, Industrial Estate, Nunhai,"/>
    <m/>
    <s v="Agra"/>
    <n v="282006"/>
    <s v="UP"/>
    <s v="India"/>
    <n v="1"/>
    <n v="1"/>
    <n v="5"/>
    <n v="4"/>
    <s v="Sun"/>
    <m/>
  </r>
  <r>
    <n v="974"/>
    <s v="Mindarika Pvt Ltd"/>
    <x v="865"/>
    <n v="1037"/>
    <s v="V4030J LX"/>
    <m/>
    <d v="2023-05-19T00:00:00"/>
    <m/>
    <m/>
    <d v="2023-05-19T00:00:00"/>
    <d v="2024-05-18T00:00:00"/>
    <n v="3"/>
    <s v="Balaji "/>
    <m/>
    <n v="7200783125"/>
    <s v="Vadakkupattu, Sripermbudure"/>
    <s v="RNS 22,SIPCOT Indl Growth Centre Orgadam Expansion Scheme"/>
    <m/>
    <s v="Kanchipuram"/>
    <n v="603204"/>
    <s v="TN"/>
    <s v="India"/>
    <n v="4"/>
    <n v="0"/>
    <n v="3"/>
    <n v="1"/>
    <s v="Sun"/>
    <m/>
  </r>
  <r>
    <n v="975"/>
    <s v="Creative Propack Ltd"/>
    <x v="866"/>
    <n v="1060"/>
    <s v="V4020J LX"/>
    <m/>
    <d v="2023-05-19T00:00:00"/>
    <m/>
    <m/>
    <d v="2023-05-19T00:00:00"/>
    <d v="2024-05-18T00:00:00"/>
    <n v="3"/>
    <s v="Nilay Maharana"/>
    <m/>
    <n v="7820029414"/>
    <s v="Sedarapet"/>
    <s v="A31 to A34 &amp; A45 to A48 4th Cross, PIPDIC Industrial Area"/>
    <m/>
    <s v="Pondicherry"/>
    <n v="605111"/>
    <s v="TN"/>
    <s v="India"/>
    <n v="4"/>
    <n v="0"/>
    <n v="1"/>
    <n v="3"/>
    <s v="Sun"/>
    <m/>
  </r>
  <r>
    <n v="976"/>
    <s v="Accusharp Cutting Tools Pvt Ltd"/>
    <x v="861"/>
    <n v="954"/>
    <s v="2015J HT"/>
    <m/>
    <d v="2023-05-30T00:00:00"/>
    <m/>
    <m/>
    <d v="2023-05-30T00:00:00"/>
    <d v="2024-05-29T00:00:00"/>
    <n v="3"/>
    <s v="Mr. Girish Kulkarni"/>
    <m/>
    <m/>
    <s v="Bhosari"/>
    <s v="Plot No.EL  15/2, EL Block, MIDC, "/>
    <m/>
    <s v="Pune"/>
    <n v="411026"/>
    <s v="MH"/>
    <s v="India"/>
    <n v="2"/>
    <n v="4"/>
    <n v="1"/>
    <n v="1"/>
    <s v="Thu "/>
    <m/>
  </r>
  <r>
    <n v="977"/>
    <s v="Suja Shoei Industries Pvt Ltd"/>
    <x v="867"/>
    <n v="1062"/>
    <s v="4020J LX"/>
    <m/>
    <d v="2023-06-02T00:00:00"/>
    <m/>
    <m/>
    <d v="2024-05-27T00:00:00"/>
    <d v="2025-05-26T00:00:00"/>
    <n v="3"/>
    <s v="Mr. A.Murugadass"/>
    <m/>
    <n v="8012351567"/>
    <s v="Ongur (P.O)"/>
    <s v="RS No. 136/4,5,6, 13A,14, 15A, 15B, 16B,17B,18B,19,20 NH-32, Pathiri Village"/>
    <s v="Thindivanam Taluk"/>
    <s v="Villupuram"/>
    <s v="604305"/>
    <s v="TN"/>
    <s v="India"/>
    <n v="4"/>
    <n v="0"/>
    <n v="2"/>
    <n v="5"/>
    <s v="Sun"/>
    <m/>
  </r>
  <r>
    <n v="978"/>
    <s v="Stumpp Schuel Lewis Machine Tools Pvt Ltd"/>
    <x v="868"/>
    <n v="1063"/>
    <s v="4020J LX"/>
    <m/>
    <d v="2023-07-05T00:00:00"/>
    <m/>
    <m/>
    <d v="2023-07-05T00:00:00"/>
    <d v="2024-07-04T00:00:00"/>
    <n v="3"/>
    <s v="Mr. Giridhar Kumay"/>
    <s v="CEO"/>
    <n v="9900329602"/>
    <s v="Jigani Hobli, Anekal Taluk"/>
    <s v="Plot No.283B Bom-Jigani Link Rd, KIADB Industrial Area,"/>
    <s v=" Jigani"/>
    <s v="Bangalore"/>
    <n v="560105"/>
    <s v="KA"/>
    <s v="India"/>
    <n v="8"/>
    <n v="0"/>
    <n v="2"/>
    <n v="1"/>
    <s v="Sun"/>
    <m/>
  </r>
  <r>
    <n v="979"/>
    <s v="Unique Measurement Service"/>
    <x v="869"/>
    <n v="1100"/>
    <s v="4030J LX"/>
    <m/>
    <d v="2023-07-25T00:00:00"/>
    <m/>
    <m/>
    <d v="2023-07-25T00:00:00"/>
    <d v="2024-07-24T00:00:00"/>
    <n v="3"/>
    <s v="Mr. Mani   "/>
    <s v="Plant Incharge"/>
    <n v="7358051901"/>
    <s v="Pondur, Vallam Village"/>
    <s v="No.369/3A Oragadam-Sri'budur Bye Pass Road"/>
    <s v="Sriperumbudur "/>
    <s v="Kancheepuram"/>
    <s v="602105"/>
    <s v="TN"/>
    <s v="India"/>
    <n v="4"/>
    <n v="0"/>
    <n v="3"/>
    <n v="1"/>
    <s v="Sun"/>
    <m/>
  </r>
  <r>
    <n v="980"/>
    <s v="TGT Tech Private Limited"/>
    <x v="708"/>
    <s v="DC0006"/>
    <m/>
    <m/>
    <d v="2023-08-12T00:00:00"/>
    <m/>
    <m/>
    <d v="2023-08-12T00:00:00"/>
    <d v="2024-08-11T00:00:00"/>
    <n v="3"/>
    <s v="Mr. Ranganath"/>
    <m/>
    <n v="9845365156"/>
    <s v="4th Phase"/>
    <s v="Plot No. 467-469 Site-1C, 12th Cross"/>
    <s v="Peenya Industrial Area"/>
    <s v="Bangalore"/>
    <s v="560058"/>
    <s v="KA"/>
    <s v="India"/>
    <n v="8"/>
    <n v="0"/>
    <n v="5"/>
    <n v="1"/>
    <s v="Sun"/>
    <m/>
  </r>
  <r>
    <n v="981"/>
    <s v="TGT Tech Private Limited"/>
    <x v="708"/>
    <s v="DC0007"/>
    <m/>
    <m/>
    <d v="2023-08-12T00:00:00"/>
    <m/>
    <m/>
    <d v="2023-08-12T00:00:00"/>
    <d v="2024-08-11T00:00:00"/>
    <n v="3"/>
    <s v="Mr. Ranganath"/>
    <m/>
    <n v="9845365156"/>
    <s v="4th Phase"/>
    <s v="Plot No. 467-469 Site-1C, 12th Cross"/>
    <s v="Peenya Industrial Area"/>
    <s v="Bangalore"/>
    <s v="560058"/>
    <s v="KA"/>
    <s v="India"/>
    <n v="8"/>
    <n v="0"/>
    <n v="5"/>
    <n v="1"/>
    <s v="Sun"/>
    <m/>
  </r>
  <r>
    <n v="982"/>
    <s v=" Praveen Engg Industries"/>
    <x v="870"/>
    <n v="1064"/>
    <s v="2015J LX"/>
    <m/>
    <d v="2023-08-16T00:00:00"/>
    <m/>
    <m/>
    <d v="2023-08-16T00:00:00"/>
    <d v="2024-08-15T00:00:00"/>
    <n v="3"/>
    <s v="Mr. Ganapathy"/>
    <m/>
    <n v="9789196766"/>
    <s v="Anumepalli Agraharam Village"/>
    <s v="Plot No.17 SF No.27/1B2A"/>
    <s v="Bagepalli Road, Zuzavadi"/>
    <s v="Hosur"/>
    <n v="635126"/>
    <s v="TN"/>
    <s v="India"/>
    <n v="8"/>
    <n v="0"/>
    <n v="1"/>
    <n v="3"/>
    <s v="Sun"/>
    <m/>
  </r>
  <r>
    <n v="983"/>
    <s v="Igarashi Motors India Ltd"/>
    <x v="628"/>
    <n v="1039"/>
    <s v="4030J LX"/>
    <m/>
    <d v="2023-08-22T00:00:00"/>
    <m/>
    <m/>
    <d v="2023-08-22T00:00:00"/>
    <d v="2024-08-21T00:00:00"/>
    <n v="3"/>
    <s v="Ms. J. Yoga Bama"/>
    <m/>
    <n v="9790825334"/>
    <s v="SEZ, Phase-II"/>
    <s v="Plot No.B12-B15 MEPZ"/>
    <s v="Tambaram"/>
    <s v="Chennai"/>
    <s v="600045"/>
    <s v="TN"/>
    <s v="India"/>
    <n v="4"/>
    <n v="0"/>
    <n v="2"/>
    <n v="3"/>
    <s v="Sun"/>
    <m/>
  </r>
  <r>
    <n v="984"/>
    <s v="GKM Metal Finishers"/>
    <x v="576"/>
    <n v="1057"/>
    <s v="2015J LX"/>
    <m/>
    <d v="2023-08-27T00:00:00"/>
    <m/>
    <m/>
    <d v="2023-08-27T00:00:00"/>
    <d v="2024-08-27T00:00:00"/>
    <n v="3"/>
    <s v="Mr. N.Varadharaju"/>
    <m/>
    <n v="9790030059"/>
    <s v="Near IOB Bank"/>
    <s v="No.13A, 3rd Phase SIDCO Industrial Complex"/>
    <s v="SIPCOT"/>
    <s v="Hosur"/>
    <n v="635126"/>
    <s v="TN"/>
    <s v="India"/>
    <n v="8"/>
    <n v="0"/>
    <n v="1"/>
    <n v="3"/>
    <s v="Sun"/>
    <m/>
  </r>
  <r>
    <n v="985"/>
    <s v="Lakshmi Machine Works Ltd (Candid Micron Measurements Pvt Ltd)"/>
    <x v="871"/>
    <n v="1058"/>
    <s v="2015J LX"/>
    <m/>
    <d v="2023-08-27T00:00:00"/>
    <m/>
    <m/>
    <d v="2023-08-27T00:00:00"/>
    <d v="2024-08-27T00:00:00"/>
    <n v="3"/>
    <m/>
    <m/>
    <m/>
    <s v="Kaniyur Post"/>
    <s v="Unit II NH544"/>
    <s v="Via: Karamuttampatti"/>
    <s v="Coimbatore"/>
    <n v="641659"/>
    <s v="TN"/>
    <s v="India"/>
    <n v="4"/>
    <n v="1"/>
    <n v="6"/>
    <n v="1"/>
    <s v="Sun"/>
    <m/>
  </r>
  <r>
    <n v="986"/>
    <s v="Sunshine Innovative Electronics"/>
    <x v="872"/>
    <n v="1059"/>
    <s v="2015J LX"/>
    <m/>
    <d v="2023-09-12T00:00:00"/>
    <m/>
    <m/>
    <d v="2023-09-12T00:00:00"/>
    <d v="2024-09-11T00:00:00"/>
    <n v="3"/>
    <s v="Mr. Ramachandra"/>
    <m/>
    <n v="9845568335"/>
    <s v="Magadi Road"/>
    <s v="#93/2 12th Cross"/>
    <s v="Cholurpalya"/>
    <s v="Bangalore"/>
    <n v="560023"/>
    <s v="KA"/>
    <s v="India"/>
    <n v="8"/>
    <n v="0"/>
    <n v="4"/>
    <n v="1"/>
    <s v="Sun"/>
    <m/>
  </r>
  <r>
    <n v="987"/>
    <s v="Uno Minda Limited"/>
    <x v="873"/>
    <n v="1042"/>
    <s v="5030-Z25J LX"/>
    <m/>
    <d v="2023-09-16T00:00:00"/>
    <m/>
    <m/>
    <d v="2023-09-16T00:00:00"/>
    <d v="2024-09-15T00:00:00"/>
    <n v="3"/>
    <s v="Mr. Ponusamy"/>
    <m/>
    <n v="8220837163"/>
    <s v="Phase-II, Sipcot Industrial Park"/>
    <s v="Formerly Known as Minda Industries Ltd Plot No.B3, R&amp;N Supplier Park"/>
    <s v="Sriperumbudur"/>
    <s v="Kancheepuram"/>
    <n v="602105"/>
    <s v="TN"/>
    <s v="India"/>
    <n v="4"/>
    <n v="0"/>
    <n v="3"/>
    <n v="1"/>
    <s v="Sun"/>
    <m/>
  </r>
  <r>
    <n v="988"/>
    <s v="Vision Turnomech LLP"/>
    <x v="874"/>
    <n v="1065"/>
    <s v="2015J LX"/>
    <m/>
    <d v="2023-09-19T00:00:00"/>
    <m/>
    <m/>
    <d v="2023-09-19T00:00:00"/>
    <d v="2024-09-18T00:00:00"/>
    <n v="3"/>
    <s v="Mr. Paras Shah &amp; Mr. Vishal Shah"/>
    <m/>
    <s v="9375392900 &amp; 7039031188"/>
    <s v="Vision Industrial Park"/>
    <s v="Plot No.18, R.S No.706 Jamnagar- Lalpur Road"/>
    <s v="Changa"/>
    <s v="Jamnagar"/>
    <n v="361012"/>
    <s v="GJ"/>
    <s v="India"/>
    <n v="5"/>
    <n v="4"/>
    <n v="0"/>
    <n v="1"/>
    <s v="Fri"/>
    <m/>
  </r>
  <r>
    <n v="989"/>
    <s v="L.G. Balakrishnan &amp; Bros Ltd (Candid Micron Measurements Pvt Ltd)"/>
    <x v="875"/>
    <n v="1072"/>
    <s v="4020J LX"/>
    <m/>
    <d v="2023-09-29T00:00:00"/>
    <m/>
    <m/>
    <d v="2023-09-29T00:00:00"/>
    <d v="2024-09-28T00:00:00"/>
    <n v="3"/>
    <m/>
    <m/>
    <m/>
    <s v="Industrial Area MIDC"/>
    <s v="Nagpur Plant- ICD Plot No. A-9/1, Additional Butibori"/>
    <s v="Tarsi Village"/>
    <s v="Nagpur"/>
    <n v="441108"/>
    <s v="MH"/>
    <s v="India"/>
    <n v="2"/>
    <n v="0"/>
    <n v="2"/>
    <n v="0"/>
    <s v="Sun"/>
    <m/>
  </r>
  <r>
    <n v="990"/>
    <s v="Multilink"/>
    <x v="396"/>
    <n v="1066"/>
    <s v="2015J LX"/>
    <m/>
    <d v="2023-10-10T00:00:00"/>
    <m/>
    <m/>
    <d v="2023-10-10T00:00:00"/>
    <d v="2024-10-09T00:00:00"/>
    <n v="3"/>
    <s v="Mr. Anand K"/>
    <m/>
    <n v="9742016152"/>
    <m/>
    <s v="No.309 Hebbal Industrial Area"/>
    <m/>
    <s v="Mysore"/>
    <n v="570016"/>
    <s v="KA"/>
    <s v="India"/>
    <n v="8"/>
    <n v="0"/>
    <n v="3"/>
    <n v="3"/>
    <s v="Sun"/>
    <m/>
  </r>
  <r>
    <n v="991"/>
    <s v="KGT Auto Plast"/>
    <x v="876"/>
    <n v="1102"/>
    <s v="4030J LX"/>
    <m/>
    <d v="2023-10-25T00:00:00"/>
    <m/>
    <m/>
    <d v="2023-10-25T00:00:00"/>
    <d v="2024-10-09T00:00:00"/>
    <n v="3"/>
    <s v="Mr. Malmarugan/ Mr. R.Ilayaraja"/>
    <s v="Plant Head / Development"/>
    <s v="9047955246 / 9003094579  "/>
    <s v="Thirumazhisai"/>
    <s v="No.61-1A Mettuthangal Road"/>
    <m/>
    <s v="Chennai"/>
    <n v="600124"/>
    <s v="TN"/>
    <s v="India"/>
    <n v="4"/>
    <n v="0"/>
    <n v="3"/>
    <n v="1"/>
    <s v="Sun"/>
    <m/>
  </r>
  <r>
    <n v="992"/>
    <s v="Takcim Technology"/>
    <x v="877"/>
    <n v="1101"/>
    <s v="4030J LX"/>
    <m/>
    <d v="2023-10-26T00:00:00"/>
    <m/>
    <m/>
    <d v="2023-10-26T00:00:00"/>
    <d v="2024-10-25T00:00:00"/>
    <n v="3"/>
    <s v="Mr. J.F.Charles"/>
    <s v="Managing Director"/>
    <n v="9789515593"/>
    <s v="Athappa Gounden Pudur"/>
    <s v="No.36C, Block-ST-6 Kurumbapalayam Road"/>
    <m/>
    <s v="Coimbatore"/>
    <n v="641103"/>
    <s v="TN"/>
    <s v="India"/>
    <n v="4"/>
    <n v="1"/>
    <n v="1"/>
    <n v="1"/>
    <s v="Sun"/>
    <m/>
  </r>
  <r>
    <n v="993"/>
    <s v="JJG Machining Pvt Ltd"/>
    <x v="419"/>
    <n v="1075"/>
    <s v="2015J LX"/>
    <m/>
    <d v="2023-11-02T00:00:00"/>
    <m/>
    <m/>
    <d v="2023-11-02T00:00:00"/>
    <d v="2025-11-01T00:00:00"/>
    <n v="3"/>
    <s v="Mr. Vinayak"/>
    <m/>
    <n v="9686450969"/>
    <s v="Bommasandra Industrial Area"/>
    <s v="107 4th Phase"/>
    <m/>
    <s v="Bangalore"/>
    <n v="560105"/>
    <s v="KA"/>
    <s v="India"/>
    <n v="8"/>
    <n v="0"/>
    <n v="1"/>
    <n v="2"/>
    <s v="Sun"/>
    <m/>
  </r>
  <r>
    <n v="994"/>
    <s v="Press Metal Industries"/>
    <x v="878"/>
    <n v="1043"/>
    <s v="5030J LX"/>
    <m/>
    <d v="2023-11-10T00:00:00"/>
    <m/>
    <m/>
    <d v="2023-11-10T00:00:00"/>
    <d v="2024-11-09T00:00:00"/>
    <n v="3"/>
    <s v="Mr. Tushar Chaudhari"/>
    <s v="QC-Head"/>
    <n v="9552571583"/>
    <s v="D-Road"/>
    <s v="E-47 MIDC"/>
    <s v="Satpur"/>
    <s v="Nashik"/>
    <n v="422007"/>
    <s v="MH"/>
    <s v="India"/>
    <n v="2"/>
    <n v="3"/>
    <n v="0"/>
    <n v="1"/>
    <s v="Sat "/>
    <m/>
  </r>
  <r>
    <n v="995"/>
    <s v="Siemens Ltd"/>
    <x v="879"/>
    <n v="1069"/>
    <s v="2015J LX"/>
    <m/>
    <d v="2023-11-14T00:00:00"/>
    <m/>
    <m/>
    <d v="2023-11-14T00:00:00"/>
    <d v="2024-11-13T00:00:00"/>
    <n v="3"/>
    <s v="Mr. Ajit Palkar"/>
    <s v="Quality Management"/>
    <n v="9403843498"/>
    <s v="E-76 MIDC"/>
    <s v="SI EP IAA FIN P AW -SCM-P AW/Switchgear-MCB"/>
    <s v="Waluj"/>
    <s v="Aurangabad"/>
    <n v="411041"/>
    <s v="MH"/>
    <s v="India"/>
    <n v="2"/>
    <n v="0"/>
    <n v="2"/>
    <n v="1"/>
    <s v="Sun"/>
    <m/>
  </r>
  <r>
    <n v="996"/>
    <s v="Siemens Ltd"/>
    <x v="879"/>
    <n v="1074"/>
    <s v="2015J LX"/>
    <m/>
    <d v="2023-11-14T00:00:00"/>
    <m/>
    <m/>
    <d v="2023-11-14T00:00:00"/>
    <d v="2024-11-13T00:00:00"/>
    <n v="3"/>
    <s v="Mr. Ajit Palkar"/>
    <s v="Quality Management"/>
    <n v="9403843498"/>
    <s v="E-76 MIDC"/>
    <s v="SI EP IAA FIN P AW -SCM-P AW/Switchgear-MCB"/>
    <s v="Waluj"/>
    <s v="Aurangabad"/>
    <n v="411041"/>
    <s v="MH"/>
    <s v="India"/>
    <n v="2"/>
    <n v="0"/>
    <n v="2"/>
    <n v="1"/>
    <s v="Sun"/>
    <m/>
  </r>
  <r>
    <n v="997"/>
    <s v="Maini Precision Products Ltd."/>
    <x v="552"/>
    <n v="1103"/>
    <s v="4030J LX"/>
    <m/>
    <d v="2023-11-20T00:00:00"/>
    <m/>
    <m/>
    <d v="2023-11-20T00:00:00"/>
    <d v="2024-11-19T00:00:00"/>
    <n v="3"/>
    <s v="Mr. Praveen Y"/>
    <s v="Quality Assurance"/>
    <n v="9663315054"/>
    <s v="Peenya Industrial Area"/>
    <s v="No.16-B 1st Phase"/>
    <m/>
    <s v="Bangalore"/>
    <n v="560058"/>
    <s v="KA"/>
    <s v="India"/>
    <n v="8"/>
    <n v="0"/>
    <n v="5"/>
    <n v="1"/>
    <s v="Sun"/>
    <m/>
  </r>
  <r>
    <n v="998"/>
    <s v="Bhavani Industries"/>
    <x v="114"/>
    <n v="1076"/>
    <s v="2015J LX"/>
    <m/>
    <d v="2023-11-24T00:00:00"/>
    <m/>
    <m/>
    <d v="2023-11-24T00:00:00"/>
    <d v="2024-11-23T00:00:00"/>
    <n v="3"/>
    <s v="Mr. Sreenivasan.K"/>
    <s v="GM- Quality"/>
    <n v="9840624198"/>
    <s v="Electronics City East"/>
    <s v="Plot No.8B Phase-2"/>
    <m/>
    <s v="Bangalore"/>
    <n v="560100"/>
    <s v="KA"/>
    <s v="India"/>
    <n v="8"/>
    <n v="0"/>
    <n v="1"/>
    <n v="1"/>
    <s v="Sun"/>
    <m/>
  </r>
  <r>
    <n v="999"/>
    <s v="Formar CV Brakes India Pvt Ltd"/>
    <x v="880"/>
    <n v="1104"/>
    <s v="5030J LX"/>
    <m/>
    <d v="2023-11-25T00:00:00"/>
    <m/>
    <m/>
    <d v="2023-11-25T00:00:00"/>
    <d v="2024-11-24T00:00:00"/>
    <n v="3"/>
    <s v="Mr. Kunal Dhiman"/>
    <m/>
    <n v="7011395339"/>
    <m/>
    <s v="No.40 Village-Kami"/>
    <m/>
    <s v="Sonipat"/>
    <n v="131001"/>
    <s v="HR"/>
    <s v="India"/>
    <n v="1"/>
    <n v="1"/>
    <n v="3"/>
    <n v="2"/>
    <s v="Sun"/>
    <m/>
  </r>
  <r>
    <n v="1000"/>
    <s v="Fiducia Autotech Industries"/>
    <x v="881"/>
    <n v="1078"/>
    <s v="2015J LX"/>
    <m/>
    <d v="2023-12-01T00:00:00"/>
    <m/>
    <m/>
    <d v="2023-12-01T00:00:00"/>
    <d v="2024-11-30T00:00:00"/>
    <n v="3"/>
    <s v="Mr. Ashwani Tiwari "/>
    <s v="Managing Director"/>
    <n v="7678655481"/>
    <s v="Khushkhera"/>
    <s v="Plot No. H1/827 RIICO Industrial Area"/>
    <m/>
    <s v="Bhiwadi"/>
    <n v="301017"/>
    <s v="RJ"/>
    <s v="India"/>
    <n v="1"/>
    <n v="1"/>
    <n v="1"/>
    <n v="4"/>
    <s v="Sun"/>
    <m/>
  </r>
  <r>
    <n v="1001"/>
    <s v="Niva Implement LLP"/>
    <x v="882"/>
    <n v="1086"/>
    <s v="4020J LX"/>
    <m/>
    <d v="2023-12-09T00:00:00"/>
    <m/>
    <m/>
    <d v="2025-11-08T00:00:00"/>
    <d v="2026-11-07T00:00:00"/>
    <n v="3"/>
    <s v="Mr. Shubham Sukhle "/>
    <s v="Project Manager"/>
    <n v="7861898657"/>
    <s v="Plot No. 244, Village: Karvad"/>
    <s v="SR No.172/91 Damanganga Estate"/>
    <s v="Tal: Vapi"/>
    <s v="Valsad"/>
    <n v="396193"/>
    <s v="GJ"/>
    <s v="India"/>
    <n v="2"/>
    <n v="1"/>
    <n v="1"/>
    <n v="1"/>
    <s v="Sun"/>
    <m/>
  </r>
  <r>
    <n v="1002"/>
    <s v="Pricol Precision Products Pvt Ltd (Sundaram Auto Components Ltd)"/>
    <x v="883"/>
    <n v="1079"/>
    <s v="2015J LX"/>
    <m/>
    <d v="2023-12-22T00:00:00"/>
    <m/>
    <m/>
    <d v="2023-12-22T00:00:00"/>
    <d v="2024-12-21T00:00:00"/>
    <n v="3"/>
    <s v="Mr. Neeraj Pathak"/>
    <s v="QAD"/>
    <n v="9816616674"/>
    <s v="Phase-1"/>
    <s v="#E-131 RIICO Industrial Area"/>
    <s v="RIICO Chowk"/>
    <s v="Bhiwadi"/>
    <n v="301019"/>
    <s v="RJ"/>
    <s v="India"/>
    <n v="1"/>
    <n v="1"/>
    <n v="1"/>
    <n v="4"/>
    <s v="Sun"/>
    <m/>
  </r>
  <r>
    <n v="1003"/>
    <s v="S V M Engg and Tools"/>
    <x v="884"/>
    <n v="1085"/>
    <s v="2015J LX"/>
    <m/>
    <d v="2023-12-25T00:00:00"/>
    <m/>
    <m/>
    <d v="2023-12-25T00:00:00"/>
    <d v="2024-12-24T00:00:00"/>
    <n v="3"/>
    <s v="Mr. Karthick. C"/>
    <m/>
    <n v="9677378142"/>
    <s v="SIDCO Post"/>
    <s v="#6 Private Industrial Estate"/>
    <m/>
    <s v="Coimbatore"/>
    <n v="641021"/>
    <s v="TN"/>
    <s v="India"/>
    <n v="4"/>
    <n v="1"/>
    <n v="3"/>
    <n v="1"/>
    <s v="Sun"/>
    <m/>
  </r>
  <r>
    <n v="1004"/>
    <s v="CRK CNC Industries"/>
    <x v="885"/>
    <n v="1080"/>
    <s v="4020-Z25J LX"/>
    <m/>
    <d v="2023-12-25T00:00:00"/>
    <m/>
    <m/>
    <d v="2023-12-25T00:00:00"/>
    <d v="2024-12-24T00:00:00"/>
    <n v="3"/>
    <s v="Mr. Chaitanya G"/>
    <s v="Managing Partner"/>
    <n v="9164041776"/>
    <s v="Ganapathi Nagar"/>
    <s v="#117/F 9th A Cross"/>
    <s v="Peenya 3rd Phase"/>
    <s v="Bangalore"/>
    <n v="560058"/>
    <s v="KA"/>
    <s v="India"/>
    <n v="8"/>
    <n v="0"/>
    <n v="5"/>
    <n v="1"/>
    <s v="Sun"/>
    <m/>
  </r>
  <r>
    <n v="1005"/>
    <s v="Paloma Turning Co. Pvt. Ltd"/>
    <x v="206"/>
    <n v="1073"/>
    <s v="4020J LX"/>
    <m/>
    <d v="2023-12-27T00:00:00"/>
    <m/>
    <m/>
    <d v="2023-12-27T00:00:00"/>
    <d v="2024-12-22T00:00:00"/>
    <n v="3"/>
    <s v="Mr. Sateesh Babu"/>
    <s v="AGM - Purchase"/>
    <n v="9538886130"/>
    <s v="Behind AVS Concrete, Off. Hosur Road"/>
    <s v="#173/2 Bandapura Village Road"/>
    <s v="Anekal Taluk"/>
    <s v="Bangalore"/>
    <n v="562106"/>
    <s v="KA"/>
    <s v="India"/>
    <n v="8"/>
    <n v="0"/>
    <n v="1"/>
    <n v="3"/>
    <s v="Sun"/>
    <m/>
  </r>
  <r>
    <n v="1006"/>
    <s v="Bhavani Industries"/>
    <x v="608"/>
    <n v="1088"/>
    <s v="2015J LX"/>
    <m/>
    <d v="2024-01-03T00:00:00"/>
    <m/>
    <m/>
    <d v="2024-01-03T00:00:00"/>
    <d v="2025-01-02T00:00:00"/>
    <n v="3"/>
    <s v="Mr. Shivakumar Pujar"/>
    <s v="Quality-Head"/>
    <n v="8861575754"/>
    <s v="KIADB Industrial Area"/>
    <s v="Plot No.55 Sector-2, Phase-2"/>
    <s v="Bidadi, Ramnagar"/>
    <s v="Bangalore"/>
    <n v="562109"/>
    <s v="KA"/>
    <s v="India"/>
    <n v="8"/>
    <n v="0"/>
    <n v="3"/>
    <n v="2"/>
    <s v="Sun"/>
    <m/>
  </r>
  <r>
    <n v="1007"/>
    <s v="Efficient Methods"/>
    <x v="886"/>
    <n v="1083"/>
    <s v="4020J LX"/>
    <m/>
    <d v="2024-01-06T00:00:00"/>
    <m/>
    <m/>
    <d v="2024-01-06T00:00:00"/>
    <d v="2025-01-05T00:00:00"/>
    <n v="3"/>
    <s v="Mr. Sunil Pawar"/>
    <s v="Production-Head"/>
    <n v="9890736076"/>
    <s v="Ambad"/>
    <s v="F-101, 102 MIDC"/>
    <m/>
    <s v="Nashik"/>
    <n v="422010"/>
    <s v="MH"/>
    <s v="India"/>
    <n v="2"/>
    <n v="3"/>
    <n v="0"/>
    <n v="1"/>
    <s v="Sat"/>
    <m/>
  </r>
  <r>
    <n v="1008"/>
    <s v="International Aerospace Manufacturing Pvt Ltd"/>
    <x v="887"/>
    <n v="1081"/>
    <s v="4020J LX"/>
    <m/>
    <d v="2024-01-12T00:00:00"/>
    <m/>
    <m/>
    <d v="2024-01-12T00:00:00"/>
    <d v="2026-01-11T00:00:00"/>
    <n v="3"/>
    <s v="Mr. Vadivel. M"/>
    <m/>
    <n v="9786855449"/>
    <s v="Bagalur Road, Vishwanathapuram"/>
    <s v="Survey No.3/1, Plot No.2, 3 &amp; 4 ELCOT SEZ"/>
    <s v="Hosur"/>
    <s v="Krishnagiri"/>
    <n v="635109"/>
    <s v="TN"/>
    <s v="India"/>
    <n v="8"/>
    <n v="0"/>
    <n v="1"/>
    <n v="3"/>
    <s v="Sun"/>
    <m/>
  </r>
  <r>
    <n v="1009"/>
    <s v="Tpac Packaging India Pvt Ltd"/>
    <x v="888"/>
    <n v="1109"/>
    <s v="4030J LX"/>
    <m/>
    <d v="2024-01-24T00:00:00"/>
    <m/>
    <m/>
    <d v="2024-01-24T00:00:00"/>
    <d v="2025-01-23T00:00:00"/>
    <n v="3"/>
    <s v="Mr. Pankaj Yadav"/>
    <s v="New Product Development"/>
    <n v="7359931093"/>
    <m/>
    <s v="Survey No.215/3 Piparia Village"/>
    <m/>
    <s v="Silvassa"/>
    <n v="396230"/>
    <s v="DNH"/>
    <s v="India"/>
    <n v="2"/>
    <n v="1"/>
    <n v="1"/>
    <n v="1"/>
    <s v="Sun"/>
    <m/>
  </r>
  <r>
    <n v="1010"/>
    <s v="International Aerospace Manufacturing Pvt Ltd"/>
    <x v="887"/>
    <n v="1087"/>
    <s v="4020J LX"/>
    <m/>
    <d v="2024-01-25T00:00:00"/>
    <m/>
    <m/>
    <d v="2024-01-25T00:00:00"/>
    <d v="2026-01-24T00:00:00"/>
    <n v="3"/>
    <s v="Mr. Naveen.B.G"/>
    <s v="MRPC"/>
    <n v="8762080232"/>
    <s v="Bangalore East Taluk"/>
    <s v="Survey No.3   Varthur Hobli"/>
    <s v="Kempapura Village"/>
    <s v="Bangalore"/>
    <n v="560037"/>
    <s v="KA"/>
    <s v="India"/>
    <n v="8"/>
    <n v="0"/>
    <n v="1"/>
    <n v="3"/>
    <s v="Sun"/>
    <m/>
  </r>
  <r>
    <n v="1011"/>
    <s v="Byraveshwara Engg Enterprises"/>
    <x v="644"/>
    <n v="1089"/>
    <s v="2015J LX"/>
    <m/>
    <d v="2024-01-25T00:00:00"/>
    <m/>
    <m/>
    <d v="2024-01-25T00:00:00"/>
    <d v="2025-01-24T00:00:00"/>
    <n v="3"/>
    <s v="Mr. Arun  "/>
    <m/>
    <n v="9980516031"/>
    <s v="Magadi Main Road"/>
    <s v="#67/6 Byraveshwara Timber Behind"/>
    <s v="Seegehalli"/>
    <s v="Bangalore"/>
    <n v="562130"/>
    <s v="KA"/>
    <s v="India"/>
    <n v="8"/>
    <n v="0"/>
    <n v="4"/>
    <n v="1"/>
    <s v="Sun"/>
    <m/>
  </r>
  <r>
    <n v="1012"/>
    <s v="Sintex- BAPL Ltd"/>
    <x v="889"/>
    <n v="1110"/>
    <s v="4030J LX"/>
    <m/>
    <d v="2024-01-26T00:00:00"/>
    <m/>
    <m/>
    <d v="2024-01-26T00:00:00"/>
    <d v="2025-01-25T00:00:00"/>
    <n v="3"/>
    <s v="Mr. Suresh K  "/>
    <m/>
    <n v="7305070244"/>
    <s v="Ezhichur Village"/>
    <s v="Survey No.131-135  Ezhichur Main Road"/>
    <s v="Sriperumbudur Taluk"/>
    <s v="Kancheepuram"/>
    <n v="603204"/>
    <s v="TN"/>
    <s v="India"/>
    <n v="4"/>
    <n v="0"/>
    <n v="3"/>
    <n v="1"/>
    <s v="Sun"/>
    <m/>
  </r>
  <r>
    <n v="1013"/>
    <s v="Sasmos HET Technologies Ltd"/>
    <x v="890"/>
    <n v="1090"/>
    <s v="2015J LX"/>
    <m/>
    <d v="2024-01-29T00:00:00"/>
    <m/>
    <m/>
    <d v="2025-01-25T00:00:00"/>
    <d v="2026-01-24T00:00:00"/>
    <n v="3"/>
    <s v="Mr. Shivakumar Prasad"/>
    <s v="SQA "/>
    <n v="9606930957"/>
    <s v="KIADB Industrial Area"/>
    <s v="SEZ Zone, Plot No.1&amp;2 KIADB Aerospace SEZ"/>
    <s v="Channarayapatna Hobli, Devanahalli"/>
    <s v="Bangalore"/>
    <n v="562110"/>
    <s v="KA"/>
    <s v="India"/>
    <n v="8"/>
    <n v="0"/>
    <n v="7"/>
    <n v="1"/>
    <s v="Sun"/>
    <m/>
  </r>
  <r>
    <n v="1014"/>
    <s v="Unique Measurement Service"/>
    <x v="891"/>
    <n v="1112"/>
    <s v="4030J LX"/>
    <m/>
    <d v="2024-02-09T00:00:00"/>
    <m/>
    <m/>
    <d v="2024-02-09T00:00:00"/>
    <d v="2025-02-08T00:00:00"/>
    <n v="3"/>
    <m/>
    <m/>
    <m/>
    <s v="Behind to Tata Motors"/>
    <s v="Ground Floor Plot No. 74/74A/1_x000a_F 2nd Block"/>
    <s v="MIDC Pimpri"/>
    <s v="Pune"/>
    <m/>
    <s v="MH"/>
    <s v="India"/>
    <n v="2"/>
    <n v="4"/>
    <n v="1"/>
    <n v="1"/>
    <s v="Thu "/>
    <m/>
  </r>
  <r>
    <n v="1015"/>
    <s v="Pentagon Assembly Automation Pvt Ltd"/>
    <x v="892"/>
    <n v="1113"/>
    <s v="4030J LX"/>
    <m/>
    <d v="2024-02-16T00:00:00"/>
    <m/>
    <m/>
    <d v="2025-06-26T00:00:00"/>
    <d v="2026-06-25T00:00:00"/>
    <n v="3"/>
    <s v="Mr. Anand Joshi/ Mr. Murli Shirsat"/>
    <s v="QA Head/ Mgr- Purchase"/>
    <s v="9309847451 / 8390223583"/>
    <s v="Chinchwad Industrial Area"/>
    <s v="Plot D1-15/A &amp; D1-15/A Part MIDC"/>
    <m/>
    <s v="Pune"/>
    <n v="411019"/>
    <s v="MH"/>
    <s v="India"/>
    <n v="2"/>
    <n v="4"/>
    <n v="2"/>
    <n v="1"/>
    <s v="Thu"/>
    <m/>
  </r>
  <r>
    <n v="1016"/>
    <s v="Sakvinyal Solutions"/>
    <x v="893"/>
    <n v="1108"/>
    <s v="5030-Z25J LX"/>
    <m/>
    <d v="2024-02-21T00:00:00"/>
    <m/>
    <m/>
    <d v="2024-02-21T00:00:00"/>
    <d v="2025-02-20T00:00:00"/>
    <n v="3"/>
    <s v="Mr. Suresh Kumar"/>
    <s v="QC- Manager"/>
    <n v="9500475182"/>
    <s v="Kalipalayam"/>
    <s v="#6/303 South Garden"/>
    <s v="Vellamadai"/>
    <s v="Coimbatore"/>
    <n v="641110"/>
    <s v="TN"/>
    <s v="Indiia"/>
    <n v="4"/>
    <n v="1"/>
    <n v="1"/>
    <n v="2"/>
    <s v="Sun"/>
    <m/>
  </r>
  <r>
    <n v="1017"/>
    <s v="SVP Packaging (P) Ltd."/>
    <x v="24"/>
    <n v="1092"/>
    <s v="2015M LX"/>
    <m/>
    <d v="2024-02-22T00:00:00"/>
    <m/>
    <m/>
    <d v="2024-02-22T00:00:00"/>
    <d v="2025-02-21T00:00:00"/>
    <n v="3"/>
    <s v="Mr. Kalpesh Patil "/>
    <s v="Executive-Purchase Dept "/>
    <n v="9320299565"/>
    <s v="Village- Vasare"/>
    <s v="Unit-II: Survey No.40 Hissa No. 1, 2 &amp; 3"/>
    <s v="Palghar East"/>
    <s v="Palghar"/>
    <n v="401404"/>
    <s v="MH"/>
    <s v="India"/>
    <n v="2"/>
    <n v="1"/>
    <n v="1"/>
    <n v="2"/>
    <s v="Sun"/>
    <m/>
  </r>
  <r>
    <n v="1018"/>
    <s v="MBV Aerospace Pvt Ltd"/>
    <x v="894"/>
    <n v="1107"/>
    <s v="5030J LX"/>
    <m/>
    <d v="2024-02-26T00:00:00"/>
    <m/>
    <m/>
    <d v="2025-06-22T00:00:00"/>
    <d v="2026-06-21T00:00:00"/>
    <n v="3"/>
    <s v="Mr. Vinay M B/     Mr. Rakshith M"/>
    <s v="Founder CEO/ Exe-Accounts"/>
    <s v="9886134061 / 7899197384 "/>
    <m/>
    <s v="No.65-B Hootagalli Industrial Area"/>
    <m/>
    <s v="Mysuru"/>
    <n v="570018"/>
    <s v="KA"/>
    <s v="India"/>
    <n v="8"/>
    <n v="0"/>
    <n v="3"/>
    <n v="3"/>
    <s v="Sun"/>
    <m/>
  </r>
  <r>
    <n v="1019"/>
    <s v="Brakes India Pvt Ltd"/>
    <x v="895"/>
    <n v="1082"/>
    <s v="4020J LX"/>
    <m/>
    <d v="2024-02-27T00:00:00"/>
    <m/>
    <m/>
    <d v="2025-01-31T00:00:00"/>
    <d v="2026-01-30T00:00:00"/>
    <n v="3"/>
    <s v="Mr. K. Sridharan"/>
    <s v="QC-Head"/>
    <n v="8667815936"/>
    <s v="Arakonam Road 30"/>
    <s v="Plnt: BD09 Apache Division 30"/>
    <s v="Arakonam Road"/>
    <s v="Sholingur"/>
    <n v="631102"/>
    <s v="TN"/>
    <s v="India"/>
    <n v="4"/>
    <n v="0"/>
    <n v="3"/>
    <n v="4"/>
    <s v="Sun"/>
    <m/>
  </r>
  <r>
    <n v="1020"/>
    <s v="J.J Glastronics Pvt Ltd"/>
    <x v="896"/>
    <n v="1106"/>
    <s v="5030-Z25J LX"/>
    <m/>
    <d v="2024-03-14T00:00:00"/>
    <m/>
    <m/>
    <d v="2024-03-14T00:00:00"/>
    <d v="2025-03-13T00:00:00"/>
    <n v="3"/>
    <s v="Mr. Basavaraj"/>
    <s v="QC Dept"/>
    <m/>
    <s v="18th KM"/>
    <s v="No.25A Electronics City"/>
    <s v="Hosur Road "/>
    <s v="Bangalore"/>
    <n v="560100"/>
    <s v="KA"/>
    <s v="India"/>
    <n v="8"/>
    <n v="0"/>
    <n v="1"/>
    <n v="3"/>
    <s v="Sun"/>
    <m/>
  </r>
  <r>
    <n v="1021"/>
    <s v="Newlight Art Works Pvt Ltd"/>
    <x v="897"/>
    <n v="1091"/>
    <s v="2015J LX"/>
    <m/>
    <d v="2024-03-14T00:00:00"/>
    <m/>
    <m/>
    <d v="2024-03-14T00:00:00"/>
    <d v="2025-03-13T00:00:00"/>
    <n v="3"/>
    <s v="Mr. Shishu Pal Sing"/>
    <m/>
    <n v="9587230000"/>
    <s v="Phase-1, Opp. ACP Police Office"/>
    <s v="Plot No.F-62 RIICO Industrial Area"/>
    <s v="Boranada"/>
    <s v="Jodhpur"/>
    <n v="342012"/>
    <s v="RJ"/>
    <s v="India"/>
    <n v="1"/>
    <n v="0"/>
    <n v="0"/>
    <n v="2"/>
    <s v="Sun"/>
    <m/>
  </r>
  <r>
    <n v="1022"/>
    <s v="Terminal Technologies (I) Pvt Ltd"/>
    <x v="718"/>
    <n v="1077"/>
    <s v="2015J LX"/>
    <m/>
    <d v="2024-03-14T00:00:00"/>
    <m/>
    <m/>
    <d v="2024-03-14T00:00:00"/>
    <d v="2026-03-13T00:00:00"/>
    <n v="3"/>
    <s v="Mr. Sadanand Gharat"/>
    <m/>
    <n v="9545455067"/>
    <s v="Survey No. 158/2/2, Survey No. 157/1/1"/>
    <s v="Tesla Industrial Estate Gala No. 1,2 &amp; 101, 102, Survey No. 158/2/1/B"/>
    <s v="Village: Kaman, Taluk: Vasai"/>
    <s v="Palghar"/>
    <m/>
    <s v="MH"/>
    <s v="India"/>
    <n v="2"/>
    <n v="1"/>
    <n v="1"/>
    <n v="2"/>
    <s v="Sun"/>
    <m/>
  </r>
  <r>
    <n v="1023"/>
    <s v="Master Components Ltd"/>
    <x v="898"/>
    <n v="1114"/>
    <s v="4020J LX"/>
    <m/>
    <d v="2024-03-15T00:00:00"/>
    <m/>
    <m/>
    <d v="2024-03-15T00:00:00"/>
    <d v="2025-03-14T00:00:00"/>
    <n v="3"/>
    <s v="Mr. "/>
    <m/>
    <m/>
    <m/>
    <s v="# D-10/A and D-10/B MIDC"/>
    <s v="Ambad"/>
    <s v="Nashik"/>
    <n v="422010"/>
    <s v="MH"/>
    <s v="India"/>
    <n v="2"/>
    <n v="3"/>
    <n v="0"/>
    <n v="1"/>
    <s v="Sat "/>
    <m/>
  </r>
  <r>
    <n v="1024"/>
    <s v="Aalpha Systems and Engg Pvt Ltd"/>
    <x v="899"/>
    <n v="1115"/>
    <s v="4020J LX"/>
    <m/>
    <d v="2024-03-17T00:00:00"/>
    <m/>
    <m/>
    <d v="2024-03-17T00:00:00"/>
    <d v="2025-03-16T00:00:00"/>
    <n v="3"/>
    <s v="Mr. Ganesh Mallya"/>
    <s v="MD"/>
    <n v="8050066570"/>
    <s v="Bashettalli"/>
    <s v="No.A-108 &amp; 107 KSSIDC Industrial Estate"/>
    <s v="Doddaballapur"/>
    <s v="Bangalore"/>
    <n v="561203"/>
    <s v="KA"/>
    <s v="India"/>
    <n v="8"/>
    <n v="0"/>
    <n v="6"/>
    <n v="1"/>
    <s v="Sun"/>
    <m/>
  </r>
  <r>
    <n v="1025"/>
    <s v="Vform Technopack Pvt Ltd"/>
    <x v="900"/>
    <n v="1118"/>
    <s v="4030J LX"/>
    <m/>
    <d v="2024-03-19T00:00:00"/>
    <m/>
    <m/>
    <d v="2024-03-19T00:00:00"/>
    <d v="2025-03-18T00:00:00"/>
    <n v="3"/>
    <s v="Mr. Mukesh Kumar"/>
    <m/>
    <n v="8686104085"/>
    <s v="TTC Industrial Area, Indira Nagar"/>
    <s v="Unit No. B-201 Everest Nivara Infotech Park-1, Plot No.D-3"/>
    <s v="MIDC Industrial Area, Turbhe"/>
    <s v="Navi Mumbai"/>
    <n v="400705"/>
    <s v="MH"/>
    <s v="India"/>
    <n v="2"/>
    <n v="2"/>
    <n v="2"/>
    <n v="4"/>
    <s v="Sun"/>
    <m/>
  </r>
  <r>
    <n v="1026"/>
    <s v="Varroc Engg Limited"/>
    <x v="901"/>
    <n v="1116"/>
    <s v="4020J LX"/>
    <m/>
    <d v="2024-03-19T00:00:00"/>
    <m/>
    <m/>
    <d v="2024-03-19T00:00:00"/>
    <d v="2025-03-18T00:00:00"/>
    <n v="3"/>
    <s v="Mr. Pradeep Kulkarni"/>
    <s v="QC- Dept"/>
    <n v="9665245453"/>
    <s v="MIDC Industrial Area"/>
    <s v="Plant: 1400-VEL-iV M-140-141"/>
    <s v="Waluj"/>
    <s v="Aurangabad"/>
    <n v="431136"/>
    <s v="MH"/>
    <s v="India"/>
    <n v="2"/>
    <n v="0"/>
    <n v="2"/>
    <n v="1"/>
    <s v="Sun"/>
    <m/>
  </r>
  <r>
    <n v="1027"/>
    <s v="SITRA (Candid Micron)"/>
    <x v="902"/>
    <n v="1117"/>
    <s v="4020J LX"/>
    <m/>
    <d v="2024-03-30T00:00:00"/>
    <m/>
    <m/>
    <d v="2024-03-30T00:00:00"/>
    <d v="2025-03-29T00:00:00"/>
    <n v="3"/>
    <s v="Ms. Babita"/>
    <m/>
    <s v="04222-574367"/>
    <s v="Coimbatore Aerodrome Post"/>
    <s v="No. 13/37 Avinashi Road"/>
    <m/>
    <s v="Coimbatore"/>
    <n v="641014"/>
    <s v="TN"/>
    <s v="India"/>
    <n v="4"/>
    <n v="1"/>
    <n v="1"/>
    <n v="2"/>
    <s v="Sun"/>
    <m/>
  </r>
  <r>
    <n v="1028"/>
    <s v="L.G. Balakrishnan &amp; Bros Ltd (Candid Micron Measurements Pvt Ltd)"/>
    <x v="903"/>
    <n v="1128"/>
    <s v="4020J LX"/>
    <m/>
    <d v="2024-03-30T00:00:00"/>
    <m/>
    <m/>
    <d v="2024-03-30T00:00:00"/>
    <d v="2025-03-29T00:00:00"/>
    <n v="3"/>
    <s v="Mr. Vishwanathan"/>
    <s v="Maint- Head"/>
    <n v="9095103323"/>
    <s v="Vedasanthur (TK)"/>
    <s v="Rooled Steel Products Division (RSDP) D. Gudalur Post"/>
    <s v="Karur Via, Dindigul (DT)"/>
    <s v="Karur"/>
    <n v="639010"/>
    <s v="TN"/>
    <s v="India"/>
    <n v="0"/>
    <n v="0"/>
    <n v="0"/>
    <n v="0"/>
    <n v="0"/>
    <m/>
  </r>
  <r>
    <n v="1029"/>
    <s v="Elgi Equipments Ltd (Candid Micron)"/>
    <x v="904"/>
    <n v="1129"/>
    <s v="4020J LX"/>
    <m/>
    <d v="2024-03-30T00:00:00"/>
    <m/>
    <m/>
    <d v="2024-03-30T00:00:00"/>
    <d v="2025-03-29T00:00:00"/>
    <n v="3"/>
    <s v="Mr. M.Dakshinamoorthy "/>
    <s v="Sr. Engineer Metrology"/>
    <n v="9600888291"/>
    <m/>
    <s v=" "/>
    <s v="Kinathukadavu"/>
    <s v="Coimbatore"/>
    <n v="642109"/>
    <s v="TN"/>
    <s v="India"/>
    <n v="4"/>
    <n v="1"/>
    <n v="3"/>
    <n v="1"/>
    <s v="Sun"/>
    <m/>
  </r>
  <r>
    <n v="1030"/>
    <s v="Yashwitha Aerotech"/>
    <x v="905"/>
    <n v="1127"/>
    <s v="4020J LX"/>
    <m/>
    <d v="2024-03-30T00:00:00"/>
    <m/>
    <m/>
    <d v="2024-03-30T00:00:00"/>
    <d v="2025-03-29T00:00:00"/>
    <n v="3"/>
    <s v="Mr. Pradeeo Gowda"/>
    <m/>
    <n v="9845454148"/>
    <s v="Thigalarapalya Main Road"/>
    <s v="#17/1 &amp; 18/1 7th A Cross Road, Balaji Nagar"/>
    <s v="Peenya 2nd Stage"/>
    <s v="Bangalore"/>
    <n v="560058"/>
    <s v="KA"/>
    <s v="India"/>
    <n v="0"/>
    <n v="0"/>
    <n v="0"/>
    <n v="0"/>
    <n v="0"/>
    <m/>
  </r>
  <r>
    <n v="1031"/>
    <s v="Delta CNC Applications"/>
    <x v="906"/>
    <n v="1119"/>
    <s v="4030J LX"/>
    <m/>
    <d v="2024-03-30T00:00:00"/>
    <m/>
    <m/>
    <d v="2024-03-30T00:00:00"/>
    <d v="2025-03-29T00:00:00"/>
    <n v="3"/>
    <s v="Mr. V. Natarajan"/>
    <s v="CEO"/>
    <n v="9443366306"/>
    <s v="SIDCO Industrial Estate"/>
    <s v=" No. C-3"/>
    <s v="1st Phase"/>
    <s v="Hosur"/>
    <n v="635126"/>
    <s v="TN"/>
    <s v="India"/>
    <n v="8"/>
    <n v="0"/>
    <n v="1"/>
    <n v="3"/>
    <s v="Sun"/>
    <m/>
  </r>
  <r>
    <n v="1032"/>
    <s v="SML Plastcrafts Pvt Ltd"/>
    <x v="907"/>
    <n v="1122"/>
    <s v="5030J LX"/>
    <m/>
    <d v="2024-04-11T00:00:00"/>
    <m/>
    <m/>
    <d v="2024-04-11T00:00:00"/>
    <d v="2027-04-10T00:00:00"/>
    <n v="3"/>
    <s v="Mr. satish Swami"/>
    <m/>
    <n v="9810445269"/>
    <s v="Detroj"/>
    <s v="Plot No.557 - 558 Village- Dekawada"/>
    <s v="Rampura"/>
    <s v="Ahmedabad"/>
    <n v="382120"/>
    <s v="KL"/>
    <s v="India"/>
    <n v="2"/>
    <n v="4"/>
    <n v="3"/>
    <n v="1"/>
    <s v="Thu"/>
    <m/>
  </r>
  <r>
    <n v="1033"/>
    <s v="Anand Engg"/>
    <x v="908"/>
    <n v="1095"/>
    <s v="2015J LX"/>
    <m/>
    <d v="2024-04-19T00:00:00"/>
    <m/>
    <m/>
    <d v="2024-04-19T00:00:00"/>
    <d v="2025-04-18T00:00:00"/>
    <n v="3"/>
    <s v="Mr. Arivu Shiva"/>
    <s v="Proprietor"/>
    <n v="9448332574"/>
    <s v="Near Bostik India Pvt Ltd"/>
    <s v="Site No.221 Kachanayakanahalli"/>
    <s v="Bommasandra Industrial Area"/>
    <s v="Bangalore"/>
    <n v="560099"/>
    <s v="KA"/>
    <s v="India"/>
    <n v="8"/>
    <n v="0"/>
    <n v="1"/>
    <n v="2"/>
    <s v="Sun"/>
    <m/>
  </r>
  <r>
    <n v="1034"/>
    <s v="Go Green Overseas"/>
    <x v="909"/>
    <n v="1126"/>
    <s v="4020J LX"/>
    <m/>
    <d v="2024-04-20T00:00:00"/>
    <m/>
    <m/>
    <d v="2024-04-20T00:00:00"/>
    <d v="2025-04-19T00:00:00"/>
    <n v="3"/>
    <s v="Mr. Khunal Guhagiya/ Mr. Debojit Ganguly"/>
    <m/>
    <s v="8128989635 / 9327568642"/>
    <s v="Near Shiv Weigh Bridge"/>
    <s v="Shree Ram Industrial Zone Sy No.31, Plot No.114, Near Ganga Forg Gate"/>
    <s v="Gondal Highway Shapar"/>
    <s v="Rajkot"/>
    <n v="360024"/>
    <s v="GJ"/>
    <s v="India"/>
    <n v="5"/>
    <n v="3"/>
    <n v="0"/>
    <n v="1"/>
    <s v="Wed"/>
    <m/>
  </r>
  <r>
    <n v="1035"/>
    <s v="Bharati Innovative Technocrafts Pvt Ltd"/>
    <x v="910"/>
    <n v="1097"/>
    <s v="2015J LX"/>
    <m/>
    <d v="2024-04-30T00:00:00"/>
    <m/>
    <m/>
    <d v="2024-04-30T00:00:00"/>
    <d v="2025-04-29T00:00:00"/>
    <n v="3"/>
    <s v="Mr. Govardhan Reddy"/>
    <m/>
    <n v="7498751192"/>
    <s v="Aparna Palm Groves"/>
    <s v="H. No.7/88-P1/58A Plot No.58, Phase-1"/>
    <s v="Kompally"/>
    <s v="Hyderabad"/>
    <n v="500014"/>
    <s v="TS"/>
    <s v="India"/>
    <n v="6"/>
    <n v="0"/>
    <n v="2"/>
    <n v="1"/>
    <s v="Sun"/>
    <m/>
  </r>
  <r>
    <n v="1036"/>
    <s v="Mold-Tek Packaging Ltd"/>
    <x v="706"/>
    <n v="1120"/>
    <s v="4030J LX"/>
    <m/>
    <d v="2024-04-30T00:00:00"/>
    <m/>
    <m/>
    <d v="2024-04-30T00:00:00"/>
    <d v="2026-04-29T00:00:00"/>
    <n v="3"/>
    <s v="Mr. Ramakrishna / Manoj Babu"/>
    <s v="Tool Room/-"/>
    <s v="9618526655 / 7095706444"/>
    <s v="Annaram Village"/>
    <s v="Works: Sy No.54 55A &amp; 71"/>
    <s v="Jinnaram"/>
    <s v="Hyderabad"/>
    <n v="502313"/>
    <s v="TS"/>
    <s v="India"/>
    <n v="6"/>
    <n v="0"/>
    <n v="2"/>
    <n v="1"/>
    <s v="Sun"/>
    <m/>
  </r>
  <r>
    <n v="1037"/>
    <s v="Tarson Products Ltd"/>
    <x v="911"/>
    <n v="1096"/>
    <s v="2015J LX"/>
    <m/>
    <d v="2024-04-30T00:00:00"/>
    <m/>
    <m/>
    <d v="2024-04-30T00:00:00"/>
    <d v="2026-04-29T00:00:00"/>
    <n v="3"/>
    <s v="Mr. Suresh HV"/>
    <m/>
    <n v="7980969689"/>
    <m/>
    <s v="700B Martin Burn Business Park"/>
    <m/>
    <s v="Kolkata"/>
    <n v="700091"/>
    <s v="WB"/>
    <s v="India"/>
    <n v="8"/>
    <n v="0"/>
    <n v="0"/>
    <n v="5"/>
    <s v="Sun"/>
    <m/>
  </r>
  <r>
    <n v="1038"/>
    <s v="Aashirwad Filcomps Pvt Ltd"/>
    <x v="912"/>
    <n v="1098"/>
    <s v="2015J LX"/>
    <m/>
    <d v="2024-05-15T00:00:00"/>
    <m/>
    <m/>
    <d v="2024-05-15T00:00:00"/>
    <d v="2026-05-14T00:00:00"/>
    <n v="3"/>
    <s v="Mr. Rakesh Rawat"/>
    <m/>
    <n v="9818458209"/>
    <s v="IMT Faridabad"/>
    <s v="Plot No.886 Sector-69"/>
    <m/>
    <s v="Faridabad"/>
    <n v="121004"/>
    <s v="HR"/>
    <s v="India"/>
    <n v="1"/>
    <n v="1"/>
    <n v="6"/>
    <n v="1"/>
    <s v="Sun"/>
    <m/>
  </r>
  <r>
    <n v="1039"/>
    <s v="Toshee Industries Pvt Ltd "/>
    <x v="913"/>
    <n v="1099"/>
    <s v="2015J LX"/>
    <m/>
    <d v="2024-05-15T00:00:00"/>
    <m/>
    <m/>
    <d v="2024-05-15T00:00:00"/>
    <d v="2025-05-14T00:00:00"/>
    <n v="3"/>
    <s v="Mr. Dinesh Sharma"/>
    <m/>
    <n v="7982040159"/>
    <s v="Jadavapura Cross Road"/>
    <s v="Shed No.E31-32 Mascot Industrial Park"/>
    <s v="Kadi"/>
    <s v="Mehasana"/>
    <n v="384440"/>
    <s v="GJ"/>
    <s v="India"/>
    <n v="5"/>
    <n v="0"/>
    <n v="2"/>
    <n v="1"/>
    <s v="Sun"/>
    <m/>
  </r>
  <r>
    <n v="1040"/>
    <s v="Automatic Instruments Pvt Ltd "/>
    <x v="914"/>
    <n v="1138"/>
    <s v="2015J LX"/>
    <m/>
    <d v="2024-05-20T00:00:00"/>
    <m/>
    <m/>
    <d v="2024-05-20T00:00:00"/>
    <d v="2025-05-19T00:00:00"/>
    <n v="3"/>
    <s v="Mr. Chaman Dixit/ Mr. Pramod Wadhwa"/>
    <s v="Purchase / -"/>
    <s v="9599011244 / 9811027785"/>
    <s v="Begumpur Khatola"/>
    <s v="39/7 39th Mile Stone"/>
    <s v="Sector-35"/>
    <s v="Gurgaon"/>
    <n v="122001"/>
    <s v="HR"/>
    <s v="India"/>
    <n v="1"/>
    <n v="1"/>
    <n v="1"/>
    <n v="1"/>
    <s v="Sun"/>
    <m/>
  </r>
  <r>
    <n v="1041"/>
    <s v="Jayashree Polymers Pvt Ltd"/>
    <x v="915"/>
    <n v="1121"/>
    <s v="4030J LX"/>
    <m/>
    <d v="2024-05-29T00:00:00"/>
    <m/>
    <m/>
    <d v="2025-04-01T00:00:00"/>
    <d v="2026-03-31T00:00:00"/>
    <n v="3"/>
    <s v="Mr. Shankar (MH)/ Mr. Raman (TN)"/>
    <s v="QC-Head/ QA"/>
    <s v="9545239254/ 9345832002"/>
    <s v="Sy No. 167 (Pt) &amp; 171 (P)"/>
    <s v="Unit-6 Plot No.141"/>
    <s v="SIPCOT Industrial Area"/>
    <s v="Hosur"/>
    <n v="635126"/>
    <s v="TN"/>
    <s v="India"/>
    <n v="8"/>
    <n v="0"/>
    <n v="1"/>
    <n v="3"/>
    <s v="Sun"/>
    <m/>
  </r>
  <r>
    <n v="1042"/>
    <s v="VMX-Hi Connectrors Pvt Ltd"/>
    <x v="916"/>
    <n v="1123"/>
    <s v="5030-Z25J LX"/>
    <m/>
    <d v="2024-06-07T00:00:00"/>
    <m/>
    <m/>
    <d v="2025-06-03T00:00:00"/>
    <d v="2026-06-02T00:00:00"/>
    <n v="3"/>
    <s v="Mr. Dhananjaya"/>
    <s v="MD"/>
    <n v="7022043409"/>
    <s v="Harohalli Industrial Area"/>
    <s v="#302B 2nd Phase"/>
    <s v="Bannikuppe Road"/>
    <s v="Kanakapura"/>
    <n v="562112"/>
    <s v="KA"/>
    <s v="India"/>
    <n v="8"/>
    <n v="0"/>
    <n v="2"/>
    <n v="2"/>
    <s v="Sun"/>
    <m/>
  </r>
  <r>
    <n v="1043"/>
    <s v="Eureka Extrusions and Finishers"/>
    <x v="917"/>
    <n v="1139"/>
    <s v="2015J LX"/>
    <m/>
    <d v="2024-06-09T00:00:00"/>
    <m/>
    <m/>
    <d v="2025-06-08T00:00:00"/>
    <d v="2026-06-07T00:00:00"/>
    <n v="3"/>
    <s v="Mr. Ramakrishna"/>
    <m/>
    <n v="7829770406"/>
    <s v="Kadakola"/>
    <s v="#134 Kadakola Industrial Area"/>
    <m/>
    <s v="Mysore"/>
    <n v="571311"/>
    <s v="KA"/>
    <s v="India"/>
    <n v="8"/>
    <n v="0"/>
    <n v="3"/>
    <n v="3"/>
    <s v="Sun"/>
    <m/>
  </r>
  <r>
    <n v="1044"/>
    <s v="Lumax ALPS Alpine India Pvt Ltd"/>
    <x v="918"/>
    <n v="1130"/>
    <s v="4030J LX"/>
    <m/>
    <d v="2024-06-19T00:00:00"/>
    <m/>
    <m/>
    <d v="2025-06-16T00:00:00"/>
    <d v="2026-06-15T00:00:00"/>
    <n v="3"/>
    <s v="Mr. Praveen Siwach"/>
    <m/>
    <n v="9540936162"/>
    <s v="Infocity - II"/>
    <s v="Basement Ground Floor, D-26,27"/>
    <s v="Sector-33"/>
    <s v="Gurgoan"/>
    <n v="122001"/>
    <s v="HR"/>
    <s v="India"/>
    <n v="1"/>
    <n v="1"/>
    <n v="1"/>
    <n v="1"/>
    <s v="Sun"/>
    <m/>
  </r>
  <r>
    <n v="1045"/>
    <s v="Ennovi Mobility Solutions India Pvt Ltd"/>
    <x v="919"/>
    <n v="1134"/>
    <s v="4020J LX"/>
    <m/>
    <d v="2024-06-19T00:00:00"/>
    <m/>
    <m/>
    <d v="2024-06-19T00:00:00"/>
    <d v="2025-06-18T00:00:00"/>
    <n v="3"/>
    <s v="Mr. Jaydeep"/>
    <m/>
    <n v="7795275754"/>
    <s v="Electronics City"/>
    <s v="(Interplex Electronics India Pvt Ltd) 89A, Hosur Road "/>
    <s v="Phase-1"/>
    <s v="Bangalore"/>
    <n v="560100"/>
    <s v="KA"/>
    <s v="Indiia"/>
    <n v="8"/>
    <n v="0"/>
    <n v="1"/>
    <n v="1"/>
    <s v="Sun"/>
    <m/>
  </r>
  <r>
    <n v="1046"/>
    <s v="VMX-Hi Connectrors Pvt Ltd"/>
    <x v="916"/>
    <n v="1124"/>
    <s v="5030-Z25J LX"/>
    <m/>
    <d v="2024-06-26T00:00:00"/>
    <m/>
    <m/>
    <d v="2024-06-26T00:00:00"/>
    <d v="2025-06-25T00:00:00"/>
    <n v="3"/>
    <s v="Mr. Dhananjaya"/>
    <m/>
    <n v="7022043409"/>
    <s v="Vennala P.O"/>
    <s v="1st Floor     Adhappilly"/>
    <m/>
    <s v="Cochin"/>
    <n v="682028"/>
    <s v="KL"/>
    <s v="India"/>
    <n v="8"/>
    <n v="0"/>
    <n v="2"/>
    <n v="2"/>
    <s v="Sun"/>
    <m/>
  </r>
  <r>
    <n v="1047"/>
    <s v="Astr Defence Pvt Ltd"/>
    <x v="920"/>
    <n v="1140"/>
    <s v="2015J LX"/>
    <m/>
    <d v="2024-06-30T00:00:00"/>
    <m/>
    <m/>
    <d v="2024-06-30T00:00:00"/>
    <d v="2025-06-29T00:00:00"/>
    <n v="3"/>
    <s v="Mr. Lokesh Koravi/ Ankush Koravi"/>
    <s v="MD / CEO"/>
    <s v="9448142160 / 9481731927"/>
    <s v="Kalghatgi Taluk"/>
    <s v="4/2A Kadankoppa"/>
    <m/>
    <s v="Dharwad"/>
    <n v="581204"/>
    <s v="KA"/>
    <s v="India"/>
    <n v="8"/>
    <n v="0"/>
    <n v="0"/>
    <n v="1"/>
    <s v="Sun"/>
    <m/>
  </r>
  <r>
    <n v="1048"/>
    <s v="Wipro Enterprises Pvt Ltd"/>
    <x v="921"/>
    <n v="1136"/>
    <s v="4020J LX"/>
    <m/>
    <d v="2024-07-05T00:00:00"/>
    <m/>
    <m/>
    <d v="2025-06-25T00:00:00"/>
    <d v="2026-06-24T00:00:00"/>
    <n v="3"/>
    <s v="Mr. Shivraj Patil"/>
    <s v="Asst. Engineer- QA"/>
    <n v="9739180698"/>
    <s v="Bangalore North"/>
    <s v="Plot No.21 Bengaluru Aerospace SEZ Devanahalli"/>
    <m/>
    <s v="Bangalore"/>
    <n v="562129"/>
    <s v="KA"/>
    <s v="India"/>
    <n v="8"/>
    <n v="0"/>
    <n v="7"/>
    <n v="1"/>
    <s v="Sun"/>
    <m/>
  </r>
  <r>
    <n v="1049"/>
    <s v="Bhavani Machining Solutions Pvt Ltd"/>
    <x v="922"/>
    <n v="1141"/>
    <s v="2015J LX"/>
    <m/>
    <d v="2024-07-11T00:00:00"/>
    <m/>
    <m/>
    <d v="2024-07-11T00:00:00"/>
    <d v="2025-07-10T00:00:00"/>
    <n v="3"/>
    <s v="Mr. Sreenivasan.K"/>
    <m/>
    <n v="9840624198"/>
    <s v="1st Left Cross Electronics City"/>
    <s v="First Floor, Survey No.16/4 Silicon Town Main Road"/>
    <s v="Phase-2, Doddanagamangala"/>
    <s v="Bangalore"/>
    <n v="560100"/>
    <s v="KA"/>
    <s v="India"/>
    <n v="8"/>
    <n v="0"/>
    <n v="1"/>
    <n v="1"/>
    <s v="Sun"/>
    <m/>
  </r>
  <r>
    <n v="1050"/>
    <s v="Siddhatva Engg Pvt Ltd"/>
    <x v="923"/>
    <n v="1137"/>
    <s v="4020J LX"/>
    <m/>
    <d v="2024-07-25T00:00:00"/>
    <m/>
    <m/>
    <d v="2024-07-25T00:00:00"/>
    <d v="2025-07-24T00:00:00"/>
    <n v="3"/>
    <s v="Mr. Dinesh"/>
    <s v="Proprietor"/>
    <n v="7829817971"/>
    <s v="Opp. Western Weigh Bridge"/>
    <s v="Gat No.286/2 Behind Suraj Hotel"/>
    <s v="Nanekarwadi, Chakan"/>
    <s v="Pune"/>
    <n v="410501"/>
    <s v="MH"/>
    <s v="India"/>
    <n v="2"/>
    <n v="4"/>
    <n v="2"/>
    <n v="1"/>
    <s v="Thu"/>
    <m/>
  </r>
  <r>
    <n v="1051"/>
    <s v="BRS Precision Manufacturing Pvt. Ltd.,"/>
    <x v="924"/>
    <n v="1143"/>
    <s v="2015J LX"/>
    <m/>
    <d v="2024-07-25T00:00:00"/>
    <m/>
    <m/>
    <d v="2024-07-25T00:00:00"/>
    <d v="2025-07-24T00:00:00"/>
    <n v="3"/>
    <s v="Mr. Basavaraj"/>
    <m/>
    <n v="8748013801"/>
    <s v="Harohalli Industrial Area"/>
    <s v="1-A, 1st Phase   Survey No.70"/>
    <s v="Kanakapura Taluk"/>
    <s v="Ramnagar"/>
    <n v="562112"/>
    <s v="KA"/>
    <s v="India"/>
    <n v="8"/>
    <n v="0"/>
    <n v="2"/>
    <n v="2"/>
    <s v="Sun"/>
    <m/>
  </r>
  <r>
    <n v="1052"/>
    <s v="Hulgol Aerospace Private Limited"/>
    <x v="925"/>
    <n v="1142"/>
    <s v="2015J LX"/>
    <m/>
    <d v="2024-07-26T00:00:00"/>
    <m/>
    <m/>
    <d v="2024-07-26T00:00:00"/>
    <d v="2025-07-25T00:00:00"/>
    <n v="3"/>
    <s v="Mr. Manjunath"/>
    <m/>
    <n v="9900433608"/>
    <s v="Doddanna Industrial Area"/>
    <s v="Site No.29    11th Cross Road"/>
    <s v="Hegganahalli"/>
    <s v="Bangalore"/>
    <n v="560091"/>
    <s v="KA"/>
    <s v="India"/>
    <n v="8"/>
    <n v="0"/>
    <n v="5"/>
    <n v="1"/>
    <s v="Sun"/>
    <m/>
  </r>
  <r>
    <n v="1053"/>
    <s v="Bosch Ltd"/>
    <x v="926"/>
    <n v="1152"/>
    <s v="2015-Z25J LX"/>
    <m/>
    <d v="2024-07-29T00:00:00"/>
    <m/>
    <m/>
    <d v="2025-07-28T00:00:00"/>
    <d v="2026-07-27T00:00:00"/>
    <n v="3"/>
    <s v="Mr. Jayakaran"/>
    <m/>
    <n v="8939865344"/>
    <s v="SIPCOT Industrial Growth Centre"/>
    <s v="ChiP, Plot No.A 45708"/>
    <s v="Oragadam, Sriperumbudur"/>
    <s v="Kancheepuram"/>
    <n v="602105"/>
    <s v="TN"/>
    <s v="India"/>
    <n v="4"/>
    <n v="0"/>
    <n v="3"/>
    <n v="1"/>
    <s v="Sun"/>
    <m/>
  </r>
  <r>
    <n v="1054"/>
    <s v="MARS Electronics "/>
    <x v="840"/>
    <n v="373"/>
    <s v="2015J LX-LX"/>
    <m/>
    <d v="2024-08-19T00:00:00"/>
    <m/>
    <m/>
    <d v="2024-08-19T00:00:00"/>
    <d v="2025-08-18T00:00:00"/>
    <n v="3"/>
    <s v="Mr. Jyotish"/>
    <m/>
    <n v="7022043400"/>
    <s v="Doddakallasandra"/>
    <s v="No.33,34 &amp;35 Sree Annapurneshwari Industrial Estate"/>
    <s v="Kanakapura Road"/>
    <s v="Bangalore"/>
    <n v="560062"/>
    <s v="KA"/>
    <s v="India"/>
    <n v="8"/>
    <n v="0"/>
    <n v="2"/>
    <n v="2"/>
    <s v="Sun"/>
    <m/>
  </r>
  <r>
    <n v="1055"/>
    <s v="Sinhal Udyog Pvt Ltd"/>
    <x v="927"/>
    <n v="1131"/>
    <s v="4030-Z25J LX"/>
    <m/>
    <d v="2024-08-23T00:00:00"/>
    <m/>
    <m/>
    <d v="2024-08-23T00:00:00"/>
    <d v="2025-08-22T00:00:00"/>
    <n v="3"/>
    <s v="Mr. Nikunj Gupta/ Mr. Surender "/>
    <m/>
    <s v="8860253376/ 9017403007"/>
    <s v="Gautam Budh Nagar"/>
    <s v="Plot No.20, Block 1 &amp; 2 Knowledge Park- III"/>
    <m/>
    <s v="Greater Noida"/>
    <n v="201306"/>
    <s v="UP"/>
    <s v="India"/>
    <n v="1"/>
    <n v="1"/>
    <n v="5"/>
    <n v="2"/>
    <s v="Sun"/>
    <m/>
  </r>
  <r>
    <n v="1056"/>
    <s v="Elcko Mould Centre (Kads Engg Solutions)"/>
    <x v="928"/>
    <n v="1153"/>
    <s v="2015J LX"/>
    <m/>
    <d v="2024-08-25T00:00:00"/>
    <m/>
    <m/>
    <d v="2024-08-25T00:00:00"/>
    <d v="2025-08-24T00:00:00"/>
    <n v="3"/>
    <s v="Mr. Anuraj Bhasi"/>
    <m/>
    <n v="7012868648"/>
    <s v="Kayamkulam"/>
    <s v="Building No.480/KMC/41 Keerikkad South"/>
    <m/>
    <s v="Alapuzha"/>
    <n v="690502"/>
    <s v="KL"/>
    <s v="India"/>
    <n v="4"/>
    <n v="1"/>
    <n v="0"/>
    <n v="3"/>
    <s v="Sun"/>
    <m/>
  </r>
  <r>
    <n v="1057"/>
    <s v="Brukar Metal Components Pvt Ltd"/>
    <x v="929"/>
    <n v="1125"/>
    <s v="5030-Z25J LX"/>
    <m/>
    <d v="2024-08-26T00:00:00"/>
    <m/>
    <m/>
    <d v="2024-08-26T00:00:00"/>
    <d v="2025-08-25T00:00:00"/>
    <n v="3"/>
    <s v="Mr. Subramaniam/ Mr. Karthik"/>
    <s v="MD/ QC-Head"/>
    <s v="9663313186 / 9164333902"/>
    <s v="Gottigeri Main Road"/>
    <s v="Survey No.179/2K Kothanur Village"/>
    <s v="Anjanapura Post"/>
    <s v="Bangalore"/>
    <n v="560062"/>
    <s v="KA"/>
    <s v="India"/>
    <n v="8"/>
    <n v="0"/>
    <n v="2"/>
    <n v="3"/>
    <s v="Sun"/>
    <m/>
  </r>
  <r>
    <n v="1058"/>
    <s v="Spark Engineers"/>
    <x v="930"/>
    <n v="1145"/>
    <s v="4020J LX"/>
    <m/>
    <d v="2024-08-27T00:00:00"/>
    <m/>
    <m/>
    <d v="2024-08-27T00:00:00"/>
    <d v="2025-08-26T00:00:00"/>
    <n v="3"/>
    <s v="Mr. Nagaraj Karnan"/>
    <s v="Purchase dept"/>
    <n v="7339145963"/>
    <s v="Srinagar"/>
    <s v="Plot No. 11 &amp; 11-A New SIDCO Industrial Estate"/>
    <m/>
    <s v="Hosur"/>
    <n v="635109"/>
    <s v="TN"/>
    <s v="India"/>
    <n v="8"/>
    <n v="0"/>
    <n v="1"/>
    <n v="3"/>
    <s v="Sun"/>
    <m/>
  </r>
  <r>
    <n v="1059"/>
    <s v="Rollon Hydraulics Pvt Ltd"/>
    <x v="931"/>
    <n v="1144"/>
    <s v="4020J LX"/>
    <m/>
    <d v="2024-08-28T00:00:00"/>
    <m/>
    <m/>
    <d v="2024-08-28T00:00:00"/>
    <d v="2025-08-27T00:00:00"/>
    <n v="3"/>
    <s v="Mr. Anand Patil"/>
    <m/>
    <n v="9986650213"/>
    <s v="8th Cross"/>
    <s v="No.271 4th Phase"/>
    <s v="Peenya Industrial Area"/>
    <s v="Bangalore"/>
    <n v="560058"/>
    <s v="TN"/>
    <s v="India"/>
    <n v="8"/>
    <n v="0"/>
    <n v="5"/>
    <n v="1"/>
    <s v="Sun"/>
    <m/>
  </r>
  <r>
    <n v="1060"/>
    <s v="Multitek Auto Parts"/>
    <x v="932"/>
    <n v="1154"/>
    <s v="2015J LX"/>
    <m/>
    <d v="2024-08-28T00:00:00"/>
    <m/>
    <m/>
    <d v="2024-08-28T00:00:00"/>
    <d v="2025-08-27T00:00:00"/>
    <n v="3"/>
    <s v="Mr. Ranjit Kumar"/>
    <m/>
    <n v="7619158707"/>
    <s v="KIADB Industrial Area"/>
    <s v="Plot No.95 Road No.7"/>
    <s v="Obedanahalli"/>
    <s v="Doddaballapur"/>
    <n v="561203"/>
    <s v="KA"/>
    <s v="India"/>
    <n v="8"/>
    <n v="0"/>
    <n v="6"/>
    <n v="1"/>
    <s v="Sun"/>
    <m/>
  </r>
  <r>
    <n v="1061"/>
    <s v="Voltkon Switchgear Pvt Ltd"/>
    <x v="933"/>
    <n v="1155"/>
    <s v="2015J LX"/>
    <m/>
    <d v="2024-09-11T00:00:00"/>
    <m/>
    <m/>
    <d v="2024-09-11T00:00:00"/>
    <d v="2025-09-10T00:00:00"/>
    <n v="3"/>
    <s v="Mr. Dhananjay Sinha"/>
    <m/>
    <n v="9108015957"/>
    <s v="Eco Tech-III"/>
    <s v="Plot No.90 Udyog Kendra-II"/>
    <m/>
    <s v="Greater Noida"/>
    <n v="201308"/>
    <s v="UP"/>
    <s v="India"/>
    <n v="1"/>
    <n v="1"/>
    <n v="5"/>
    <n v="2"/>
    <s v="Sun"/>
    <m/>
  </r>
  <r>
    <n v="1062"/>
    <s v="Schneider Electric India Pvt Ltd "/>
    <x v="934"/>
    <n v="1146"/>
    <s v="4020J LX"/>
    <m/>
    <d v="2024-10-15T00:00:00"/>
    <m/>
    <m/>
    <d v="2024-10-15T00:00:00"/>
    <d v="2025-10-14T00:00:00"/>
    <n v="3"/>
    <s v="Mr. Sanjay Chaudhary"/>
    <m/>
    <n v="9922602756"/>
    <s v="ESE ESP Mfg"/>
    <s v="ESP Ahmednagar Mfg Plant A9, A10"/>
    <s v="Process MIDC Area, Nagpur"/>
    <s v="Ahmednagar"/>
    <n v="414111"/>
    <s v="MH"/>
    <s v="India"/>
    <n v="2"/>
    <n v="4"/>
    <n v="3"/>
    <n v="1"/>
    <s v="Thu"/>
    <m/>
  </r>
  <r>
    <n v="1063"/>
    <s v="Schneider Electric India Pvt Ltd "/>
    <x v="934"/>
    <n v="1147"/>
    <s v="4020J LX"/>
    <m/>
    <d v="2024-10-15T00:00:00"/>
    <m/>
    <m/>
    <d v="2024-10-15T00:00:00"/>
    <d v="2025-10-14T00:00:00"/>
    <n v="3"/>
    <s v="Mr. Sanjay Chaudhary"/>
    <m/>
    <n v="9922602756"/>
    <s v="ESE ESP Mfg"/>
    <s v="ESP Ahmednagar Mfg Plant A9, A10"/>
    <s v="Process MIDC Area, Nagpur"/>
    <s v="Ahmednagar"/>
    <n v="414111"/>
    <s v="MH"/>
    <s v="India"/>
    <n v="2"/>
    <n v="4"/>
    <n v="3"/>
    <n v="1"/>
    <s v="Thu"/>
    <m/>
  </r>
  <r>
    <n v="1064"/>
    <s v="A.C Industries"/>
    <x v="935"/>
    <n v="1158"/>
    <s v="2015J LX"/>
    <m/>
    <d v="2024-11-04T00:00:00"/>
    <m/>
    <m/>
    <d v="2024-11-04T00:00:00"/>
    <d v="2025-10-03T00:00:00"/>
    <n v="3"/>
    <s v="Mr. Sandip Hase"/>
    <s v="Proprietor"/>
    <n v="9960537473"/>
    <s v="Sinnar"/>
    <s v="Plot No.C-78 STICE"/>
    <m/>
    <s v="Nashik"/>
    <n v="422112"/>
    <s v="MH"/>
    <s v="India"/>
    <n v="2"/>
    <n v="3"/>
    <n v="0"/>
    <n v="1"/>
    <s v="Sat "/>
    <m/>
  </r>
  <r>
    <n v="1065"/>
    <s v="Connectwell Industries Pvt Ltd."/>
    <x v="936"/>
    <s v="1157/    E-1011"/>
    <s v="2015J LX"/>
    <m/>
    <d v="2024-11-04T00:00:00"/>
    <m/>
    <m/>
    <d v="2024-11-04T00:00:00"/>
    <d v="2025-10-03T00:00:00"/>
    <n v="3"/>
    <s v="Mr. Santosh Shirwalkar/ Mr. Amol Patil"/>
    <m/>
    <s v="7021270051/ 9767297067"/>
    <s v="MIDC"/>
    <s v="B101/2 Anand Nagar"/>
    <s v="Addl- Amberanath"/>
    <s v="Ambernath"/>
    <n v="421506"/>
    <s v="MH"/>
    <s v="India"/>
    <n v="0"/>
    <n v="0"/>
    <n v="0"/>
    <n v="0"/>
    <n v="0"/>
    <m/>
  </r>
  <r>
    <n v="1066"/>
    <s v="KDDL Limited"/>
    <x v="687"/>
    <n v="1148"/>
    <s v="4020J LX"/>
    <m/>
    <d v="2024-11-08T00:00:00"/>
    <m/>
    <m/>
    <d v="2024-11-08T00:00:00"/>
    <d v="2025-11-08T00:00:00"/>
    <n v="3"/>
    <s v="Mr. Jeetinder Pareek"/>
    <m/>
    <n v="9780128489"/>
    <s v="Derabassi"/>
    <s v="Haibatpur Road, Sadomajra"/>
    <m/>
    <s v="Mohali"/>
    <n v="140507"/>
    <s v="PJ"/>
    <s v="India"/>
    <n v="1"/>
    <n v="3"/>
    <n v="3"/>
    <n v="4"/>
    <s v="Sun"/>
    <m/>
  </r>
  <r>
    <n v="1067"/>
    <s v="Panacea Medical Technologies Pvt Ltd"/>
    <x v="937"/>
    <n v="1156"/>
    <s v="2015J LX"/>
    <m/>
    <d v="2024-11-13T00:00:00"/>
    <m/>
    <m/>
    <d v="2024-11-13T00:00:00"/>
    <d v="2025-11-12T00:00:00"/>
    <n v="3"/>
    <s v="Mr. Asif Pasha"/>
    <m/>
    <n v="8310839592"/>
    <s v="Malur KIADB Industrial "/>
    <s v="Plot No.35 4th Phase"/>
    <s v="Malur"/>
    <s v="Kolar"/>
    <n v="563130"/>
    <s v="KA"/>
    <s v="India"/>
    <n v="8"/>
    <n v="0"/>
    <n v="8"/>
    <n v="2"/>
    <s v="Sun"/>
    <m/>
  </r>
  <r>
    <n v="1068"/>
    <s v="J.J Glastronics Pvt Ltd"/>
    <x v="938"/>
    <n v="1159"/>
    <s v="2015J LX"/>
    <m/>
    <d v="2024-11-15T00:00:00"/>
    <m/>
    <m/>
    <d v="2024-11-15T00:00:00"/>
    <d v="2025-11-14T00:00:00"/>
    <n v="3"/>
    <s v="Mr. Basavaraj"/>
    <s v="QA-Dept"/>
    <n v="9731264612"/>
    <s v="18th KM"/>
    <s v="25A Electronics City"/>
    <s v="Hosur Road"/>
    <s v="Bangalore"/>
    <n v="560100"/>
    <s v="KA"/>
    <s v="India"/>
    <n v="8"/>
    <n v="0"/>
    <n v="1"/>
    <n v="1"/>
    <s v="Sun"/>
    <m/>
  </r>
  <r>
    <n v="1069"/>
    <s v="R&amp;N Techauto Industries Pvt Ltd"/>
    <x v="939"/>
    <n v="1160"/>
    <s v="2015J LX"/>
    <m/>
    <d v="2024-11-26T00:00:00"/>
    <m/>
    <m/>
    <d v="2024-11-26T00:00:00"/>
    <d v="2025-11-25T00:00:00"/>
    <n v="3"/>
    <s v="Mr. Rajendra Chauhan"/>
    <m/>
    <n v="9717005722"/>
    <s v="Noida"/>
    <s v="A-61 Sector-64"/>
    <m/>
    <s v="Gautam Budh Nagar"/>
    <n v="201301"/>
    <s v="UP"/>
    <s v="India"/>
    <n v="1"/>
    <n v="1"/>
    <n v="5"/>
    <n v="1"/>
    <s v="Sun"/>
    <m/>
  </r>
  <r>
    <n v="1070"/>
    <s v="Anvish Precision"/>
    <x v="940"/>
    <n v="1151"/>
    <s v="4020J LX"/>
    <m/>
    <d v="2024-11-29T00:00:00"/>
    <m/>
    <m/>
    <d v="2024-11-29T00:00:00"/>
    <d v="2025-11-28T00:00:00"/>
    <n v="3"/>
    <s v="Mr. Clyde Lobo"/>
    <s v="Partner"/>
    <n v="9513666372"/>
    <s v="Jeppu, Morgan's Gate"/>
    <s v="Door No. 22-5752ABC 753A, Techbay, P L Compound"/>
    <s v="Marnamikatte"/>
    <s v="Mangalore"/>
    <n v="575001"/>
    <s v="KA"/>
    <s v="India"/>
    <n v="8"/>
    <n v="0"/>
    <n v="0"/>
    <n v="7"/>
    <s v="Sun"/>
    <m/>
  </r>
  <r>
    <n v="1071"/>
    <s v="Prakathi Industries"/>
    <x v="941"/>
    <n v="1161"/>
    <s v="2015J LX"/>
    <m/>
    <d v="2024-12-08T00:00:00"/>
    <m/>
    <m/>
    <d v="2024-12-08T00:00:00"/>
    <d v="2026-12-07T00:00:00"/>
    <n v="3"/>
    <s v="Mr. Rajendran "/>
    <m/>
    <n v="9092146153"/>
    <s v="Eazil Nagar main Road"/>
    <s v="S No.21/A Agraharam Village"/>
    <s v="SIPCOT Post"/>
    <s v="Hosur"/>
    <n v="635126"/>
    <s v="TN"/>
    <s v="India"/>
    <n v="8"/>
    <n v="0"/>
    <n v="1"/>
    <n v="3"/>
    <s v="Sun"/>
    <m/>
  </r>
  <r>
    <n v="1072"/>
    <s v="Aequs Consumer Products Pvt Ltd"/>
    <x v="942"/>
    <n v="1132"/>
    <s v="4030J LX"/>
    <m/>
    <d v="2024-12-10T00:00:00"/>
    <m/>
    <m/>
    <d v="2024-12-10T00:00:00"/>
    <d v="2027-06-09T00:00:00"/>
    <n v="3"/>
    <s v="Mr. Pramod Mankari"/>
    <m/>
    <n v="9742671184"/>
    <s v="Hissa No. 8,9,10,11 &amp; 12"/>
    <s v="Unit-3: EOU  Survey No. 11"/>
    <s v="Itagatti Village, Dhrwad Hobli"/>
    <s v="Dharwad"/>
    <n v="580114"/>
    <s v="KA"/>
    <s v="India"/>
    <n v="8"/>
    <n v="0"/>
    <n v="0"/>
    <n v="1"/>
    <s v="Sun"/>
    <m/>
  </r>
  <r>
    <n v="1073"/>
    <s v="Techno Springs India Pvt Ltd"/>
    <x v="301"/>
    <n v="1162"/>
    <s v="2015J LX"/>
    <m/>
    <d v="2024-12-13T00:00:00"/>
    <m/>
    <m/>
    <d v="2024-12-13T00:00:00"/>
    <d v="2025-12-12T00:00:00"/>
    <n v="3"/>
    <s v="Mr. Vikas Singh"/>
    <s v="Purchase Dept"/>
    <n v="9871097404"/>
    <s v="IMT Faridabad"/>
    <s v="Plot No.44    Sector-68"/>
    <m/>
    <s v="Faridabad"/>
    <n v="121004"/>
    <s v="HR"/>
    <s v="India"/>
    <n v="1"/>
    <n v="1"/>
    <n v="6"/>
    <n v="1"/>
    <s v="Sun"/>
    <m/>
  </r>
  <r>
    <n v="1074"/>
    <s v="Mersen India Pvt Ltd"/>
    <x v="943"/>
    <n v="1149"/>
    <s v="4020J LX"/>
    <m/>
    <d v="2024-12-23T00:00:00"/>
    <m/>
    <m/>
    <d v="2024-12-23T00:00:00"/>
    <d v="2025-12-22T00:00:00"/>
    <n v="3"/>
    <s v="Mr. Vinayak Hebballi"/>
    <s v="Purchase Dept"/>
    <n v="7618727239"/>
    <s v="Bommasandra Industrial Area"/>
    <s v="Plot No.19 4th Cross   "/>
    <m/>
    <s v="Bangalore"/>
    <n v="560099"/>
    <s v="KA"/>
    <s v="India"/>
    <n v="8"/>
    <n v="0"/>
    <n v="1"/>
    <n v="2"/>
    <s v="Sun"/>
    <m/>
  </r>
  <r>
    <n v="1075"/>
    <s v="Oswin Industries"/>
    <x v="535"/>
    <n v="1150"/>
    <s v="4020J LX"/>
    <m/>
    <d v="2024-12-24T00:00:00"/>
    <m/>
    <m/>
    <d v="2024-12-24T00:00:00"/>
    <d v="2025-12-23T00:00:00"/>
    <n v="3"/>
    <s v="Mr. Anubhav Arora "/>
    <m/>
    <n v="8968533440"/>
    <s v="SAS Nagar"/>
    <s v="Khasra No.36 Village Behra"/>
    <m/>
    <s v="Derabassi"/>
    <n v="140507"/>
    <s v="PB"/>
    <s v="India"/>
    <n v="1"/>
    <n v="3"/>
    <n v="3"/>
    <n v="4"/>
    <s v="Sun"/>
    <m/>
  </r>
  <r>
    <n v="1076"/>
    <s v="Bosch Ltd"/>
    <x v="944"/>
    <n v="1152"/>
    <s v="4020J LX"/>
    <m/>
    <d v="2024-12-28T00:00:00"/>
    <m/>
    <m/>
    <d v="2024-12-28T00:00:00"/>
    <d v="2025-12-27T00:00:00"/>
    <n v="3"/>
    <s v="Mr. Vijayakumar"/>
    <m/>
    <n v="9972060631"/>
    <s v="Hosur Road,"/>
    <s v="RBIN Naganathpur Plant-GS-SP"/>
    <m/>
    <s v="Bangalore"/>
    <n v="560100"/>
    <s v="KA"/>
    <s v="India"/>
    <n v="8"/>
    <n v="0"/>
    <n v="1"/>
    <n v="1"/>
    <s v="Sun"/>
    <m/>
  </r>
  <r>
    <n v="1077"/>
    <s v="RRP S4E Innovation Pvt Ltd"/>
    <x v="945"/>
    <n v="1133"/>
    <s v="4030J LX"/>
    <m/>
    <d v="2025-01-10T00:00:00"/>
    <m/>
    <m/>
    <d v="2025-01-10T00:00:00"/>
    <d v="2026-01-09T00:00:00"/>
    <n v="3"/>
    <s v="Mr. Ranjit Balan"/>
    <m/>
    <n v="9076012812"/>
    <s v="Mahape"/>
    <s v="A-396/397 TTC Industrial Area"/>
    <m/>
    <s v="New Mumbai"/>
    <n v="400710"/>
    <s v="MH"/>
    <s v="India"/>
    <n v="2"/>
    <n v="2"/>
    <n v="2"/>
    <n v="4"/>
    <s v="Sun"/>
    <m/>
  </r>
  <r>
    <n v="1078"/>
    <s v="Kaanra Technology Inc"/>
    <x v="946"/>
    <n v="1165"/>
    <s v="4020J LX"/>
    <m/>
    <d v="2025-01-15T00:00:00"/>
    <m/>
    <m/>
    <d v="2025-01-15T00:00:00"/>
    <d v="2026-01-14T00:00:00"/>
    <n v="3"/>
    <s v="Mr. Kannan Parthsarathy"/>
    <s v="Partner"/>
    <n v="9500045211"/>
    <s v="7th Link Road, Rukmani Colony"/>
    <s v="Door No. 111 Plot No. 1 to 3 and 16 to 18"/>
    <s v="Nehrunagar, Kottivakam"/>
    <s v="Chennai"/>
    <n v="600041"/>
    <s v="TN"/>
    <s v="India"/>
    <n v="4"/>
    <n v="0"/>
    <n v="2"/>
    <n v="1"/>
    <s v="Sun"/>
    <m/>
  </r>
  <r>
    <n v="1079"/>
    <s v="L.G. Balakrishnan &amp; Bros Ltd (Candid Micron Measurements Pvt Ltd)"/>
    <x v="947"/>
    <n v="1166"/>
    <s v="4020J LX"/>
    <m/>
    <d v="2025-01-18T00:00:00"/>
    <m/>
    <m/>
    <d v="2025-01-18T00:00:00"/>
    <d v="2026-01-17T00:00:00"/>
    <n v="3"/>
    <m/>
    <m/>
    <m/>
    <s v="Vedasanthur (TK)"/>
    <s v="Rolled Steel Product Div (RSDP) D. Gudalur Post"/>
    <s v="Karur Via"/>
    <s v="Dindigul"/>
    <m/>
    <s v="TN"/>
    <s v="India"/>
    <n v="4"/>
    <n v="1"/>
    <n v="1"/>
    <n v="2"/>
    <s v="Sun"/>
    <m/>
  </r>
  <r>
    <n v="1080"/>
    <s v="Rotary Connectors P Ltd"/>
    <x v="948"/>
    <n v="1163"/>
    <s v="2015J LX"/>
    <m/>
    <d v="2025-01-30T00:00:00"/>
    <m/>
    <m/>
    <d v="2025-01-30T00:00:00"/>
    <d v="2026-01-29T00:00:00"/>
    <n v="3"/>
    <s v="Mr. Shivanand"/>
    <s v="Purchase"/>
    <n v="9611614380"/>
    <s v="1st Stage"/>
    <s v="Plot No.291 &amp; 292 Sompura Industrial Area"/>
    <s v="Dobaspet"/>
    <s v="Bangalore"/>
    <n v="562132"/>
    <s v="KA"/>
    <s v="India"/>
    <n v="8"/>
    <n v="0"/>
    <n v="5"/>
    <n v="4"/>
    <s v="Sun"/>
    <m/>
  </r>
  <r>
    <n v="1081"/>
    <s v="Primaeam Solutions Pvt Ltd"/>
    <x v="949"/>
    <n v="1168"/>
    <s v="4030J LX"/>
    <m/>
    <d v="2025-02-02T00:00:00"/>
    <m/>
    <m/>
    <d v="2025-02-02T00:00:00"/>
    <d v="2026-02-01T00:00:00"/>
    <n v="3"/>
    <s v="Mr. Ranjith   "/>
    <m/>
    <n v="9698087155"/>
    <s v="Tower C"/>
    <s v="Plot No.14 3rd Street"/>
    <s v="Ground Floor"/>
    <s v="Chennai"/>
    <n v="600058"/>
    <s v="TN"/>
    <s v="India"/>
    <n v="4"/>
    <n v="0"/>
    <n v="3"/>
    <n v="2"/>
    <s v="Sun"/>
    <m/>
  </r>
  <r>
    <n v="1082"/>
    <s v="Nassa Polymers"/>
    <x v="950"/>
    <n v="1177"/>
    <s v="4020J LX"/>
    <m/>
    <d v="2025-02-28T00:00:00"/>
    <m/>
    <m/>
    <d v="2025-02-28T00:00:00"/>
    <d v="2026-02-27T00:00:00"/>
    <n v="3"/>
    <s v="Mr. Balaraman Venkatesh"/>
    <s v="Purchase Dept"/>
    <n v="9444744835"/>
    <s v="Kakkalur"/>
    <s v="S-23 SIDC Industrial Area"/>
    <m/>
    <s v="Thiruvallur"/>
    <n v="602003"/>
    <s v="TN"/>
    <s v="India"/>
    <n v="4"/>
    <n v="0"/>
    <n v="4"/>
    <n v="3"/>
    <s v="Sun"/>
    <m/>
  </r>
  <r>
    <n v="1083"/>
    <s v="Vision Tec"/>
    <x v="951"/>
    <n v="1176"/>
    <s v="4020J LX"/>
    <m/>
    <d v="2025-03-14T00:00:00"/>
    <m/>
    <m/>
    <d v="2025-03-14T00:00:00"/>
    <d v="2026-03-13T00:00:00"/>
    <n v="3"/>
    <s v="Mr. Suhas Udupa"/>
    <s v="MD"/>
    <m/>
    <m/>
    <s v=" "/>
    <m/>
    <s v="Bangalore"/>
    <n v="560091"/>
    <s v="KA"/>
    <s v="India"/>
    <n v="8"/>
    <n v="0"/>
    <n v="4"/>
    <n v="1"/>
    <s v="Sun"/>
    <m/>
  </r>
  <r>
    <n v="1084"/>
    <s v="Titan Engg &amp; Automation Limited"/>
    <x v="561"/>
    <n v="1172"/>
    <s v="5030-Z25J LX"/>
    <m/>
    <d v="2025-03-25T00:00:00"/>
    <m/>
    <m/>
    <d v="2025-03-25T00:00:00"/>
    <d v="2026-03-24T00:00:00"/>
    <n v="3"/>
    <s v="Mr. Jagadeesan/ Mr. Balamurugan"/>
    <m/>
    <s v="8754004892 / 8012304864"/>
    <s v="Denkanikottai Road"/>
    <s v="No.141 S. Mudaganapalli Village"/>
    <m/>
    <s v="Hosur"/>
    <n v="635110"/>
    <s v="TN"/>
    <s v="India"/>
    <n v="8"/>
    <n v="0"/>
    <n v="1"/>
    <n v="3"/>
    <s v="Sun"/>
    <m/>
  </r>
  <r>
    <n v="1085"/>
    <s v="Nicomatic India Electronics Pvt Ltd"/>
    <x v="952"/>
    <n v="1180"/>
    <s v="2015J LX"/>
    <m/>
    <d v="2025-03-27T00:00:00"/>
    <m/>
    <m/>
    <d v="2025-03-27T00:00:00"/>
    <d v="2026-03-26T00:00:00"/>
    <n v="3"/>
    <s v="Mr. Gajendran/ Mr. Arun Kumar"/>
    <s v="QC/ Purchase"/>
    <s v="9886476946 / 9916793626"/>
    <s v="KIADB Industrial Area, Jala Hobli, "/>
    <s v="No.77, White Oaks Hi-Tech Defence &amp; Aerospace Park"/>
    <s v="Mahadeva Kodigehalli Village"/>
    <s v="Bangalore"/>
    <n v="562149"/>
    <s v="KA"/>
    <s v="India"/>
    <n v="8"/>
    <n v="0"/>
    <n v="7"/>
    <n v="1"/>
    <s v="Sun"/>
    <m/>
  </r>
  <r>
    <n v="1086"/>
    <s v="Indian Institute of Technology (Mumbai)"/>
    <x v="953"/>
    <n v="1181"/>
    <s v="2015J LX"/>
    <m/>
    <d v="2025-06-06T00:00:00"/>
    <m/>
    <m/>
    <d v="2025-06-06T00:00:00"/>
    <d v="2026-06-05T00:00:00"/>
    <n v="3"/>
    <s v="Mr. Shashank Shukla"/>
    <s v="R&amp;D M/c Tools Lab_x000a_"/>
    <n v="8871575530"/>
    <m/>
    <s v=" "/>
    <s v="Powai"/>
    <s v="Mumbai"/>
    <n v="400076"/>
    <s v="MH"/>
    <s v="India"/>
    <n v="2"/>
    <n v="2"/>
    <n v="2"/>
    <n v="4"/>
    <s v="Sun"/>
    <m/>
  </r>
  <r>
    <n v="1087"/>
    <s v="Vignesh Polymers India Pvt Ltd"/>
    <x v="954"/>
    <n v="1178"/>
    <s v="4020J LX"/>
    <m/>
    <d v="2025-07-01T00:00:00"/>
    <m/>
    <m/>
    <d v="2025-07-01T00:00:00"/>
    <d v="2026-06-30T00:00:00"/>
    <n v="3"/>
    <s v="Mr. Mohankumar"/>
    <s v="QC-Head"/>
    <n v="8754490271"/>
    <s v="Vadagal Village, Eachur Post, "/>
    <s v="VPIPL-Chennai-U1 (HO), No.G13 &amp; 14/1 3rd Cross Road, SIPCOT Industrial Park"/>
    <s v="Sriperumbudur"/>
    <s v="Kancheepuram   "/>
    <n v="631604"/>
    <s v="TN"/>
    <s v="India"/>
    <n v="4"/>
    <n v="0"/>
    <n v="3"/>
    <n v="1"/>
    <s v="Sun"/>
    <m/>
  </r>
  <r>
    <n v="1088"/>
    <s v="Spectrum Electrical Industries Ltd"/>
    <x v="322"/>
    <n v="1182"/>
    <s v="2015J LX"/>
    <m/>
    <d v="2025-07-05T00:00:00"/>
    <m/>
    <m/>
    <d v="2025-07-05T00:00:00"/>
    <d v="2026-07-04T00:00:00"/>
    <n v="3"/>
    <s v="Mr. Sushil Bari "/>
    <s v="QA"/>
    <n v="8788947707"/>
    <s v="At-Post: Umale"/>
    <s v="Plant 17 Gat No.139/1 &amp; 139/2"/>
    <m/>
    <s v="Jalgaon"/>
    <n v="425003"/>
    <s v="MH"/>
    <s v="India"/>
    <n v="2"/>
    <n v="0"/>
    <n v="1"/>
    <n v="0"/>
    <s v="Sun"/>
    <m/>
  </r>
  <r>
    <n v="1089"/>
    <s v="Terminal Technologies (I) Pvt Ltd"/>
    <x v="718"/>
    <n v="1185"/>
    <s v="2015J LX"/>
    <m/>
    <d v="2025-07-10T00:00:00"/>
    <m/>
    <m/>
    <d v="2025-07-10T00:00:00"/>
    <d v="2027-07-09T00:00:00"/>
    <n v="3"/>
    <s v="Mr. Sadanad Gharat"/>
    <s v="Manager Purchase"/>
    <n v="9545455067"/>
    <s v="Valiv"/>
    <s v="Terminal House, Building No.3 Merchant Industrial Complex"/>
    <s v="Vasai East"/>
    <s v="Palghar"/>
    <n v="401208"/>
    <s v="MH"/>
    <s v="India"/>
    <n v="2"/>
    <n v="1"/>
    <n v="1"/>
    <n v="2"/>
    <s v="Sun"/>
    <m/>
  </r>
  <r>
    <n v="1090"/>
    <s v="Pushpagiri CNC"/>
    <x v="955"/>
    <n v="1184"/>
    <s v="2015J LX"/>
    <m/>
    <d v="2025-07-19T00:00:00"/>
    <m/>
    <m/>
    <d v="2025-07-19T00:00:00"/>
    <d v="2026-07-18T00:00:00"/>
    <n v="3"/>
    <s v="Mr. Halaiah A.L"/>
    <s v="Proprietor"/>
    <n v="9141460116"/>
    <s v="3rd Phase"/>
    <s v="No.199/5 12th Main"/>
    <s v="Peenya Industrial Area"/>
    <s v="Bangalore"/>
    <n v="560058"/>
    <s v="KA"/>
    <s v="India"/>
    <n v="8"/>
    <n v="0"/>
    <n v="5"/>
    <n v="1"/>
    <s v="Sun"/>
    <m/>
  </r>
  <r>
    <n v="1091"/>
    <s v="Modison Ltd"/>
    <x v="956"/>
    <n v="1167"/>
    <s v="4020J LX"/>
    <m/>
    <d v="2025-07-22T00:00:00"/>
    <m/>
    <m/>
    <d v="2025-07-22T00:00:00"/>
    <d v="2026-07-21T00:00:00"/>
    <n v="3"/>
    <s v="Mr. Navnath Shirole/ Dilshad"/>
    <s v="GM-Purchase/ QC Vapi Plant"/>
    <s v="022-2202 6437 / 9374784651"/>
    <s v="Phase-1"/>
    <s v="Plot No.85/A B, D &amp; E, 'E' Road"/>
    <s v="GIDC, Vapi"/>
    <s v="Valsad"/>
    <n v="396195"/>
    <s v="GJ"/>
    <s v="India"/>
    <n v="2"/>
    <n v="1"/>
    <n v="1"/>
    <n v="1"/>
    <s v="Sun"/>
    <m/>
  </r>
  <r>
    <n v="1092"/>
    <s v="Terminal Technologies (I) Pvt Ltd"/>
    <x v="719"/>
    <n v="1192"/>
    <s v="2015J LX"/>
    <m/>
    <d v="2025-07-26T00:00:00"/>
    <m/>
    <m/>
    <d v="2025-07-26T00:00:00"/>
    <d v="2027-07-25T00:00:00"/>
    <n v="3"/>
    <s v="Mr. Prashanth Bhosale"/>
    <s v="Plant-Head"/>
    <n v="9545455045"/>
    <s v="Mnanekarwadi Industrial area"/>
    <s v="Building No.1 &amp; 4 Ghat No.312/2, 3 &amp; 6"/>
    <s v="Chakan, Taq:Khed"/>
    <s v="Pune"/>
    <n v="410501"/>
    <s v="MH"/>
    <s v="India"/>
    <n v="2"/>
    <n v="4"/>
    <n v="2"/>
    <n v="1"/>
    <s v="Thu"/>
    <m/>
  </r>
  <r>
    <n v="1093"/>
    <s v="Aimtech Toolings"/>
    <x v="957"/>
    <n v="1183"/>
    <s v="2015J LX"/>
    <m/>
    <d v="2025-08-04T00:00:00"/>
    <m/>
    <m/>
    <d v="2025-08-04T00:00:00"/>
    <d v="2026-08-03T00:00:00"/>
    <n v="3"/>
    <s v="Mr. Chandru. D"/>
    <s v="Proprietor"/>
    <n v="9380961281"/>
    <s v="Sriganda Nagar"/>
    <s v="#10 2nd Main, 9th Cross"/>
    <m/>
    <s v="Bangalore"/>
    <n v="560091"/>
    <s v="KA"/>
    <s v="India"/>
    <n v="8"/>
    <n v="0"/>
    <n v="5"/>
    <n v="1"/>
    <s v="Sun"/>
    <m/>
  </r>
  <r>
    <n v="1094"/>
    <s v="Protectron Mechatronics Pvt Ltd"/>
    <x v="958"/>
    <n v="1190"/>
    <s v="2015J LX"/>
    <m/>
    <d v="2025-08-06T00:00:00"/>
    <m/>
    <m/>
    <d v="2025-08-06T00:00:00"/>
    <d v="2028-08-05T00:00:00"/>
    <n v="3"/>
    <s v="Mr. Sachin Ujalambkar"/>
    <s v="Plant Head"/>
    <n v="9844499101"/>
    <s v="BSK Industrial Layout"/>
    <s v="# 44, 29th Cross Road 7th Main Road"/>
    <s v="BSK Iind Stage"/>
    <s v="Bangalore"/>
    <n v="560070"/>
    <s v="KA"/>
    <s v="India"/>
    <n v="8"/>
    <n v="0"/>
    <n v="3"/>
    <n v="1"/>
    <s v="Sun"/>
    <m/>
  </r>
  <r>
    <n v="1095"/>
    <s v="SR Automats"/>
    <x v="959"/>
    <n v="1186"/>
    <s v="4020J LX"/>
    <m/>
    <d v="2025-08-08T00:00:00"/>
    <m/>
    <m/>
    <d v="2025-08-08T00:00:00"/>
    <d v="2026-08-07T00:00:00"/>
    <n v="3"/>
    <s v="Mr. Ramanath"/>
    <s v="Managing Director"/>
    <n v="9844177537"/>
    <s v="Industrial Town"/>
    <s v="No.48 2nd Main"/>
    <s v="Rajaji Nagar"/>
    <s v="Bangalore"/>
    <n v="560044"/>
    <s v="KA"/>
    <s v="India"/>
    <n v="8"/>
    <n v="0"/>
    <n v="3"/>
    <n v="1"/>
    <s v="Sun"/>
    <m/>
  </r>
  <r>
    <n v="1096"/>
    <s v="Terminal Technologies (I) Pvt Ltd"/>
    <x v="719"/>
    <n v="1191"/>
    <s v="2015J LX"/>
    <m/>
    <d v="2025-08-16T00:00:00"/>
    <m/>
    <m/>
    <d v="2025-08-16T00:00:00"/>
    <d v="2027-08-15T00:00:00"/>
    <n v="3"/>
    <s v="Mr. Prashanth Bhosale"/>
    <s v="Plant-Head"/>
    <n v="9545455045"/>
    <s v="Mnanekarwadi Industrial area"/>
    <s v="Building No.1 &amp; 4 Ghat No.312/2, 3 &amp; 6"/>
    <s v="Chakan, Taq:Khed"/>
    <s v="Pune"/>
    <n v="410501"/>
    <s v="MH"/>
    <s v="India"/>
    <n v="2"/>
    <n v="4"/>
    <n v="2"/>
    <n v="1"/>
    <s v="Thu"/>
    <m/>
  </r>
  <r>
    <n v="1097"/>
    <s v="Veer-O-Metals Pvt Ltd"/>
    <x v="960"/>
    <n v="1169"/>
    <s v="4030J LX"/>
    <m/>
    <d v="2025-08-24T00:00:00"/>
    <m/>
    <m/>
    <d v="2025-08-24T00:00:00"/>
    <d v="2026-08-23T00:00:00"/>
    <n v="3"/>
    <s v="Mr. Chennappa. K"/>
    <s v="QC Dept"/>
    <n v="9916941285"/>
    <s v="Heggadadevapura Village"/>
    <s v="Shed No.02 Survey No.51/1A, Huskur Road"/>
    <s v="Dasanapura Hobli"/>
    <s v="Bangalore"/>
    <n v="562123"/>
    <s v="KA"/>
    <s v="India"/>
    <n v="8"/>
    <n v="0"/>
    <n v="5"/>
    <n v="4"/>
    <s v="Sun"/>
    <m/>
  </r>
  <r>
    <n v="1098"/>
    <s v="LPS Bossard Pvt Ltd"/>
    <x v="961"/>
    <n v="1193"/>
    <s v="2015J LX"/>
    <m/>
    <d v="2025-09-01T00:00:00"/>
    <m/>
    <m/>
    <d v="2025-09-01T00:00:00"/>
    <d v="2026-08-31T00:00:00"/>
    <n v="3"/>
    <s v="Mr. Dravin Kumar"/>
    <s v="QA- Asst Manager"/>
    <n v="7015993083"/>
    <s v="Kharawar Byepass"/>
    <s v="NH-10 Delhi-Rohtak Road"/>
    <m/>
    <s v="Rohtak"/>
    <n v="124001"/>
    <s v="HR"/>
    <s v="India"/>
    <n v="1"/>
    <n v="1"/>
    <n v="2"/>
    <n v="2"/>
    <s v="Sun"/>
    <m/>
  </r>
  <r>
    <n v="1099"/>
    <s v="AR Precision"/>
    <x v="962"/>
    <n v="1188"/>
    <s v="4020J LX"/>
    <m/>
    <d v="2025-09-03T00:00:00"/>
    <m/>
    <m/>
    <d v="2025-09-03T00:00:00"/>
    <d v="2026-09-02T00:00:00"/>
    <n v="3"/>
    <s v="Mr. Poornachandra"/>
    <s v="Proprietor"/>
    <n v="9740696216"/>
    <s v="Behind Omax Auto"/>
    <s v="#5, Sy No.89-90 Jigani Bommasamdra Industrial Layout"/>
    <s v="Jigani Post, Anekal Taluk"/>
    <s v="Bangalore"/>
    <n v="560105"/>
    <s v="KA"/>
    <s v="India"/>
    <n v="8"/>
    <n v="0"/>
    <n v="2"/>
    <n v="1"/>
    <s v="Sun"/>
    <m/>
  </r>
  <r>
    <n v="1100"/>
    <s v="Carboloy Precision Stamping"/>
    <x v="963"/>
    <n v="1187"/>
    <s v="4020J LX"/>
    <m/>
    <d v="2025-09-11T00:00:00"/>
    <m/>
    <m/>
    <d v="2025-09-11T00:00:00"/>
    <d v="2026-09-10T00:00:00"/>
    <n v="3"/>
    <s v="Mr. Mahesh"/>
    <m/>
    <n v="9566589301"/>
    <s v="Chinnavedampatti PO"/>
    <s v="No.57 Athipalyam Road"/>
    <s v="Ganapathy"/>
    <s v="Coimbatore"/>
    <n v="641049"/>
    <s v="TN"/>
    <s v="India"/>
    <n v="4"/>
    <n v="1"/>
    <n v="6"/>
    <n v="1"/>
    <s v="Sun"/>
    <m/>
  </r>
  <r>
    <n v="1101"/>
    <s v="Speciality Sintered Products P Ltd"/>
    <x v="158"/>
    <n v="1195"/>
    <s v="2015J LX"/>
    <m/>
    <d v="2025-09-13T00:00:00"/>
    <m/>
    <m/>
    <d v="2025-09-13T00:00:00"/>
    <d v="2026-09-14T00:00:00"/>
    <n v="3"/>
    <s v="Mr. Sharad Kobal"/>
    <s v="Sr. Manager Purchase"/>
    <n v="9850844076"/>
    <s v="Chakan-Talegaon Road,"/>
    <s v="Gat No.409/1 Nanekarwadi"/>
    <s v="Chakan"/>
    <s v="Pune"/>
    <n v="410501"/>
    <s v="MH"/>
    <s v="India"/>
    <n v="2"/>
    <n v="4"/>
    <n v="2"/>
    <n v="1"/>
    <s v="Thu"/>
    <m/>
  </r>
  <r>
    <n v="1102"/>
    <s v="Elemech Engg Solution (Bhavani Industries)"/>
    <x v="964"/>
    <n v="1194"/>
    <s v="2015J LX"/>
    <m/>
    <d v="2025-09-16T00:00:00"/>
    <m/>
    <m/>
    <d v="2025-09-16T00:00:00"/>
    <d v="2026-09-15T00:00:00"/>
    <n v="3"/>
    <s v="Mr. Siddegowda"/>
    <s v="Proprietor"/>
    <n v="9980139472"/>
    <s v="Thigalarapaly Main Road, "/>
    <s v="No.15, Sy No.48/5 1st Main Road, 1st Cross"/>
    <s v="Srilakshmi Industrial Estate"/>
    <s v="Bangalore"/>
    <n v="560058"/>
    <s v="KA"/>
    <s v="India"/>
    <n v="8"/>
    <n v="0"/>
    <n v="5"/>
    <n v="1"/>
    <s v="Sun"/>
    <m/>
  </r>
  <r>
    <n v="1103"/>
    <s v="Resolute Star Pvt Ltd (Skyquad Electronics &amp; Appliances Pvt Ltd)"/>
    <x v="965"/>
    <n v="1179"/>
    <s v="4020J LX"/>
    <m/>
    <d v="2025-09-23T00:00:00"/>
    <m/>
    <m/>
    <d v="2025-09-23T00:00:00"/>
    <d v="2026-09-22T00:00:00"/>
    <n v="3"/>
    <s v="Mr. Anandharaja"/>
    <s v="Qc-Dept"/>
    <n v="9629199092"/>
    <s v="Fab City"/>
    <s v="S-1/Part/B, Sy No.114/1 TSIIC E-City"/>
    <s v="Maheshwaram"/>
    <s v="Hyderabad"/>
    <n v="501359"/>
    <s v="TS"/>
    <s v="India"/>
    <n v="6"/>
    <n v="0"/>
    <n v="1"/>
    <n v="1"/>
    <s v="Sun"/>
    <m/>
  </r>
  <r>
    <n v="1104"/>
    <s v="British Engines India Pvt Ltd"/>
    <x v="966"/>
    <n v="1170"/>
    <s v="4030-Z25J LX"/>
    <m/>
    <d v="2025-09-26T00:00:00"/>
    <m/>
    <m/>
    <d v="2025-09-26T00:00:00"/>
    <d v="2026-09-25T00:00:00"/>
    <n v="3"/>
    <s v="Mr.S. Balasubramani"/>
    <s v="Sr. Manager Purchase"/>
    <m/>
    <s v="Anekal taluk"/>
    <s v="No.6A Attibele Industrial Area"/>
    <s v="Attibele   "/>
    <s v="Bangalore"/>
    <n v="562107"/>
    <s v="KA"/>
    <s v="India"/>
    <n v="8"/>
    <n v="0"/>
    <n v="1"/>
    <n v="3"/>
    <s v="Sun"/>
    <m/>
  </r>
  <r>
    <n v="1105"/>
    <s v="TGT Tech Private Limited"/>
    <x v="708"/>
    <n v="1196"/>
    <s v="2015J LX"/>
    <m/>
    <d v="2025-09-27T00:00:00"/>
    <m/>
    <m/>
    <d v="2025-09-27T00:00:00"/>
    <d v="2026-09-26T00:00:00"/>
    <n v="3"/>
    <s v="Mr. Santhosh Prabhu"/>
    <s v="Managing Director"/>
    <n v="9886126239"/>
    <s v="12th Cross, 4th Phase"/>
    <s v="Plot No.467-469 Site 1-C"/>
    <s v="Peenya Industrial Area"/>
    <s v="Bangalore"/>
    <n v="560058"/>
    <s v="KA"/>
    <s v="India"/>
    <n v="8"/>
    <n v="0"/>
    <n v="5"/>
    <n v="1"/>
    <s v="Sun"/>
    <m/>
  </r>
  <r>
    <n v="1106"/>
    <s v="SFO Technologies Pvt Ltd"/>
    <x v="967"/>
    <n v="1197"/>
    <s v="2015J LX"/>
    <m/>
    <d v="2025-10-08T00:00:00"/>
    <m/>
    <m/>
    <d v="2025-10-08T00:00:00"/>
    <d v="2026-10-07T00:00:00"/>
    <n v="3"/>
    <s v="Ms. M. Padmavathy"/>
    <m/>
    <n v="9995446711"/>
    <s v="Erumathala"/>
    <s v="Industrial Development Area Nalam Mile"/>
    <s v="Aluva"/>
    <s v="Cochin"/>
    <n v="683105"/>
    <s v="KL"/>
    <s v="India"/>
    <n v="4"/>
    <n v="1"/>
    <n v="0"/>
    <n v="3"/>
    <s v="Sun"/>
    <m/>
  </r>
  <r>
    <n v="1107"/>
    <s v="Oswin Industries"/>
    <x v="535"/>
    <n v="1189"/>
    <s v="4020J LX"/>
    <m/>
    <d v="2025-10-08T00:00:00"/>
    <m/>
    <m/>
    <d v="2025-10-08T00:00:00"/>
    <d v="2026-10-07T00:00:00"/>
    <n v="3"/>
    <s v="Mr. Anubhav Arora "/>
    <m/>
    <n v="9872685267"/>
    <s v="HSIIDC Alipur"/>
    <s v="Plot No.13 Phase 2"/>
    <s v="Barwala District"/>
    <s v="Panchkula"/>
    <n v="134118"/>
    <s v="HR"/>
    <s v="India"/>
    <n v="1"/>
    <n v="3"/>
    <n v="3"/>
    <n v="4"/>
    <s v="Sun"/>
    <m/>
  </r>
  <r>
    <n v="1108"/>
    <s v="Shiv Shakti Presstech Pvt Ltd"/>
    <x v="968"/>
    <n v="1173"/>
    <s v="5030J LX"/>
    <m/>
    <d v="2025-11-03T00:00:00"/>
    <m/>
    <m/>
    <d v="2025-11-03T00:00:00"/>
    <d v="2026-11-02T00:00:00"/>
    <n v="3"/>
    <s v="Mr. Paresh Vasaikar"/>
    <s v="MD"/>
    <n v="9820022800"/>
    <s v="MIDC"/>
    <s v="Plot No. R604 TTC Industrial Area"/>
    <s v="Rabale"/>
    <s v="Navi Mumbai"/>
    <n v="400708"/>
    <s v="MH"/>
    <s v="India"/>
    <n v="2"/>
    <n v="2"/>
    <n v="2"/>
    <n v="4"/>
    <s v="Sun"/>
    <m/>
  </r>
  <r>
    <n v="1109"/>
    <s v="SGB Precision Tools"/>
    <x v="969"/>
    <n v="1198"/>
    <s v="2015J LX"/>
    <m/>
    <d v="2025-11-06T00:00:00"/>
    <m/>
    <m/>
    <d v="2025-11-06T00:00:00"/>
    <d v="2026-11-05T00:00:00"/>
    <n v="3"/>
    <s v="Mr. Venkatesan"/>
    <s v="Proprietor"/>
    <n v="9606807803"/>
    <s v="Muniswamappa Layout"/>
    <s v="No. 36 Old Mangammanapalya Rd"/>
    <s v="Bommanahalli"/>
    <s v="Bangalore"/>
    <n v="560068"/>
    <s v="KA"/>
    <s v="India"/>
    <n v="8"/>
    <n v="0"/>
    <n v="1"/>
    <n v="2"/>
    <s v="Sun"/>
    <m/>
  </r>
  <r>
    <n v="1110"/>
    <s v="Divinestamp Pvt Ltd"/>
    <x v="970"/>
    <n v="1203"/>
    <s v="4020J LX"/>
    <m/>
    <d v="2025-11-08T00:00:00"/>
    <m/>
    <m/>
    <d v="2025-11-08T00:00:00"/>
    <d v="2026-11-07T00:00:00"/>
    <n v="3"/>
    <s v="Mr. PLR Reddy"/>
    <s v="Director"/>
    <n v="9900124981"/>
    <s v="Industrial Area, Anumepalli Village"/>
    <s v="Sy No.21/8A1C Part &amp; Sy No.21/8A 1B"/>
    <s v="Zuzuvadi Industrial Zone"/>
    <s v="Hosur"/>
    <n v="635126"/>
    <s v="TN"/>
    <s v="India"/>
    <n v="8"/>
    <n v="0"/>
    <n v="1"/>
    <n v="3"/>
    <s v="Sun"/>
    <m/>
  </r>
  <r>
    <n v="1111"/>
    <s v="Excelon Technologies"/>
    <x v="66"/>
    <n v="1204"/>
    <s v="4020-Z25J LX"/>
    <m/>
    <d v="2025-11-21T00:00:00"/>
    <m/>
    <m/>
    <d v="2025-11-21T00:00:00"/>
    <d v="2026-11-20T00:00:00"/>
    <n v="3"/>
    <s v="Mr. Binu Gopinath"/>
    <s v="MD"/>
    <n v="9019408420"/>
    <s v="4th Phase "/>
    <s v="Plot No.340 2nd Floor,9th Cross"/>
    <s v="Peenya Industrial Area"/>
    <s v="Bangalore"/>
    <n v="560058"/>
    <s v="KA"/>
    <s v="India"/>
    <n v="8"/>
    <n v="0"/>
    <n v="5"/>
    <n v="1"/>
    <s v="Sun"/>
    <m/>
  </r>
  <r>
    <n v="1112"/>
    <s v="Seyal Technologies Pvt Ltd"/>
    <x v="971"/>
    <n v="1213"/>
    <s v="4020J LX"/>
    <m/>
    <d v="2025-12-02T00:00:00"/>
    <m/>
    <m/>
    <d v="2025-12-02T00:00:00"/>
    <d v="2026-12-01T00:00:00"/>
    <n v="3"/>
    <s v="Mr. Sriharan Balasubramanian"/>
    <s v="Asst. Manager- Operations"/>
    <n v="9894722546"/>
    <s v="Cheran Industrial Estate"/>
    <s v="SF No.330/2 C3 Site No.4"/>
    <s v="Sharp Nagar, Kalapatti"/>
    <s v="Coimbatore"/>
    <n v="641048"/>
    <s v="TN"/>
    <s v="India"/>
    <n v="4"/>
    <n v="1"/>
    <n v="6"/>
    <n v="1"/>
    <s v="Sun"/>
    <m/>
  </r>
  <r>
    <n v="1113"/>
    <s v="Vishnu Moulds &amp; Dies"/>
    <x v="972"/>
    <n v="1202"/>
    <s v="4020J LX"/>
    <m/>
    <d v="2025-12-02T00:00:00"/>
    <m/>
    <m/>
    <d v="2025-12-02T00:00:00"/>
    <d v="2026-12-01T00:00:00"/>
    <n v="3"/>
    <s v="Mr. Janakarajan"/>
    <s v="Proprietor"/>
    <n v="8608895820"/>
    <s v="Kappalur"/>
    <s v="Shed No.74 SIDCO Indl Estate"/>
    <m/>
    <s v="Madurai"/>
    <n v="625008"/>
    <s v="TN"/>
    <s v="India"/>
    <n v="4"/>
    <n v="1"/>
    <n v="0"/>
    <n v="1"/>
    <s v="Sun"/>
    <m/>
  </r>
  <r>
    <n v="1114"/>
    <s v="Auronex Precision Pvt ltd"/>
    <x v="973"/>
    <n v="1212"/>
    <s v="2015J LX"/>
    <m/>
    <d v="2025-12-08T00:00:00"/>
    <m/>
    <m/>
    <d v="2025-12-08T00:00:00"/>
    <d v="2026-12-07T00:00:00"/>
    <n v="3"/>
    <s v="Mr. Chaitanya G"/>
    <s v="Partner"/>
    <n v="9164041776"/>
    <s v="Near TVS Cross"/>
    <s v="#49/A, 2nd Phase Opp. Aravind Motors"/>
    <s v="Peenya Industrial Area"/>
    <s v="Bangalore"/>
    <n v="560058"/>
    <s v="KA"/>
    <s v="India"/>
    <n v="8"/>
    <n v="0"/>
    <n v="5"/>
    <n v="1"/>
    <s v="Sun"/>
    <m/>
  </r>
  <r>
    <n v="1115"/>
    <s v="Metalyst Precision Pvt Ltd"/>
    <x v="974"/>
    <n v="1205"/>
    <s v="4020J LX"/>
    <m/>
    <d v="2025-12-08T00:00:00"/>
    <m/>
    <m/>
    <d v="2025-12-08T00:00:00"/>
    <d v="2026-12-07T00:00:00"/>
    <n v="3"/>
    <s v="Mr. Manojkumar Boolargi"/>
    <s v="MD"/>
    <n v="9844484145"/>
    <s v="Veerabhadreshwara Nagar"/>
    <s v="#06 5th Cross   "/>
    <s v="Herohalli"/>
    <s v="Bangalore"/>
    <n v="560091"/>
    <s v="KA"/>
    <s v="India"/>
    <n v="8"/>
    <n v="0"/>
    <n v="5"/>
    <n v="1"/>
    <s v="Sun"/>
    <m/>
  </r>
  <r>
    <n v="1116"/>
    <s v="Auolab"/>
    <x v="975"/>
    <n v="1225"/>
    <s v="4020J LX"/>
    <m/>
    <d v="2025-12-17T00:00:00"/>
    <m/>
    <m/>
    <d v="2025-12-17T00:00:00"/>
    <d v="2026-12-16T00:00:00"/>
    <n v="3"/>
    <s v="Mr. CH.Yatheendra Yasasvi"/>
    <s v="Dy. Manager | SCM"/>
    <n v="9566939320"/>
    <s v="Veerapanjan"/>
    <s v="#1 Shivagangai Main Road"/>
    <m/>
    <s v="Madurai"/>
    <n v="625020"/>
    <s v="KA"/>
    <s v="India"/>
    <n v="4"/>
    <n v="1"/>
    <n v="0"/>
    <n v="1"/>
    <s v="Sun"/>
    <m/>
  </r>
  <r>
    <n v="1117"/>
    <s v="Leggett &amp; Platt Automotive (I) Pvt Ltd "/>
    <x v="976"/>
    <n v="1224"/>
    <s v="4020J LX"/>
    <m/>
    <d v="2025-12-23T00:00:00"/>
    <m/>
    <m/>
    <d v="2025-12-23T00:00:00"/>
    <d v="2026-12-22T00:00:00"/>
    <n v="3"/>
    <s v="Mr. Akash/ Mr. Ravana"/>
    <s v="Purchase Dept"/>
    <s v="7338723301/ 6379965636"/>
    <s v="South Phase "/>
    <s v="#41 2nd Main Road"/>
    <s v="Ambattur Industrial Area"/>
    <s v="Chennai"/>
    <n v="600058"/>
    <s v="KA"/>
    <s v="India"/>
    <n v="4"/>
    <n v="0"/>
    <n v="4"/>
    <n v="1"/>
    <s v="Sun"/>
    <m/>
  </r>
  <r>
    <n v="1118"/>
    <s v="ABB India Ltd"/>
    <x v="977"/>
    <n v="1199"/>
    <s v="2015J LX"/>
    <m/>
    <d v="2025-12-24T00:00:00"/>
    <m/>
    <m/>
    <d v="2025-12-24T00:00:00"/>
    <d v="2026-12-23T00:00:00"/>
    <n v="3"/>
    <s v="Mr. Manoj B L"/>
    <s v="Quality Dept"/>
    <n v="8088996400"/>
    <s v="Basavanahalli Village"/>
    <s v="LPED New MCB Nfg Line Survey No.88/3 &amp; 88/4"/>
    <s v="Kasaba Hobli, Nelamangala Taluk"/>
    <s v="Bangalore"/>
    <n v="562123"/>
    <s v="KA"/>
    <s v="India"/>
    <n v="8"/>
    <n v="0"/>
    <n v="5"/>
    <n v="4"/>
    <s v="Sun"/>
    <m/>
  </r>
  <r>
    <n v="1119"/>
    <s v="Vitesco Technologies India Pvt Ltd "/>
    <x v="978"/>
    <n v="1200"/>
    <s v="2015J LX"/>
    <m/>
    <d v="2025-12-24T00:00:00"/>
    <m/>
    <m/>
    <d v="2025-12-24T00:00:00"/>
    <d v="2026-12-23T00:00:00"/>
    <n v="3"/>
    <s v="Mr. Nilesh Khandekar"/>
    <s v="QC Head"/>
    <n v="8390220045"/>
    <s v="Post: NavLak"/>
    <s v="Phase 2 Village Badhalwadi"/>
    <s v="Taluk Maval"/>
    <s v="Pune"/>
    <n v="410507"/>
    <s v="MH"/>
    <s v="India"/>
    <n v="2"/>
    <n v="4"/>
    <n v="2"/>
    <n v="1"/>
    <s v="Thu"/>
    <m/>
  </r>
  <r>
    <n v="1120"/>
    <s v="Amar Equipments Pvt Ltd"/>
    <x v="979"/>
    <n v="1174"/>
    <s v="5030-Z25J LX"/>
    <m/>
    <d v="2025-12-25T00:00:00"/>
    <m/>
    <m/>
    <d v="2025-12-25T00:00:00"/>
    <d v="2026-12-24T00:00:00"/>
    <n v="3"/>
    <s v="Mr.Tushar Rikame  "/>
    <s v="Sr. Purchase Engineer"/>
    <n v="9767283678"/>
    <s v="Opp. ICICI Bank"/>
    <s v="Valiram Sons, LBS Marg Near Tank Road Junction"/>
    <s v="Bhandup West"/>
    <s v="Mumbai"/>
    <n v="400078"/>
    <s v="MH"/>
    <s v="India"/>
    <n v="2"/>
    <n v="2"/>
    <n v="2"/>
    <n v="4"/>
    <s v="Sun"/>
    <m/>
  </r>
  <r>
    <n v="1121"/>
    <s v="KSH International Ltd"/>
    <x v="980"/>
    <n v="1201"/>
    <s v="2015J LX"/>
    <m/>
    <d v="2026-01-01T00:00:00"/>
    <m/>
    <m/>
    <d v="2026-01-01T00:00:00"/>
    <d v="2026-12-31T00:00:00"/>
    <n v="3"/>
    <s v="Mrs. Pooja Jadhav "/>
    <s v="Purchase Dept"/>
    <n v="8624883215"/>
    <s v="Palve Khurd"/>
    <s v="F-223 Supa Parner Industrial Park"/>
    <s v="Supa MIDC"/>
    <s v="Ahilya Nagar"/>
    <n v="414301"/>
    <s v="MH"/>
    <s v="India"/>
    <n v="2"/>
    <n v="4"/>
    <n v="3"/>
    <n v="1"/>
    <s v="Thu"/>
    <m/>
  </r>
  <r>
    <n v="1122"/>
    <s v="AR Technoplast Pvt Ltd"/>
    <x v="981"/>
    <n v="1211"/>
    <s v="4020J LX"/>
    <m/>
    <d v="2026-01-05T00:00:00"/>
    <m/>
    <m/>
    <d v="2026-01-05T00:00:00"/>
    <d v="2027-01-11T00:00:00"/>
    <n v="3"/>
    <s v="Mr. Akshay Panda"/>
    <m/>
    <n v="9212737626"/>
    <s v="IMT Manesar"/>
    <s v="Plot No.311 Sector-8"/>
    <m/>
    <s v="Gurgaon"/>
    <n v="122052"/>
    <s v="HR"/>
    <s v="India"/>
    <n v="8"/>
    <n v="0"/>
    <n v="1"/>
    <n v="2"/>
    <s v="Su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22DFD4-130F-40B3-83E5-950AD53E74A0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86" firstHeaderRow="1" firstDataRow="1" firstDataCol="1"/>
  <pivotFields count="28">
    <pivotField showAll="0"/>
    <pivotField showAll="0"/>
    <pivotField axis="axisRow" dataField="1" showAll="0">
      <items count="983">
        <item x="515"/>
        <item x="870"/>
        <item x="166"/>
        <item x="935"/>
        <item x="640"/>
        <item x="777"/>
        <item x="899"/>
        <item x="912"/>
        <item x="977"/>
        <item x="483"/>
        <item x="670"/>
        <item x="49"/>
        <item x="343"/>
        <item x="351"/>
        <item x="172"/>
        <item x="630"/>
        <item x="768"/>
        <item x="438"/>
        <item x="753"/>
        <item x="497"/>
        <item x="321"/>
        <item x="51"/>
        <item x="861"/>
        <item x="382"/>
        <item x="667"/>
        <item x="337"/>
        <item x="376"/>
        <item x="267"/>
        <item x="593"/>
        <item x="332"/>
        <item x="507"/>
        <item x="613"/>
        <item x="756"/>
        <item x="823"/>
        <item x="942"/>
        <item x="73"/>
        <item x="820"/>
        <item x="218"/>
        <item x="733"/>
        <item x="358"/>
        <item x="828"/>
        <item x="737"/>
        <item x="957"/>
        <item x="282"/>
        <item x="624"/>
        <item x="448"/>
        <item x="417"/>
        <item x="35"/>
        <item x="191"/>
        <item x="762"/>
        <item x="222"/>
        <item x="685"/>
        <item x="710"/>
        <item x="803"/>
        <item x="979"/>
        <item x="569"/>
        <item x="631"/>
        <item x="235"/>
        <item x="262"/>
        <item x="104"/>
        <item x="908"/>
        <item x="93"/>
        <item x="586"/>
        <item x="241"/>
        <item x="844"/>
        <item x="940"/>
        <item x="311"/>
        <item x="187"/>
        <item x="378"/>
        <item x="962"/>
        <item x="981"/>
        <item x="152"/>
        <item x="143"/>
        <item x="283"/>
        <item x="381"/>
        <item x="185"/>
        <item x="499"/>
        <item x="920"/>
        <item x="43"/>
        <item x="247"/>
        <item x="29"/>
        <item x="975"/>
        <item x="292"/>
        <item x="223"/>
        <item x="186"/>
        <item x="973"/>
        <item x="413"/>
        <item x="516"/>
        <item x="444"/>
        <item x="914"/>
        <item x="851"/>
        <item x="601"/>
        <item x="435"/>
        <item x="680"/>
        <item x="752"/>
        <item x="556"/>
        <item x="97"/>
        <item x="843"/>
        <item x="75"/>
        <item x="431"/>
        <item x="416"/>
        <item x="232"/>
        <item x="816"/>
        <item x="119"/>
        <item x="454"/>
        <item x="910"/>
        <item x="741"/>
        <item x="532"/>
        <item x="114"/>
        <item x="608"/>
        <item x="922"/>
        <item x="269"/>
        <item x="446"/>
        <item x="98"/>
        <item x="288"/>
        <item x="299"/>
        <item x="715"/>
        <item x="122"/>
        <item x="136"/>
        <item x="220"/>
        <item x="134"/>
        <item x="13"/>
        <item x="863"/>
        <item x="926"/>
        <item x="944"/>
        <item x="189"/>
        <item x="159"/>
        <item x="568"/>
        <item x="895"/>
        <item x="180"/>
        <item x="707"/>
        <item x="488"/>
        <item x="856"/>
        <item x="519"/>
        <item x="966"/>
        <item x="179"/>
        <item x="924"/>
        <item x="399"/>
        <item x="929"/>
        <item x="250"/>
        <item x="90"/>
        <item x="644"/>
        <item x="682"/>
        <item x="676"/>
        <item x="317"/>
        <item x="798"/>
        <item x="12"/>
        <item x="673"/>
        <item x="57"/>
        <item x="720"/>
        <item x="963"/>
        <item x="324"/>
        <item x="47"/>
        <item x="237"/>
        <item x="30"/>
        <item x="531"/>
        <item x="231"/>
        <item x="471"/>
        <item x="196"/>
        <item x="101"/>
        <item x="161"/>
        <item x="691"/>
        <item x="484"/>
        <item x="485"/>
        <item x="203"/>
        <item x="363"/>
        <item x="441"/>
        <item x="89"/>
        <item x="795"/>
        <item x="314"/>
        <item x="270"/>
        <item x="17"/>
        <item x="551"/>
        <item x="487"/>
        <item x="154"/>
        <item x="936"/>
        <item x="693"/>
        <item x="224"/>
        <item x="124"/>
        <item x="656"/>
        <item x="797"/>
        <item x="105"/>
        <item x="276"/>
        <item x="866"/>
        <item x="522"/>
        <item x="661"/>
        <item x="885"/>
        <item x="266"/>
        <item x="326"/>
        <item x="23"/>
        <item x="137"/>
        <item x="40"/>
        <item x="534"/>
        <item x="654"/>
        <item x="636"/>
        <item x="539"/>
        <item x="300"/>
        <item x="298"/>
        <item x="87"/>
        <item x="906"/>
        <item x="421"/>
        <item x="675"/>
        <item x="616"/>
        <item x="559"/>
        <item x="389"/>
        <item x="254"/>
        <item x="151"/>
        <item x="333"/>
        <item x="2"/>
        <item x="596"/>
        <item x="520"/>
        <item x="970"/>
        <item x="739"/>
        <item x="738"/>
        <item x="397"/>
        <item x="486"/>
        <item x="197"/>
        <item x="527"/>
        <item x="800"/>
        <item x="580"/>
        <item x="141"/>
        <item x="610"/>
        <item x="886"/>
        <item x="837"/>
        <item x="771"/>
        <item x="3"/>
        <item x="785"/>
        <item x="530"/>
        <item x="928"/>
        <item x="740"/>
        <item x="699"/>
        <item x="964"/>
        <item x="904"/>
        <item x="125"/>
        <item x="400"/>
        <item x="475"/>
        <item x="598"/>
        <item x="855"/>
        <item x="919"/>
        <item x="420"/>
        <item x="204"/>
        <item x="127"/>
        <item x="285"/>
        <item x="50"/>
        <item x="199"/>
        <item x="626"/>
        <item x="917"/>
        <item x="118"/>
        <item x="761"/>
        <item x="655"/>
        <item x="809"/>
        <item x="66"/>
        <item x="476"/>
        <item x="453"/>
        <item x="215"/>
        <item x="54"/>
        <item x="387"/>
        <item x="308"/>
        <item x="511"/>
        <item x="564"/>
        <item x="881"/>
        <item x="633"/>
        <item x="255"/>
        <item x="409"/>
        <item x="227"/>
        <item x="575"/>
        <item x="258"/>
        <item x="79"/>
        <item x="525"/>
        <item x="595"/>
        <item x="834"/>
        <item x="880"/>
        <item x="418"/>
        <item x="796"/>
        <item x="443"/>
        <item x="386"/>
        <item x="786"/>
        <item x="772"/>
        <item x="377"/>
        <item x="165"/>
        <item x="91"/>
        <item x="31"/>
        <item x="253"/>
        <item x="176"/>
        <item x="106"/>
        <item x="425"/>
        <item x="11"/>
        <item x="576"/>
        <item x="830"/>
        <item x="330"/>
        <item x="909"/>
        <item x="94"/>
        <item x="684"/>
        <item x="342"/>
        <item x="791"/>
        <item x="268"/>
        <item x="731"/>
        <item x="52"/>
        <item x="465"/>
        <item x="76"/>
        <item x="264"/>
        <item x="502"/>
        <item x="584"/>
        <item x="22"/>
        <item x="240"/>
        <item x="379"/>
        <item x="536"/>
        <item x="717"/>
        <item x="698"/>
        <item x="794"/>
        <item x="619"/>
        <item x="754"/>
        <item x="356"/>
        <item x="493"/>
        <item x="210"/>
        <item x="360"/>
        <item x="925"/>
        <item x="500"/>
        <item x="677"/>
        <item x="666"/>
        <item x="743"/>
        <item x="147"/>
        <item x="146"/>
        <item x="628"/>
        <item x="543"/>
        <item x="755"/>
        <item x="760"/>
        <item x="464"/>
        <item x="780"/>
        <item x="233"/>
        <item x="401"/>
        <item x="503"/>
        <item x="375"/>
        <item x="373"/>
        <item x="953"/>
        <item x="799"/>
        <item x="328"/>
        <item x="681"/>
        <item x="347"/>
        <item x="211"/>
        <item x="802"/>
        <item x="702"/>
        <item x="5"/>
        <item x="831"/>
        <item x="587"/>
        <item x="442"/>
        <item x="887"/>
        <item x="620"/>
        <item x="59"/>
        <item x="123"/>
        <item x="7"/>
        <item x="167"/>
        <item x="692"/>
        <item x="858"/>
        <item x="832"/>
        <item x="364"/>
        <item x="368"/>
        <item x="657"/>
        <item x="938"/>
        <item x="896"/>
        <item x="390"/>
        <item x="46"/>
        <item x="660"/>
        <item x="504"/>
        <item x="153"/>
        <item x="290"/>
        <item x="915"/>
        <item x="245"/>
        <item x="705"/>
        <item x="37"/>
        <item x="669"/>
        <item x="248"/>
        <item x="829"/>
        <item x="450"/>
        <item x="658"/>
        <item x="419"/>
        <item x="261"/>
        <item x="583"/>
        <item x="157"/>
        <item x="56"/>
        <item x="461"/>
        <item x="460"/>
        <item x="501"/>
        <item x="946"/>
        <item x="380"/>
        <item x="252"/>
        <item x="436"/>
        <item x="724"/>
        <item x="835"/>
        <item x="491"/>
        <item x="713"/>
        <item x="602"/>
        <item x="850"/>
        <item x="687"/>
        <item x="537"/>
        <item x="242"/>
        <item x="686"/>
        <item x="74"/>
        <item x="747"/>
        <item x="876"/>
        <item x="284"/>
        <item x="727"/>
        <item x="175"/>
        <item x="58"/>
        <item x="819"/>
        <item x="426"/>
        <item x="407"/>
        <item x="439"/>
        <item x="605"/>
        <item x="980"/>
        <item x="181"/>
        <item x="810"/>
        <item x="571"/>
        <item x="160"/>
        <item x="305"/>
        <item x="603"/>
        <item x="69"/>
        <item x="273"/>
        <item x="272"/>
        <item x="291"/>
        <item x="388"/>
        <item x="903"/>
        <item x="875"/>
        <item x="947"/>
        <item x="599"/>
        <item x="546"/>
        <item x="804"/>
        <item x="695"/>
        <item x="263"/>
        <item x="540"/>
        <item x="871"/>
        <item x="748"/>
        <item x="315"/>
        <item x="770"/>
        <item x="668"/>
        <item x="689"/>
        <item x="467"/>
        <item x="976"/>
        <item x="83"/>
        <item x="824"/>
        <item x="325"/>
        <item x="415"/>
        <item x="746"/>
        <item x="961"/>
        <item x="243"/>
        <item x="918"/>
        <item x="781"/>
        <item x="359"/>
        <item x="335"/>
        <item x="637"/>
        <item x="629"/>
        <item x="212"/>
        <item x="280"/>
        <item x="588"/>
        <item x="226"/>
        <item x="33"/>
        <item x="38"/>
        <item x="338"/>
        <item x="552"/>
        <item x="635"/>
        <item x="234"/>
        <item x="852"/>
        <item x="652"/>
        <item x="521"/>
        <item x="53"/>
        <item x="424"/>
        <item x="592"/>
        <item x="840"/>
        <item x="26"/>
        <item x="192"/>
        <item x="697"/>
        <item x="898"/>
        <item x="121"/>
        <item x="10"/>
        <item x="145"/>
        <item x="757"/>
        <item x="664"/>
        <item x="309"/>
        <item x="773"/>
        <item x="508"/>
        <item x="428"/>
        <item x="393"/>
        <item x="894"/>
        <item x="650"/>
        <item x="812"/>
        <item x="473"/>
        <item x="514"/>
        <item x="943"/>
        <item x="168"/>
        <item x="974"/>
        <item x="362"/>
        <item x="229"/>
        <item x="648"/>
        <item x="383"/>
        <item x="130"/>
        <item x="790"/>
        <item x="113"/>
        <item x="374"/>
        <item x="48"/>
        <item x="775"/>
        <item x="646"/>
        <item x="711"/>
        <item x="27"/>
        <item x="423"/>
        <item x="714"/>
        <item x="457"/>
        <item x="573"/>
        <item x="545"/>
        <item x="277"/>
        <item x="72"/>
        <item x="643"/>
        <item x="549"/>
        <item x="445"/>
        <item x="865"/>
        <item x="236"/>
        <item x="574"/>
        <item x="651"/>
        <item x="249"/>
        <item x="956"/>
        <item x="529"/>
        <item x="842"/>
        <item x="472"/>
        <item x="706"/>
        <item x="244"/>
        <item x="44"/>
        <item x="495"/>
        <item x="641"/>
        <item x="732"/>
        <item x="839"/>
        <item x="195"/>
        <item x="614"/>
        <item x="34"/>
        <item x="480"/>
        <item x="60"/>
        <item x="396"/>
        <item x="411"/>
        <item x="932"/>
        <item x="451"/>
        <item x="523"/>
        <item x="312"/>
        <item x="193"/>
        <item x="509"/>
        <item x="597"/>
        <item x="694"/>
        <item x="645"/>
        <item x="221"/>
        <item x="177"/>
        <item x="836"/>
        <item x="950"/>
        <item x="625"/>
        <item x="213"/>
        <item x="156"/>
        <item x="62"/>
        <item x="827"/>
        <item x="897"/>
        <item x="117"/>
        <item x="422"/>
        <item x="779"/>
        <item x="32"/>
        <item x="952"/>
        <item x="749"/>
        <item x="805"/>
        <item x="854"/>
        <item x="287"/>
        <item x="784"/>
        <item x="882"/>
        <item x="251"/>
        <item x="369"/>
        <item x="4"/>
        <item x="371"/>
        <item x="427"/>
        <item x="78"/>
        <item x="357"/>
        <item x="649"/>
        <item x="728"/>
        <item x="15"/>
        <item x="538"/>
        <item x="178"/>
        <item x="102"/>
        <item x="385"/>
        <item x="535"/>
        <item x="135"/>
        <item x="555"/>
        <item x="562"/>
        <item x="206"/>
        <item x="751"/>
        <item x="937"/>
        <item x="452"/>
        <item x="205"/>
        <item x="862"/>
        <item x="346"/>
        <item x="18"/>
        <item x="361"/>
        <item x="260"/>
        <item x="672"/>
        <item x="85"/>
        <item x="766"/>
        <item x="370"/>
        <item x="892"/>
        <item x="700"/>
        <item x="463"/>
        <item x="414"/>
        <item x="208"/>
        <item x="68"/>
        <item x="116"/>
        <item x="679"/>
        <item x="712"/>
        <item x="297"/>
        <item x="782"/>
        <item x="466"/>
        <item x="316"/>
        <item x="163"/>
        <item x="778"/>
        <item x="202"/>
        <item x="542"/>
        <item x="553"/>
        <item x="349"/>
        <item x="41"/>
        <item x="348"/>
        <item x="833"/>
        <item x="709"/>
        <item x="769"/>
        <item x="941"/>
        <item x="100"/>
        <item x="474"/>
        <item x="604"/>
        <item x="230"/>
        <item x="482"/>
        <item x="70"/>
        <item x="405"/>
        <item x="878"/>
        <item x="470"/>
        <item x="848"/>
        <item x="883"/>
        <item x="949"/>
        <item x="257"/>
        <item x="744"/>
        <item x="21"/>
        <item x="95"/>
        <item x="1"/>
        <item x="112"/>
        <item x="958"/>
        <item x="279"/>
        <item x="149"/>
        <item x="103"/>
        <item x="366"/>
        <item x="955"/>
        <item x="734"/>
        <item x="622"/>
        <item x="594"/>
        <item x="590"/>
        <item x="25"/>
        <item x="365"/>
        <item x="939"/>
        <item x="505"/>
        <item x="9"/>
        <item x="696"/>
        <item x="774"/>
        <item x="611"/>
        <item x="440"/>
        <item x="107"/>
        <item x="201"/>
        <item x="214"/>
        <item x="600"/>
        <item x="787"/>
        <item x="729"/>
        <item x="458"/>
        <item x="372"/>
        <item x="806"/>
        <item x="219"/>
        <item x="434"/>
        <item x="447"/>
        <item x="764"/>
        <item x="92"/>
        <item x="310"/>
        <item x="572"/>
        <item x="965"/>
        <item x="704"/>
        <item x="623"/>
        <item x="547"/>
        <item x="126"/>
        <item x="61"/>
        <item x="456"/>
        <item x="394"/>
        <item x="171"/>
        <item x="129"/>
        <item x="410"/>
        <item x="82"/>
        <item x="115"/>
        <item x="847"/>
        <item x="403"/>
        <item x="931"/>
        <item x="662"/>
        <item x="567"/>
        <item x="864"/>
        <item x="565"/>
        <item x="566"/>
        <item x="173"/>
        <item x="653"/>
        <item x="496"/>
        <item x="948"/>
        <item x="170"/>
        <item x="492"/>
        <item x="86"/>
        <item x="725"/>
        <item x="945"/>
        <item x="430"/>
        <item x="591"/>
        <item x="758"/>
        <item x="132"/>
        <item x="639"/>
        <item x="789"/>
        <item x="884"/>
        <item x="528"/>
        <item x="817"/>
        <item x="183"/>
        <item x="721"/>
        <item x="554"/>
        <item x="627"/>
        <item x="589"/>
        <item x="893"/>
        <item x="674"/>
        <item x="256"/>
        <item x="128"/>
        <item x="334"/>
        <item x="16"/>
        <item x="209"/>
        <item x="811"/>
        <item x="433"/>
        <item x="814"/>
        <item x="857"/>
        <item x="846"/>
        <item x="217"/>
        <item x="19"/>
        <item x="517"/>
        <item x="289"/>
        <item x="890"/>
        <item x="228"/>
        <item x="188"/>
        <item x="110"/>
        <item x="302"/>
        <item x="659"/>
        <item x="632"/>
        <item x="838"/>
        <item x="934"/>
        <item x="853"/>
        <item x="402"/>
        <item x="432"/>
        <item x="479"/>
        <item x="412"/>
        <item x="303"/>
        <item x="815"/>
        <item x="722"/>
        <item x="207"/>
        <item x="860"/>
        <item x="577"/>
        <item x="198"/>
        <item x="541"/>
        <item x="481"/>
        <item x="688"/>
        <item x="320"/>
        <item x="150"/>
        <item x="0"/>
        <item x="971"/>
        <item x="967"/>
        <item x="969"/>
        <item x="765"/>
        <item x="293"/>
        <item x="246"/>
        <item x="71"/>
        <item x="634"/>
        <item x="216"/>
        <item x="617"/>
        <item x="968"/>
        <item x="544"/>
        <item x="155"/>
        <item x="329"/>
        <item x="489"/>
        <item x="39"/>
        <item x="788"/>
        <item x="665"/>
        <item x="615"/>
        <item x="354"/>
        <item x="923"/>
        <item x="879"/>
        <item x="927"/>
        <item x="889"/>
        <item x="902"/>
        <item x="581"/>
        <item x="42"/>
        <item x="169"/>
        <item x="6"/>
        <item x="510"/>
        <item x="560"/>
        <item x="671"/>
        <item x="120"/>
        <item x="384"/>
        <item x="907"/>
        <item x="184"/>
        <item x="512"/>
        <item x="392"/>
        <item x="730"/>
        <item x="304"/>
        <item x="84"/>
        <item x="64"/>
        <item x="582"/>
        <item x="498"/>
        <item x="930"/>
        <item x="158"/>
        <item x="344"/>
        <item x="683"/>
        <item x="322"/>
        <item x="55"/>
        <item x="526"/>
        <item x="726"/>
        <item x="959"/>
        <item x="323"/>
        <item x="271"/>
        <item x="200"/>
        <item x="821"/>
        <item x="294"/>
        <item x="296"/>
        <item x="313"/>
        <item x="174"/>
        <item x="139"/>
        <item x="14"/>
        <item x="437"/>
        <item x="638"/>
        <item x="678"/>
        <item x="318"/>
        <item x="459"/>
        <item x="783"/>
        <item x="723"/>
        <item x="868"/>
        <item x="319"/>
        <item x="45"/>
        <item x="867"/>
        <item x="570"/>
        <item x="792"/>
        <item x="607"/>
        <item x="77"/>
        <item x="164"/>
        <item x="462"/>
        <item x="108"/>
        <item x="408"/>
        <item x="872"/>
        <item x="109"/>
        <item x="275"/>
        <item x="88"/>
        <item x="395"/>
        <item x="533"/>
        <item x="341"/>
        <item x="742"/>
        <item x="24"/>
        <item x="281"/>
        <item x="877"/>
        <item x="563"/>
        <item x="295"/>
        <item x="911"/>
        <item x="355"/>
        <item x="339"/>
        <item x="28"/>
        <item x="301"/>
        <item x="716"/>
        <item x="701"/>
        <item x="352"/>
        <item x="735"/>
        <item x="718"/>
        <item x="719"/>
        <item x="585"/>
        <item x="468"/>
        <item x="80"/>
        <item x="81"/>
        <item x="131"/>
        <item x="469"/>
        <item x="708"/>
        <item x="20"/>
        <item x="478"/>
        <item x="826"/>
        <item x="550"/>
        <item x="561"/>
        <item x="148"/>
        <item x="340"/>
        <item x="579"/>
        <item x="825"/>
        <item x="429"/>
        <item x="913"/>
        <item x="801"/>
        <item x="162"/>
        <item x="494"/>
        <item x="367"/>
        <item x="96"/>
        <item x="888"/>
        <item x="703"/>
        <item x="36"/>
        <item x="111"/>
        <item x="406"/>
        <item x="807"/>
        <item x="548"/>
        <item x="336"/>
        <item x="808"/>
        <item x="331"/>
        <item x="849"/>
        <item x="745"/>
        <item x="138"/>
        <item x="776"/>
        <item x="133"/>
        <item x="190"/>
        <item x="891"/>
        <item x="869"/>
        <item x="822"/>
        <item x="65"/>
        <item x="813"/>
        <item x="513"/>
        <item x="759"/>
        <item x="274"/>
        <item x="873"/>
        <item x="345"/>
        <item x="306"/>
        <item x="793"/>
        <item x="391"/>
        <item x="8"/>
        <item x="144"/>
        <item x="518"/>
        <item x="578"/>
        <item x="621"/>
        <item x="750"/>
        <item x="901"/>
        <item x="642"/>
        <item x="455"/>
        <item x="140"/>
        <item x="960"/>
        <item x="398"/>
        <item x="767"/>
        <item x="900"/>
        <item x="663"/>
        <item x="259"/>
        <item x="954"/>
        <item x="606"/>
        <item x="558"/>
        <item x="194"/>
        <item x="286"/>
        <item x="327"/>
        <item x="690"/>
        <item x="972"/>
        <item x="618"/>
        <item x="818"/>
        <item x="951"/>
        <item x="874"/>
        <item x="978"/>
        <item x="225"/>
        <item x="477"/>
        <item x="63"/>
        <item x="506"/>
        <item x="916"/>
        <item x="841"/>
        <item x="933"/>
        <item x="763"/>
        <item x="609"/>
        <item x="142"/>
        <item x="278"/>
        <item x="353"/>
        <item x="307"/>
        <item x="99"/>
        <item x="239"/>
        <item x="524"/>
        <item x="404"/>
        <item x="921"/>
        <item x="612"/>
        <item x="859"/>
        <item x="238"/>
        <item x="647"/>
        <item x="905"/>
        <item x="350"/>
        <item x="182"/>
        <item x="490"/>
        <item x="845"/>
        <item x="449"/>
        <item x="736"/>
        <item x="265"/>
        <item x="557"/>
        <item x="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98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 t="grand">
      <x/>
    </i>
  </rowItems>
  <colItems count="1">
    <i/>
  </colItems>
  <dataFields count="1">
    <dataField name="Count of cz" fld="2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520C4-FE60-4B7D-AF4E-0D621AC3FC30}">
  <dimension ref="A3:B986"/>
  <sheetViews>
    <sheetView tabSelected="1" topLeftCell="A959" workbookViewId="0">
      <selection activeCell="F967" sqref="F967"/>
    </sheetView>
  </sheetViews>
  <sheetFormatPr defaultRowHeight="15"/>
  <cols>
    <col min="1" max="1" width="95.140625" bestFit="1" customWidth="1"/>
    <col min="2" max="2" width="10.7109375" bestFit="1" customWidth="1"/>
  </cols>
  <sheetData>
    <row r="3" spans="1:2" ht="14.25" customHeight="1">
      <c r="A3" s="237" t="s">
        <v>5224</v>
      </c>
      <c r="B3" t="s">
        <v>6208</v>
      </c>
    </row>
    <row r="4" spans="1:2">
      <c r="A4" s="238" t="s">
        <v>5226</v>
      </c>
      <c r="B4" s="239">
        <v>1</v>
      </c>
    </row>
    <row r="5" spans="1:2">
      <c r="A5" s="238" t="s">
        <v>5227</v>
      </c>
      <c r="B5" s="239">
        <v>1</v>
      </c>
    </row>
    <row r="6" spans="1:2">
      <c r="A6" s="238" t="s">
        <v>5228</v>
      </c>
      <c r="B6" s="239">
        <v>1</v>
      </c>
    </row>
    <row r="7" spans="1:2">
      <c r="A7" s="238" t="s">
        <v>5229</v>
      </c>
      <c r="B7" s="239">
        <v>1</v>
      </c>
    </row>
    <row r="8" spans="1:2">
      <c r="A8" s="238" t="s">
        <v>5230</v>
      </c>
      <c r="B8" s="239">
        <v>1</v>
      </c>
    </row>
    <row r="9" spans="1:2">
      <c r="A9" s="238" t="s">
        <v>5231</v>
      </c>
      <c r="B9" s="239">
        <v>1</v>
      </c>
    </row>
    <row r="10" spans="1:2">
      <c r="A10" s="238" t="s">
        <v>5232</v>
      </c>
      <c r="B10" s="239">
        <v>1</v>
      </c>
    </row>
    <row r="11" spans="1:2">
      <c r="A11" s="238" t="s">
        <v>5233</v>
      </c>
      <c r="B11" s="239">
        <v>1</v>
      </c>
    </row>
    <row r="12" spans="1:2">
      <c r="A12" s="238" t="s">
        <v>5234</v>
      </c>
      <c r="B12" s="239">
        <v>1</v>
      </c>
    </row>
    <row r="13" spans="1:2">
      <c r="A13" s="238" t="s">
        <v>5235</v>
      </c>
      <c r="B13" s="239">
        <v>1</v>
      </c>
    </row>
    <row r="14" spans="1:2">
      <c r="A14" s="238" t="s">
        <v>5236</v>
      </c>
      <c r="B14" s="239">
        <v>1</v>
      </c>
    </row>
    <row r="15" spans="1:2">
      <c r="A15" s="238" t="s">
        <v>5237</v>
      </c>
      <c r="B15" s="239">
        <v>1</v>
      </c>
    </row>
    <row r="16" spans="1:2">
      <c r="A16" s="238" t="s">
        <v>5238</v>
      </c>
      <c r="B16" s="239">
        <v>1</v>
      </c>
    </row>
    <row r="17" spans="1:2">
      <c r="A17" s="238" t="s">
        <v>5239</v>
      </c>
      <c r="B17" s="239">
        <v>2</v>
      </c>
    </row>
    <row r="18" spans="1:2">
      <c r="A18" s="238" t="s">
        <v>5240</v>
      </c>
      <c r="B18" s="239">
        <v>1</v>
      </c>
    </row>
    <row r="19" spans="1:2">
      <c r="A19" s="238" t="s">
        <v>5241</v>
      </c>
      <c r="B19" s="239">
        <v>1</v>
      </c>
    </row>
    <row r="20" spans="1:2">
      <c r="A20" s="238" t="s">
        <v>5242</v>
      </c>
      <c r="B20" s="239">
        <v>1</v>
      </c>
    </row>
    <row r="21" spans="1:2">
      <c r="A21" s="238" t="s">
        <v>5243</v>
      </c>
      <c r="B21" s="239">
        <v>1</v>
      </c>
    </row>
    <row r="22" spans="1:2">
      <c r="A22" s="238" t="s">
        <v>5244</v>
      </c>
      <c r="B22" s="239">
        <v>1</v>
      </c>
    </row>
    <row r="23" spans="1:2">
      <c r="A23" s="238" t="s">
        <v>5245</v>
      </c>
      <c r="B23" s="239">
        <v>1</v>
      </c>
    </row>
    <row r="24" spans="1:2">
      <c r="A24" s="238" t="s">
        <v>5246</v>
      </c>
      <c r="B24" s="239">
        <v>1</v>
      </c>
    </row>
    <row r="25" spans="1:2">
      <c r="A25" s="238" t="s">
        <v>5247</v>
      </c>
      <c r="B25" s="239">
        <v>2</v>
      </c>
    </row>
    <row r="26" spans="1:2">
      <c r="A26" s="238" t="s">
        <v>5248</v>
      </c>
      <c r="B26" s="239">
        <v>2</v>
      </c>
    </row>
    <row r="27" spans="1:2">
      <c r="A27" s="238" t="s">
        <v>5249</v>
      </c>
      <c r="B27" s="239">
        <v>1</v>
      </c>
    </row>
    <row r="28" spans="1:2">
      <c r="A28" s="238" t="s">
        <v>5250</v>
      </c>
      <c r="B28" s="239">
        <v>3</v>
      </c>
    </row>
    <row r="29" spans="1:2">
      <c r="A29" s="238" t="s">
        <v>5251</v>
      </c>
      <c r="B29" s="239">
        <v>1</v>
      </c>
    </row>
    <row r="30" spans="1:2">
      <c r="A30" s="238" t="s">
        <v>5252</v>
      </c>
      <c r="B30" s="239">
        <v>1</v>
      </c>
    </row>
    <row r="31" spans="1:2">
      <c r="A31" s="238" t="s">
        <v>5253</v>
      </c>
      <c r="B31" s="239">
        <v>1</v>
      </c>
    </row>
    <row r="32" spans="1:2">
      <c r="A32" s="238" t="s">
        <v>5254</v>
      </c>
      <c r="B32" s="239">
        <v>1</v>
      </c>
    </row>
    <row r="33" spans="1:2">
      <c r="A33" s="238" t="s">
        <v>5255</v>
      </c>
      <c r="B33" s="239">
        <v>1</v>
      </c>
    </row>
    <row r="34" spans="1:2">
      <c r="A34" s="238" t="s">
        <v>5256</v>
      </c>
      <c r="B34" s="239">
        <v>1</v>
      </c>
    </row>
    <row r="35" spans="1:2">
      <c r="A35" s="238" t="s">
        <v>5257</v>
      </c>
      <c r="B35" s="239">
        <v>1</v>
      </c>
    </row>
    <row r="36" spans="1:2">
      <c r="A36" s="238" t="s">
        <v>5258</v>
      </c>
      <c r="B36" s="239">
        <v>1</v>
      </c>
    </row>
    <row r="37" spans="1:2">
      <c r="A37" s="238" t="s">
        <v>5259</v>
      </c>
      <c r="B37" s="239">
        <v>1</v>
      </c>
    </row>
    <row r="38" spans="1:2">
      <c r="A38" s="238" t="s">
        <v>5260</v>
      </c>
      <c r="B38" s="239">
        <v>1</v>
      </c>
    </row>
    <row r="39" spans="1:2">
      <c r="A39" s="238" t="s">
        <v>5261</v>
      </c>
      <c r="B39" s="239">
        <v>1</v>
      </c>
    </row>
    <row r="40" spans="1:2">
      <c r="A40" s="238" t="s">
        <v>5262</v>
      </c>
      <c r="B40" s="239">
        <v>1</v>
      </c>
    </row>
    <row r="41" spans="1:2">
      <c r="A41" s="238" t="s">
        <v>5263</v>
      </c>
      <c r="B41" s="239">
        <v>1</v>
      </c>
    </row>
    <row r="42" spans="1:2">
      <c r="A42" s="238" t="s">
        <v>5264</v>
      </c>
      <c r="B42" s="239">
        <v>1</v>
      </c>
    </row>
    <row r="43" spans="1:2">
      <c r="A43" s="238" t="s">
        <v>5265</v>
      </c>
      <c r="B43" s="239">
        <v>1</v>
      </c>
    </row>
    <row r="44" spans="1:2">
      <c r="A44" s="238" t="s">
        <v>5266</v>
      </c>
      <c r="B44" s="239">
        <v>1</v>
      </c>
    </row>
    <row r="45" spans="1:2">
      <c r="A45" s="238" t="s">
        <v>5267</v>
      </c>
      <c r="B45" s="239">
        <v>1</v>
      </c>
    </row>
    <row r="46" spans="1:2">
      <c r="A46" s="238" t="s">
        <v>5268</v>
      </c>
      <c r="B46" s="239">
        <v>1</v>
      </c>
    </row>
    <row r="47" spans="1:2">
      <c r="A47" s="238" t="s">
        <v>5269</v>
      </c>
      <c r="B47" s="239">
        <v>1</v>
      </c>
    </row>
    <row r="48" spans="1:2">
      <c r="A48" s="238" t="s">
        <v>5270</v>
      </c>
      <c r="B48" s="239">
        <v>1</v>
      </c>
    </row>
    <row r="49" spans="1:2">
      <c r="A49" s="238" t="s">
        <v>5271</v>
      </c>
      <c r="B49" s="239">
        <v>1</v>
      </c>
    </row>
    <row r="50" spans="1:2">
      <c r="A50" s="238" t="s">
        <v>5272</v>
      </c>
      <c r="B50" s="239">
        <v>1</v>
      </c>
    </row>
    <row r="51" spans="1:2">
      <c r="A51" s="238" t="s">
        <v>5273</v>
      </c>
      <c r="B51" s="239">
        <v>1</v>
      </c>
    </row>
    <row r="52" spans="1:2">
      <c r="A52" s="238" t="s">
        <v>5274</v>
      </c>
      <c r="B52" s="239">
        <v>1</v>
      </c>
    </row>
    <row r="53" spans="1:2">
      <c r="A53" s="238" t="s">
        <v>5275</v>
      </c>
      <c r="B53" s="239">
        <v>1</v>
      </c>
    </row>
    <row r="54" spans="1:2">
      <c r="A54" s="238" t="s">
        <v>5276</v>
      </c>
      <c r="B54" s="239">
        <v>1</v>
      </c>
    </row>
    <row r="55" spans="1:2">
      <c r="A55" s="238" t="s">
        <v>5277</v>
      </c>
      <c r="B55" s="239">
        <v>1</v>
      </c>
    </row>
    <row r="56" spans="1:2">
      <c r="A56" s="238" t="s">
        <v>5278</v>
      </c>
      <c r="B56" s="239">
        <v>1</v>
      </c>
    </row>
    <row r="57" spans="1:2">
      <c r="A57" s="238" t="s">
        <v>5279</v>
      </c>
      <c r="B57" s="239">
        <v>1</v>
      </c>
    </row>
    <row r="58" spans="1:2">
      <c r="A58" s="238" t="s">
        <v>5280</v>
      </c>
      <c r="B58" s="239">
        <v>1</v>
      </c>
    </row>
    <row r="59" spans="1:2">
      <c r="A59" s="238" t="s">
        <v>5281</v>
      </c>
      <c r="B59" s="239">
        <v>1</v>
      </c>
    </row>
    <row r="60" spans="1:2">
      <c r="A60" s="238" t="s">
        <v>5282</v>
      </c>
      <c r="B60" s="239">
        <v>1</v>
      </c>
    </row>
    <row r="61" spans="1:2">
      <c r="A61" s="238" t="s">
        <v>5283</v>
      </c>
      <c r="B61" s="239">
        <v>2</v>
      </c>
    </row>
    <row r="62" spans="1:2">
      <c r="A62" s="238" t="s">
        <v>5284</v>
      </c>
      <c r="B62" s="239">
        <v>1</v>
      </c>
    </row>
    <row r="63" spans="1:2">
      <c r="A63" s="238" t="s">
        <v>5285</v>
      </c>
      <c r="B63" s="239">
        <v>1</v>
      </c>
    </row>
    <row r="64" spans="1:2">
      <c r="A64" s="238" t="s">
        <v>5286</v>
      </c>
      <c r="B64" s="239">
        <v>1</v>
      </c>
    </row>
    <row r="65" spans="1:2">
      <c r="A65" s="238" t="s">
        <v>5287</v>
      </c>
      <c r="B65" s="239">
        <v>1</v>
      </c>
    </row>
    <row r="66" spans="1:2">
      <c r="A66" s="238" t="s">
        <v>5288</v>
      </c>
      <c r="B66" s="239">
        <v>1</v>
      </c>
    </row>
    <row r="67" spans="1:2">
      <c r="A67" s="238" t="s">
        <v>5289</v>
      </c>
      <c r="B67" s="239">
        <v>1</v>
      </c>
    </row>
    <row r="68" spans="1:2">
      <c r="A68" s="238" t="s">
        <v>5290</v>
      </c>
      <c r="B68" s="239">
        <v>1</v>
      </c>
    </row>
    <row r="69" spans="1:2">
      <c r="A69" s="238" t="s">
        <v>5291</v>
      </c>
      <c r="B69" s="239">
        <v>1</v>
      </c>
    </row>
    <row r="70" spans="1:2">
      <c r="A70" s="238" t="s">
        <v>5292</v>
      </c>
      <c r="B70" s="239">
        <v>1</v>
      </c>
    </row>
    <row r="71" spans="1:2">
      <c r="A71" s="238" t="s">
        <v>5293</v>
      </c>
      <c r="B71" s="239">
        <v>1</v>
      </c>
    </row>
    <row r="72" spans="1:2">
      <c r="A72" s="238" t="s">
        <v>5294</v>
      </c>
      <c r="B72" s="239">
        <v>1</v>
      </c>
    </row>
    <row r="73" spans="1:2">
      <c r="A73" s="238" t="s">
        <v>5295</v>
      </c>
      <c r="B73" s="239">
        <v>1</v>
      </c>
    </row>
    <row r="74" spans="1:2">
      <c r="A74" s="238" t="s">
        <v>5296</v>
      </c>
      <c r="B74" s="239">
        <v>1</v>
      </c>
    </row>
    <row r="75" spans="1:2">
      <c r="A75" s="238" t="s">
        <v>5297</v>
      </c>
      <c r="B75" s="239">
        <v>1</v>
      </c>
    </row>
    <row r="76" spans="1:2">
      <c r="A76" s="238" t="s">
        <v>5298</v>
      </c>
      <c r="B76" s="239">
        <v>1</v>
      </c>
    </row>
    <row r="77" spans="1:2">
      <c r="A77" s="238" t="s">
        <v>5299</v>
      </c>
      <c r="B77" s="239">
        <v>1</v>
      </c>
    </row>
    <row r="78" spans="1:2">
      <c r="A78" s="238" t="s">
        <v>5300</v>
      </c>
      <c r="B78" s="239">
        <v>1</v>
      </c>
    </row>
    <row r="79" spans="1:2">
      <c r="A79" s="238" t="s">
        <v>5301</v>
      </c>
      <c r="B79" s="239">
        <v>1</v>
      </c>
    </row>
    <row r="80" spans="1:2">
      <c r="A80" s="238" t="s">
        <v>5302</v>
      </c>
      <c r="B80" s="239">
        <v>1</v>
      </c>
    </row>
    <row r="81" spans="1:2">
      <c r="A81" s="238" t="s">
        <v>5303</v>
      </c>
      <c r="B81" s="239">
        <v>1</v>
      </c>
    </row>
    <row r="82" spans="1:2">
      <c r="A82" s="238" t="s">
        <v>5304</v>
      </c>
      <c r="B82" s="239">
        <v>1</v>
      </c>
    </row>
    <row r="83" spans="1:2">
      <c r="A83" s="238" t="s">
        <v>5305</v>
      </c>
      <c r="B83" s="239">
        <v>1</v>
      </c>
    </row>
    <row r="84" spans="1:2">
      <c r="A84" s="238" t="s">
        <v>5306</v>
      </c>
      <c r="B84" s="239">
        <v>1</v>
      </c>
    </row>
    <row r="85" spans="1:2">
      <c r="A85" s="238" t="s">
        <v>5307</v>
      </c>
      <c r="B85" s="239">
        <v>1</v>
      </c>
    </row>
    <row r="86" spans="1:2">
      <c r="A86" s="238" t="s">
        <v>5308</v>
      </c>
      <c r="B86" s="239">
        <v>1</v>
      </c>
    </row>
    <row r="87" spans="1:2">
      <c r="A87" s="238" t="s">
        <v>5309</v>
      </c>
      <c r="B87" s="239">
        <v>1</v>
      </c>
    </row>
    <row r="88" spans="1:2">
      <c r="A88" s="238" t="s">
        <v>5310</v>
      </c>
      <c r="B88" s="239">
        <v>4</v>
      </c>
    </row>
    <row r="89" spans="1:2">
      <c r="A89" s="238" t="s">
        <v>5311</v>
      </c>
      <c r="B89" s="239">
        <v>1</v>
      </c>
    </row>
    <row r="90" spans="1:2">
      <c r="A90" s="238" t="s">
        <v>5312</v>
      </c>
      <c r="B90" s="239">
        <v>1</v>
      </c>
    </row>
    <row r="91" spans="1:2">
      <c r="A91" s="238" t="s">
        <v>5313</v>
      </c>
      <c r="B91" s="239">
        <v>1</v>
      </c>
    </row>
    <row r="92" spans="1:2">
      <c r="A92" s="238" t="s">
        <v>5314</v>
      </c>
      <c r="B92" s="239">
        <v>1</v>
      </c>
    </row>
    <row r="93" spans="1:2">
      <c r="A93" s="238" t="s">
        <v>5315</v>
      </c>
      <c r="B93" s="239">
        <v>1</v>
      </c>
    </row>
    <row r="94" spans="1:2">
      <c r="A94" s="238" t="s">
        <v>5316</v>
      </c>
      <c r="B94" s="239">
        <v>1</v>
      </c>
    </row>
    <row r="95" spans="1:2">
      <c r="A95" s="238" t="s">
        <v>5317</v>
      </c>
      <c r="B95" s="239">
        <v>1</v>
      </c>
    </row>
    <row r="96" spans="1:2">
      <c r="A96" s="238" t="s">
        <v>5318</v>
      </c>
      <c r="B96" s="239">
        <v>1</v>
      </c>
    </row>
    <row r="97" spans="1:2">
      <c r="A97" s="238" t="s">
        <v>5319</v>
      </c>
      <c r="B97" s="239">
        <v>1</v>
      </c>
    </row>
    <row r="98" spans="1:2">
      <c r="A98" s="238" t="s">
        <v>5320</v>
      </c>
      <c r="B98" s="239">
        <v>1</v>
      </c>
    </row>
    <row r="99" spans="1:2">
      <c r="A99" s="238" t="s">
        <v>5321</v>
      </c>
      <c r="B99" s="239">
        <v>1</v>
      </c>
    </row>
    <row r="100" spans="1:2">
      <c r="A100" s="238" t="s">
        <v>5322</v>
      </c>
      <c r="B100" s="239">
        <v>1</v>
      </c>
    </row>
    <row r="101" spans="1:2">
      <c r="A101" s="238" t="s">
        <v>5323</v>
      </c>
      <c r="B101" s="239">
        <v>1</v>
      </c>
    </row>
    <row r="102" spans="1:2">
      <c r="A102" s="238" t="s">
        <v>5324</v>
      </c>
      <c r="B102" s="239">
        <v>1</v>
      </c>
    </row>
    <row r="103" spans="1:2">
      <c r="A103" s="238" t="s">
        <v>5325</v>
      </c>
      <c r="B103" s="239">
        <v>1</v>
      </c>
    </row>
    <row r="104" spans="1:2">
      <c r="A104" s="238" t="s">
        <v>5326</v>
      </c>
      <c r="B104" s="239">
        <v>1</v>
      </c>
    </row>
    <row r="105" spans="1:2">
      <c r="A105" s="238" t="s">
        <v>5327</v>
      </c>
      <c r="B105" s="239">
        <v>1</v>
      </c>
    </row>
    <row r="106" spans="1:2">
      <c r="A106" s="238" t="s">
        <v>5328</v>
      </c>
      <c r="B106" s="239">
        <v>1</v>
      </c>
    </row>
    <row r="107" spans="1:2">
      <c r="A107" s="238" t="s">
        <v>5329</v>
      </c>
      <c r="B107" s="239">
        <v>1</v>
      </c>
    </row>
    <row r="108" spans="1:2">
      <c r="A108" s="238" t="s">
        <v>5330</v>
      </c>
      <c r="B108" s="239">
        <v>1</v>
      </c>
    </row>
    <row r="109" spans="1:2">
      <c r="A109" s="238" t="s">
        <v>5331</v>
      </c>
      <c r="B109" s="239">
        <v>1</v>
      </c>
    </row>
    <row r="110" spans="1:2">
      <c r="A110" s="238" t="s">
        <v>5332</v>
      </c>
      <c r="B110" s="239">
        <v>1</v>
      </c>
    </row>
    <row r="111" spans="1:2">
      <c r="A111" s="238" t="s">
        <v>5333</v>
      </c>
      <c r="B111" s="239">
        <v>1</v>
      </c>
    </row>
    <row r="112" spans="1:2">
      <c r="A112" s="238" t="s">
        <v>5334</v>
      </c>
      <c r="B112" s="239">
        <v>4</v>
      </c>
    </row>
    <row r="113" spans="1:2">
      <c r="A113" s="238" t="s">
        <v>5335</v>
      </c>
      <c r="B113" s="239">
        <v>2</v>
      </c>
    </row>
    <row r="114" spans="1:2">
      <c r="A114" s="238" t="s">
        <v>5336</v>
      </c>
      <c r="B114" s="239">
        <v>1</v>
      </c>
    </row>
    <row r="115" spans="1:2">
      <c r="A115" s="238" t="s">
        <v>5337</v>
      </c>
      <c r="B115" s="239">
        <v>1</v>
      </c>
    </row>
    <row r="116" spans="1:2">
      <c r="A116" s="238" t="s">
        <v>5338</v>
      </c>
      <c r="B116" s="239">
        <v>1</v>
      </c>
    </row>
    <row r="117" spans="1:2">
      <c r="A117" s="238" t="s">
        <v>5339</v>
      </c>
      <c r="B117" s="239">
        <v>1</v>
      </c>
    </row>
    <row r="118" spans="1:2">
      <c r="A118" s="238" t="s">
        <v>5340</v>
      </c>
      <c r="B118" s="239">
        <v>1</v>
      </c>
    </row>
    <row r="119" spans="1:2">
      <c r="A119" s="238" t="s">
        <v>5341</v>
      </c>
      <c r="B119" s="239">
        <v>1</v>
      </c>
    </row>
    <row r="120" spans="1:2">
      <c r="A120" s="238" t="s">
        <v>5342</v>
      </c>
      <c r="B120" s="239">
        <v>1</v>
      </c>
    </row>
    <row r="121" spans="1:2">
      <c r="A121" s="238" t="s">
        <v>5343</v>
      </c>
      <c r="B121" s="239">
        <v>1</v>
      </c>
    </row>
    <row r="122" spans="1:2">
      <c r="A122" s="238" t="s">
        <v>5344</v>
      </c>
      <c r="B122" s="239">
        <v>2</v>
      </c>
    </row>
    <row r="123" spans="1:2">
      <c r="A123" s="238" t="s">
        <v>5345</v>
      </c>
      <c r="B123" s="239">
        <v>3</v>
      </c>
    </row>
    <row r="124" spans="1:2">
      <c r="A124" s="238" t="s">
        <v>5346</v>
      </c>
      <c r="B124" s="239">
        <v>1</v>
      </c>
    </row>
    <row r="125" spans="1:2">
      <c r="A125" s="238" t="s">
        <v>5347</v>
      </c>
      <c r="B125" s="239">
        <v>4</v>
      </c>
    </row>
    <row r="126" spans="1:2">
      <c r="A126" s="238" t="s">
        <v>5348</v>
      </c>
      <c r="B126" s="239">
        <v>1</v>
      </c>
    </row>
    <row r="127" spans="1:2">
      <c r="A127" s="238" t="s">
        <v>5349</v>
      </c>
      <c r="B127" s="239">
        <v>1</v>
      </c>
    </row>
    <row r="128" spans="1:2">
      <c r="A128" s="238" t="s">
        <v>5350</v>
      </c>
      <c r="B128" s="239">
        <v>1</v>
      </c>
    </row>
    <row r="129" spans="1:2">
      <c r="A129" s="238" t="s">
        <v>5351</v>
      </c>
      <c r="B129" s="239">
        <v>1</v>
      </c>
    </row>
    <row r="130" spans="1:2">
      <c r="A130" s="238" t="s">
        <v>5352</v>
      </c>
      <c r="B130" s="239">
        <v>1</v>
      </c>
    </row>
    <row r="131" spans="1:2">
      <c r="A131" s="238" t="s">
        <v>5353</v>
      </c>
      <c r="B131" s="239">
        <v>1</v>
      </c>
    </row>
    <row r="132" spans="1:2">
      <c r="A132" s="238" t="s">
        <v>5354</v>
      </c>
      <c r="B132" s="239">
        <v>1</v>
      </c>
    </row>
    <row r="133" spans="1:2">
      <c r="A133" s="238" t="s">
        <v>5355</v>
      </c>
      <c r="B133" s="239">
        <v>3</v>
      </c>
    </row>
    <row r="134" spans="1:2">
      <c r="A134" s="238" t="s">
        <v>5356</v>
      </c>
      <c r="B134" s="239">
        <v>1</v>
      </c>
    </row>
    <row r="135" spans="1:2">
      <c r="A135" s="238" t="s">
        <v>5357</v>
      </c>
      <c r="B135" s="239">
        <v>1</v>
      </c>
    </row>
    <row r="136" spans="1:2">
      <c r="A136" s="238" t="s">
        <v>5358</v>
      </c>
      <c r="B136" s="239">
        <v>1</v>
      </c>
    </row>
    <row r="137" spans="1:2">
      <c r="A137" s="238" t="s">
        <v>5359</v>
      </c>
      <c r="B137" s="239">
        <v>1</v>
      </c>
    </row>
    <row r="138" spans="1:2">
      <c r="A138" s="238" t="s">
        <v>5360</v>
      </c>
      <c r="B138" s="239">
        <v>1</v>
      </c>
    </row>
    <row r="139" spans="1:2">
      <c r="A139" s="238" t="s">
        <v>5361</v>
      </c>
      <c r="B139" s="239">
        <v>1</v>
      </c>
    </row>
    <row r="140" spans="1:2">
      <c r="A140" s="238" t="s">
        <v>5362</v>
      </c>
      <c r="B140" s="239">
        <v>1</v>
      </c>
    </row>
    <row r="141" spans="1:2">
      <c r="A141" s="238" t="s">
        <v>5363</v>
      </c>
      <c r="B141" s="239">
        <v>1</v>
      </c>
    </row>
    <row r="142" spans="1:2">
      <c r="A142" s="238" t="s">
        <v>5364</v>
      </c>
      <c r="B142" s="239">
        <v>1</v>
      </c>
    </row>
    <row r="143" spans="1:2">
      <c r="A143" s="238" t="s">
        <v>5365</v>
      </c>
      <c r="B143" s="239">
        <v>1</v>
      </c>
    </row>
    <row r="144" spans="1:2">
      <c r="A144" s="238" t="s">
        <v>5366</v>
      </c>
      <c r="B144" s="239">
        <v>1</v>
      </c>
    </row>
    <row r="145" spans="1:2">
      <c r="A145" s="238" t="s">
        <v>5367</v>
      </c>
      <c r="B145" s="239">
        <v>2</v>
      </c>
    </row>
    <row r="146" spans="1:2">
      <c r="A146" s="238" t="s">
        <v>5368</v>
      </c>
      <c r="B146" s="239">
        <v>2</v>
      </c>
    </row>
    <row r="147" spans="1:2">
      <c r="A147" s="238" t="s">
        <v>5369</v>
      </c>
      <c r="B147" s="239">
        <v>1</v>
      </c>
    </row>
    <row r="148" spans="1:2">
      <c r="A148" s="238" t="s">
        <v>5370</v>
      </c>
      <c r="B148" s="239">
        <v>1</v>
      </c>
    </row>
    <row r="149" spans="1:2">
      <c r="A149" s="238" t="s">
        <v>5371</v>
      </c>
      <c r="B149" s="239">
        <v>1</v>
      </c>
    </row>
    <row r="150" spans="1:2">
      <c r="A150" s="238" t="s">
        <v>5372</v>
      </c>
      <c r="B150" s="239">
        <v>2</v>
      </c>
    </row>
    <row r="151" spans="1:2">
      <c r="A151" s="238" t="s">
        <v>5373</v>
      </c>
      <c r="B151" s="239">
        <v>1</v>
      </c>
    </row>
    <row r="152" spans="1:2">
      <c r="A152" s="238" t="s">
        <v>5374</v>
      </c>
      <c r="B152" s="239">
        <v>1</v>
      </c>
    </row>
    <row r="153" spans="1:2">
      <c r="A153" s="238" t="s">
        <v>5375</v>
      </c>
      <c r="B153" s="239">
        <v>1</v>
      </c>
    </row>
    <row r="154" spans="1:2">
      <c r="A154" s="238" t="s">
        <v>5376</v>
      </c>
      <c r="B154" s="239">
        <v>1</v>
      </c>
    </row>
    <row r="155" spans="1:2">
      <c r="A155" s="238" t="s">
        <v>5377</v>
      </c>
      <c r="B155" s="239">
        <v>1</v>
      </c>
    </row>
    <row r="156" spans="1:2">
      <c r="A156" s="238" t="s">
        <v>5378</v>
      </c>
      <c r="B156" s="239">
        <v>1</v>
      </c>
    </row>
    <row r="157" spans="1:2">
      <c r="A157" s="238" t="s">
        <v>5379</v>
      </c>
      <c r="B157" s="239">
        <v>1</v>
      </c>
    </row>
    <row r="158" spans="1:2">
      <c r="A158" s="238" t="s">
        <v>5380</v>
      </c>
      <c r="B158" s="239">
        <v>1</v>
      </c>
    </row>
    <row r="159" spans="1:2">
      <c r="A159" s="238" t="s">
        <v>5381</v>
      </c>
      <c r="B159" s="239">
        <v>1</v>
      </c>
    </row>
    <row r="160" spans="1:2">
      <c r="A160" s="238" t="s">
        <v>5382</v>
      </c>
      <c r="B160" s="239">
        <v>1</v>
      </c>
    </row>
    <row r="161" spans="1:2">
      <c r="A161" s="238" t="s">
        <v>5383</v>
      </c>
      <c r="B161" s="239">
        <v>1</v>
      </c>
    </row>
    <row r="162" spans="1:2">
      <c r="A162" s="238" t="s">
        <v>5384</v>
      </c>
      <c r="B162" s="239">
        <v>2</v>
      </c>
    </row>
    <row r="163" spans="1:2">
      <c r="A163" s="238" t="s">
        <v>5385</v>
      </c>
      <c r="B163" s="239">
        <v>2</v>
      </c>
    </row>
    <row r="164" spans="1:2">
      <c r="A164" s="238" t="s">
        <v>5386</v>
      </c>
      <c r="B164" s="239">
        <v>1</v>
      </c>
    </row>
    <row r="165" spans="1:2">
      <c r="A165" s="238" t="s">
        <v>5387</v>
      </c>
      <c r="B165" s="239">
        <v>1</v>
      </c>
    </row>
    <row r="166" spans="1:2">
      <c r="A166" s="238" t="s">
        <v>5388</v>
      </c>
      <c r="B166" s="239">
        <v>1</v>
      </c>
    </row>
    <row r="167" spans="1:2">
      <c r="A167" s="238" t="s">
        <v>5389</v>
      </c>
      <c r="B167" s="239">
        <v>1</v>
      </c>
    </row>
    <row r="168" spans="1:2">
      <c r="A168" s="238" t="s">
        <v>5390</v>
      </c>
      <c r="B168" s="239">
        <v>1</v>
      </c>
    </row>
    <row r="169" spans="1:2">
      <c r="A169" s="238" t="s">
        <v>5391</v>
      </c>
      <c r="B169" s="239">
        <v>1</v>
      </c>
    </row>
    <row r="170" spans="1:2">
      <c r="A170" s="238" t="s">
        <v>5392</v>
      </c>
      <c r="B170" s="239">
        <v>1</v>
      </c>
    </row>
    <row r="171" spans="1:2">
      <c r="A171" s="238" t="s">
        <v>5393</v>
      </c>
      <c r="B171" s="239">
        <v>1</v>
      </c>
    </row>
    <row r="172" spans="1:2">
      <c r="A172" s="238" t="s">
        <v>5394</v>
      </c>
      <c r="B172" s="239">
        <v>1</v>
      </c>
    </row>
    <row r="173" spans="1:2">
      <c r="A173" s="238" t="s">
        <v>5395</v>
      </c>
      <c r="B173" s="239">
        <v>1</v>
      </c>
    </row>
    <row r="174" spans="1:2">
      <c r="A174" s="238" t="s">
        <v>5396</v>
      </c>
      <c r="B174" s="239">
        <v>2</v>
      </c>
    </row>
    <row r="175" spans="1:2">
      <c r="A175" s="238" t="s">
        <v>5397</v>
      </c>
      <c r="B175" s="239">
        <v>1</v>
      </c>
    </row>
    <row r="176" spans="1:2">
      <c r="A176" s="238" t="s">
        <v>5398</v>
      </c>
      <c r="B176" s="239">
        <v>1</v>
      </c>
    </row>
    <row r="177" spans="1:2">
      <c r="A177" s="238" t="s">
        <v>5399</v>
      </c>
      <c r="B177" s="239">
        <v>1</v>
      </c>
    </row>
    <row r="178" spans="1:2">
      <c r="A178" s="238" t="s">
        <v>5400</v>
      </c>
      <c r="B178" s="239">
        <v>2</v>
      </c>
    </row>
    <row r="179" spans="1:2">
      <c r="A179" s="238" t="s">
        <v>5401</v>
      </c>
      <c r="B179" s="239">
        <v>1</v>
      </c>
    </row>
    <row r="180" spans="1:2">
      <c r="A180" s="238" t="s">
        <v>5402</v>
      </c>
      <c r="B180" s="239">
        <v>1</v>
      </c>
    </row>
    <row r="181" spans="1:2">
      <c r="A181" s="238" t="s">
        <v>5403</v>
      </c>
      <c r="B181" s="239">
        <v>1</v>
      </c>
    </row>
    <row r="182" spans="1:2">
      <c r="A182" s="238" t="s">
        <v>5404</v>
      </c>
      <c r="B182" s="239">
        <v>1</v>
      </c>
    </row>
    <row r="183" spans="1:2">
      <c r="A183" s="238" t="s">
        <v>5405</v>
      </c>
      <c r="B183" s="239">
        <v>1</v>
      </c>
    </row>
    <row r="184" spans="1:2">
      <c r="A184" s="238" t="s">
        <v>5406</v>
      </c>
      <c r="B184" s="239">
        <v>1</v>
      </c>
    </row>
    <row r="185" spans="1:2">
      <c r="A185" s="238" t="s">
        <v>5407</v>
      </c>
      <c r="B185" s="239">
        <v>1</v>
      </c>
    </row>
    <row r="186" spans="1:2">
      <c r="A186" s="238" t="s">
        <v>5408</v>
      </c>
      <c r="B186" s="239">
        <v>1</v>
      </c>
    </row>
    <row r="187" spans="1:2">
      <c r="A187" s="238" t="s">
        <v>5409</v>
      </c>
      <c r="B187" s="239">
        <v>1</v>
      </c>
    </row>
    <row r="188" spans="1:2">
      <c r="A188" s="238" t="s">
        <v>5410</v>
      </c>
      <c r="B188" s="239">
        <v>1</v>
      </c>
    </row>
    <row r="189" spans="1:2">
      <c r="A189" s="238" t="s">
        <v>5411</v>
      </c>
      <c r="B189" s="239">
        <v>1</v>
      </c>
    </row>
    <row r="190" spans="1:2">
      <c r="A190" s="238" t="s">
        <v>5412</v>
      </c>
      <c r="B190" s="239">
        <v>1</v>
      </c>
    </row>
    <row r="191" spans="1:2">
      <c r="A191" s="238" t="s">
        <v>5413</v>
      </c>
      <c r="B191" s="239">
        <v>1</v>
      </c>
    </row>
    <row r="192" spans="1:2">
      <c r="A192" s="238" t="s">
        <v>5414</v>
      </c>
      <c r="B192" s="239">
        <v>1</v>
      </c>
    </row>
    <row r="193" spans="1:2">
      <c r="A193" s="238" t="s">
        <v>5415</v>
      </c>
      <c r="B193" s="239">
        <v>1</v>
      </c>
    </row>
    <row r="194" spans="1:2">
      <c r="A194" s="238" t="s">
        <v>5416</v>
      </c>
      <c r="B194" s="239">
        <v>1</v>
      </c>
    </row>
    <row r="195" spans="1:2">
      <c r="A195" s="238" t="s">
        <v>5417</v>
      </c>
      <c r="B195" s="239">
        <v>1</v>
      </c>
    </row>
    <row r="196" spans="1:2">
      <c r="A196" s="238" t="s">
        <v>5418</v>
      </c>
      <c r="B196" s="239">
        <v>1</v>
      </c>
    </row>
    <row r="197" spans="1:2">
      <c r="A197" s="238" t="s">
        <v>5419</v>
      </c>
      <c r="B197" s="239">
        <v>2</v>
      </c>
    </row>
    <row r="198" spans="1:2">
      <c r="A198" s="238" t="s">
        <v>5420</v>
      </c>
      <c r="B198" s="239">
        <v>1</v>
      </c>
    </row>
    <row r="199" spans="1:2">
      <c r="A199" s="238" t="s">
        <v>5421</v>
      </c>
      <c r="B199" s="239">
        <v>1</v>
      </c>
    </row>
    <row r="200" spans="1:2">
      <c r="A200" s="238" t="s">
        <v>5422</v>
      </c>
      <c r="B200" s="239">
        <v>1</v>
      </c>
    </row>
    <row r="201" spans="1:2">
      <c r="A201" s="238" t="s">
        <v>5423</v>
      </c>
      <c r="B201" s="239">
        <v>1</v>
      </c>
    </row>
    <row r="202" spans="1:2">
      <c r="A202" s="238" t="s">
        <v>5424</v>
      </c>
      <c r="B202" s="239">
        <v>3</v>
      </c>
    </row>
    <row r="203" spans="1:2">
      <c r="A203" s="238" t="s">
        <v>5425</v>
      </c>
      <c r="B203" s="239">
        <v>1</v>
      </c>
    </row>
    <row r="204" spans="1:2">
      <c r="A204" s="238" t="s">
        <v>5426</v>
      </c>
      <c r="B204" s="239">
        <v>1</v>
      </c>
    </row>
    <row r="205" spans="1:2">
      <c r="A205" s="238" t="s">
        <v>5427</v>
      </c>
      <c r="B205" s="239">
        <v>1</v>
      </c>
    </row>
    <row r="206" spans="1:2">
      <c r="A206" s="238" t="s">
        <v>5428</v>
      </c>
      <c r="B206" s="239">
        <v>1</v>
      </c>
    </row>
    <row r="207" spans="1:2">
      <c r="A207" s="238" t="s">
        <v>5429</v>
      </c>
      <c r="B207" s="239">
        <v>1</v>
      </c>
    </row>
    <row r="208" spans="1:2">
      <c r="A208" s="238" t="s">
        <v>5430</v>
      </c>
      <c r="B208" s="239">
        <v>1</v>
      </c>
    </row>
    <row r="209" spans="1:2">
      <c r="A209" s="238" t="s">
        <v>5431</v>
      </c>
      <c r="B209" s="239">
        <v>1</v>
      </c>
    </row>
    <row r="210" spans="1:2">
      <c r="A210" s="238" t="s">
        <v>5432</v>
      </c>
      <c r="B210" s="239">
        <v>1</v>
      </c>
    </row>
    <row r="211" spans="1:2">
      <c r="A211" s="238" t="s">
        <v>5433</v>
      </c>
      <c r="B211" s="239">
        <v>1</v>
      </c>
    </row>
    <row r="212" spans="1:2">
      <c r="A212" s="238" t="s">
        <v>5434</v>
      </c>
      <c r="B212" s="239">
        <v>1</v>
      </c>
    </row>
    <row r="213" spans="1:2">
      <c r="A213" s="238" t="s">
        <v>5435</v>
      </c>
      <c r="B213" s="239">
        <v>1</v>
      </c>
    </row>
    <row r="214" spans="1:2">
      <c r="A214" s="238" t="s">
        <v>5436</v>
      </c>
      <c r="B214" s="239">
        <v>1</v>
      </c>
    </row>
    <row r="215" spans="1:2">
      <c r="A215" s="238" t="s">
        <v>5437</v>
      </c>
      <c r="B215" s="239">
        <v>1</v>
      </c>
    </row>
    <row r="216" spans="1:2">
      <c r="A216" s="238" t="s">
        <v>5438</v>
      </c>
      <c r="B216" s="239">
        <v>1</v>
      </c>
    </row>
    <row r="217" spans="1:2">
      <c r="A217" s="238" t="s">
        <v>5439</v>
      </c>
      <c r="B217" s="239">
        <v>1</v>
      </c>
    </row>
    <row r="218" spans="1:2">
      <c r="A218" s="238" t="s">
        <v>5440</v>
      </c>
      <c r="B218" s="239">
        <v>1</v>
      </c>
    </row>
    <row r="219" spans="1:2">
      <c r="A219" s="238" t="s">
        <v>5441</v>
      </c>
      <c r="B219" s="239">
        <v>1</v>
      </c>
    </row>
    <row r="220" spans="1:2">
      <c r="A220" s="238" t="s">
        <v>5442</v>
      </c>
      <c r="B220" s="239">
        <v>1</v>
      </c>
    </row>
    <row r="221" spans="1:2">
      <c r="A221" s="238" t="s">
        <v>5443</v>
      </c>
      <c r="B221" s="239">
        <v>1</v>
      </c>
    </row>
    <row r="222" spans="1:2">
      <c r="A222" s="238" t="s">
        <v>5444</v>
      </c>
      <c r="B222" s="239">
        <v>1</v>
      </c>
    </row>
    <row r="223" spans="1:2">
      <c r="A223" s="238" t="s">
        <v>5445</v>
      </c>
      <c r="B223" s="239">
        <v>1</v>
      </c>
    </row>
    <row r="224" spans="1:2">
      <c r="A224" s="238" t="s">
        <v>5446</v>
      </c>
      <c r="B224" s="239">
        <v>1</v>
      </c>
    </row>
    <row r="225" spans="1:2">
      <c r="A225" s="238" t="s">
        <v>5447</v>
      </c>
      <c r="B225" s="239">
        <v>1</v>
      </c>
    </row>
    <row r="226" spans="1:2">
      <c r="A226" s="238" t="s">
        <v>5448</v>
      </c>
      <c r="B226" s="239">
        <v>1</v>
      </c>
    </row>
    <row r="227" spans="1:2">
      <c r="A227" s="238" t="s">
        <v>5449</v>
      </c>
      <c r="B227" s="239">
        <v>1</v>
      </c>
    </row>
    <row r="228" spans="1:2">
      <c r="A228" s="238" t="s">
        <v>5450</v>
      </c>
      <c r="B228" s="239">
        <v>1</v>
      </c>
    </row>
    <row r="229" spans="1:2">
      <c r="A229" s="238" t="s">
        <v>5451</v>
      </c>
      <c r="B229" s="239">
        <v>1</v>
      </c>
    </row>
    <row r="230" spans="1:2">
      <c r="A230" s="238" t="s">
        <v>5452</v>
      </c>
      <c r="B230" s="239">
        <v>1</v>
      </c>
    </row>
    <row r="231" spans="1:2">
      <c r="A231" s="238" t="s">
        <v>5453</v>
      </c>
      <c r="B231" s="239">
        <v>1</v>
      </c>
    </row>
    <row r="232" spans="1:2">
      <c r="A232" s="238" t="s">
        <v>5454</v>
      </c>
      <c r="B232" s="239">
        <v>1</v>
      </c>
    </row>
    <row r="233" spans="1:2">
      <c r="A233" s="238" t="s">
        <v>5455</v>
      </c>
      <c r="B233" s="239">
        <v>1</v>
      </c>
    </row>
    <row r="234" spans="1:2">
      <c r="A234" s="238" t="s">
        <v>5456</v>
      </c>
      <c r="B234" s="239">
        <v>1</v>
      </c>
    </row>
    <row r="235" spans="1:2">
      <c r="A235" s="238" t="s">
        <v>5457</v>
      </c>
      <c r="B235" s="239">
        <v>1</v>
      </c>
    </row>
    <row r="236" spans="1:2">
      <c r="A236" s="238" t="s">
        <v>5458</v>
      </c>
      <c r="B236" s="239">
        <v>1</v>
      </c>
    </row>
    <row r="237" spans="1:2">
      <c r="A237" s="238" t="s">
        <v>5459</v>
      </c>
      <c r="B237" s="239">
        <v>1</v>
      </c>
    </row>
    <row r="238" spans="1:2">
      <c r="A238" s="238" t="s">
        <v>5460</v>
      </c>
      <c r="B238" s="239">
        <v>1</v>
      </c>
    </row>
    <row r="239" spans="1:2">
      <c r="A239" s="238" t="s">
        <v>5461</v>
      </c>
      <c r="B239" s="239">
        <v>1</v>
      </c>
    </row>
    <row r="240" spans="1:2">
      <c r="A240" s="238" t="s">
        <v>5462</v>
      </c>
      <c r="B240" s="239">
        <v>1</v>
      </c>
    </row>
    <row r="241" spans="1:2">
      <c r="A241" s="238" t="s">
        <v>5463</v>
      </c>
      <c r="B241" s="239">
        <v>1</v>
      </c>
    </row>
    <row r="242" spans="1:2">
      <c r="A242" s="238" t="s">
        <v>5464</v>
      </c>
      <c r="B242" s="239">
        <v>1</v>
      </c>
    </row>
    <row r="243" spans="1:2">
      <c r="A243" s="238" t="s">
        <v>5465</v>
      </c>
      <c r="B243" s="239">
        <v>1</v>
      </c>
    </row>
    <row r="244" spans="1:2">
      <c r="A244" s="238" t="s">
        <v>5466</v>
      </c>
      <c r="B244" s="239">
        <v>1</v>
      </c>
    </row>
    <row r="245" spans="1:2">
      <c r="A245" s="238" t="s">
        <v>5467</v>
      </c>
      <c r="B245" s="239">
        <v>1</v>
      </c>
    </row>
    <row r="246" spans="1:2">
      <c r="A246" s="238" t="s">
        <v>5468</v>
      </c>
      <c r="B246" s="239">
        <v>1</v>
      </c>
    </row>
    <row r="247" spans="1:2">
      <c r="A247" s="238" t="s">
        <v>5469</v>
      </c>
      <c r="B247" s="239">
        <v>1</v>
      </c>
    </row>
    <row r="248" spans="1:2">
      <c r="A248" s="238" t="s">
        <v>5470</v>
      </c>
      <c r="B248" s="239">
        <v>1</v>
      </c>
    </row>
    <row r="249" spans="1:2">
      <c r="A249" s="238" t="s">
        <v>5471</v>
      </c>
      <c r="B249" s="239">
        <v>1</v>
      </c>
    </row>
    <row r="250" spans="1:2">
      <c r="A250" s="238" t="s">
        <v>5472</v>
      </c>
      <c r="B250" s="239">
        <v>1</v>
      </c>
    </row>
    <row r="251" spans="1:2">
      <c r="A251" s="238" t="s">
        <v>5473</v>
      </c>
      <c r="B251" s="239">
        <v>1</v>
      </c>
    </row>
    <row r="252" spans="1:2">
      <c r="A252" s="238" t="s">
        <v>5474</v>
      </c>
      <c r="B252" s="239">
        <v>1</v>
      </c>
    </row>
    <row r="253" spans="1:2">
      <c r="A253" s="238" t="s">
        <v>5475</v>
      </c>
      <c r="B253" s="239">
        <v>1</v>
      </c>
    </row>
    <row r="254" spans="1:2">
      <c r="A254" s="238" t="s">
        <v>5476</v>
      </c>
      <c r="B254" s="239">
        <v>1</v>
      </c>
    </row>
    <row r="255" spans="1:2">
      <c r="A255" s="238" t="s">
        <v>5477</v>
      </c>
      <c r="B255" s="239">
        <v>3</v>
      </c>
    </row>
    <row r="256" spans="1:2">
      <c r="A256" s="238" t="s">
        <v>5478</v>
      </c>
      <c r="B256" s="239">
        <v>1</v>
      </c>
    </row>
    <row r="257" spans="1:2">
      <c r="A257" s="238" t="s">
        <v>5479</v>
      </c>
      <c r="B257" s="239">
        <v>1</v>
      </c>
    </row>
    <row r="258" spans="1:2">
      <c r="A258" s="238" t="s">
        <v>5480</v>
      </c>
      <c r="B258" s="239">
        <v>3</v>
      </c>
    </row>
    <row r="259" spans="1:2">
      <c r="A259" s="238" t="s">
        <v>5481</v>
      </c>
      <c r="B259" s="239">
        <v>1</v>
      </c>
    </row>
    <row r="260" spans="1:2">
      <c r="A260" s="238" t="s">
        <v>5482</v>
      </c>
      <c r="B260" s="239">
        <v>1</v>
      </c>
    </row>
    <row r="261" spans="1:2">
      <c r="A261" s="238" t="s">
        <v>5483</v>
      </c>
      <c r="B261" s="239">
        <v>2</v>
      </c>
    </row>
    <row r="262" spans="1:2">
      <c r="A262" s="238" t="s">
        <v>5484</v>
      </c>
      <c r="B262" s="239">
        <v>1</v>
      </c>
    </row>
    <row r="263" spans="1:2">
      <c r="A263" s="238" t="s">
        <v>5485</v>
      </c>
      <c r="B263" s="239">
        <v>1</v>
      </c>
    </row>
    <row r="264" spans="1:2">
      <c r="A264" s="238" t="s">
        <v>5486</v>
      </c>
      <c r="B264" s="239">
        <v>1</v>
      </c>
    </row>
    <row r="265" spans="1:2">
      <c r="A265" s="238" t="s">
        <v>5487</v>
      </c>
      <c r="B265" s="239">
        <v>1</v>
      </c>
    </row>
    <row r="266" spans="1:2">
      <c r="A266" s="238" t="s">
        <v>5488</v>
      </c>
      <c r="B266" s="239">
        <v>1</v>
      </c>
    </row>
    <row r="267" spans="1:2">
      <c r="A267" s="238" t="s">
        <v>5489</v>
      </c>
      <c r="B267" s="239">
        <v>1</v>
      </c>
    </row>
    <row r="268" spans="1:2">
      <c r="A268" s="238" t="s">
        <v>5490</v>
      </c>
      <c r="B268" s="239">
        <v>1</v>
      </c>
    </row>
    <row r="269" spans="1:2">
      <c r="A269" s="238" t="s">
        <v>5491</v>
      </c>
      <c r="B269" s="239">
        <v>1</v>
      </c>
    </row>
    <row r="270" spans="1:2">
      <c r="A270" s="238" t="s">
        <v>5492</v>
      </c>
      <c r="B270" s="239">
        <v>1</v>
      </c>
    </row>
    <row r="271" spans="1:2">
      <c r="A271" s="238" t="s">
        <v>5493</v>
      </c>
      <c r="B271" s="239">
        <v>1</v>
      </c>
    </row>
    <row r="272" spans="1:2">
      <c r="A272" s="238" t="s">
        <v>5494</v>
      </c>
      <c r="B272" s="239">
        <v>1</v>
      </c>
    </row>
    <row r="273" spans="1:2">
      <c r="A273" s="238" t="s">
        <v>5495</v>
      </c>
      <c r="B273" s="239">
        <v>1</v>
      </c>
    </row>
    <row r="274" spans="1:2">
      <c r="A274" s="238" t="s">
        <v>5496</v>
      </c>
      <c r="B274" s="239">
        <v>1</v>
      </c>
    </row>
    <row r="275" spans="1:2">
      <c r="A275" s="238" t="s">
        <v>5497</v>
      </c>
      <c r="B275" s="239">
        <v>1</v>
      </c>
    </row>
    <row r="276" spans="1:2">
      <c r="A276" s="238" t="s">
        <v>5498</v>
      </c>
      <c r="B276" s="239">
        <v>1</v>
      </c>
    </row>
    <row r="277" spans="1:2">
      <c r="A277" s="238" t="s">
        <v>5499</v>
      </c>
      <c r="B277" s="239">
        <v>1</v>
      </c>
    </row>
    <row r="278" spans="1:2">
      <c r="A278" s="238" t="s">
        <v>5500</v>
      </c>
      <c r="B278" s="239">
        <v>1</v>
      </c>
    </row>
    <row r="279" spans="1:2">
      <c r="A279" s="238" t="s">
        <v>5501</v>
      </c>
      <c r="B279" s="239">
        <v>1</v>
      </c>
    </row>
    <row r="280" spans="1:2">
      <c r="A280" s="238" t="s">
        <v>5502</v>
      </c>
      <c r="B280" s="239">
        <v>1</v>
      </c>
    </row>
    <row r="281" spans="1:2">
      <c r="A281" s="238" t="s">
        <v>5503</v>
      </c>
      <c r="B281" s="239">
        <v>1</v>
      </c>
    </row>
    <row r="282" spans="1:2">
      <c r="A282" s="238" t="s">
        <v>5504</v>
      </c>
      <c r="B282" s="239">
        <v>2</v>
      </c>
    </row>
    <row r="283" spans="1:2">
      <c r="A283" s="238" t="s">
        <v>5505</v>
      </c>
      <c r="B283" s="239">
        <v>1</v>
      </c>
    </row>
    <row r="284" spans="1:2">
      <c r="A284" s="238" t="s">
        <v>5506</v>
      </c>
      <c r="B284" s="239">
        <v>1</v>
      </c>
    </row>
    <row r="285" spans="1:2">
      <c r="A285" s="238" t="s">
        <v>5507</v>
      </c>
      <c r="B285" s="239">
        <v>1</v>
      </c>
    </row>
    <row r="286" spans="1:2">
      <c r="A286" s="238" t="s">
        <v>5508</v>
      </c>
      <c r="B286" s="239">
        <v>1</v>
      </c>
    </row>
    <row r="287" spans="1:2">
      <c r="A287" s="238" t="s">
        <v>5509</v>
      </c>
      <c r="B287" s="239">
        <v>1</v>
      </c>
    </row>
    <row r="288" spans="1:2">
      <c r="A288" s="238" t="s">
        <v>5510</v>
      </c>
      <c r="B288" s="239">
        <v>1</v>
      </c>
    </row>
    <row r="289" spans="1:2">
      <c r="A289" s="238" t="s">
        <v>5511</v>
      </c>
      <c r="B289" s="239">
        <v>1</v>
      </c>
    </row>
    <row r="290" spans="1:2">
      <c r="A290" s="238" t="s">
        <v>5512</v>
      </c>
      <c r="B290" s="239">
        <v>1</v>
      </c>
    </row>
    <row r="291" spans="1:2">
      <c r="A291" s="238" t="s">
        <v>5513</v>
      </c>
      <c r="B291" s="239">
        <v>2</v>
      </c>
    </row>
    <row r="292" spans="1:2">
      <c r="A292" s="238" t="s">
        <v>5514</v>
      </c>
      <c r="B292" s="239">
        <v>1</v>
      </c>
    </row>
    <row r="293" spans="1:2">
      <c r="A293" s="238" t="s">
        <v>5515</v>
      </c>
      <c r="B293" s="239">
        <v>1</v>
      </c>
    </row>
    <row r="294" spans="1:2">
      <c r="A294" s="238" t="s">
        <v>5516</v>
      </c>
      <c r="B294" s="239">
        <v>1</v>
      </c>
    </row>
    <row r="295" spans="1:2">
      <c r="A295" s="238" t="s">
        <v>5517</v>
      </c>
      <c r="B295" s="239">
        <v>1</v>
      </c>
    </row>
    <row r="296" spans="1:2">
      <c r="A296" s="238" t="s">
        <v>5518</v>
      </c>
      <c r="B296" s="239">
        <v>1</v>
      </c>
    </row>
    <row r="297" spans="1:2">
      <c r="A297" s="238" t="s">
        <v>5519</v>
      </c>
      <c r="B297" s="239">
        <v>1</v>
      </c>
    </row>
    <row r="298" spans="1:2">
      <c r="A298" s="238" t="s">
        <v>5520</v>
      </c>
      <c r="B298" s="239">
        <v>1</v>
      </c>
    </row>
    <row r="299" spans="1:2">
      <c r="A299" s="238" t="s">
        <v>5521</v>
      </c>
      <c r="B299" s="239">
        <v>1</v>
      </c>
    </row>
    <row r="300" spans="1:2">
      <c r="A300" s="238" t="s">
        <v>5522</v>
      </c>
      <c r="B300" s="239">
        <v>1</v>
      </c>
    </row>
    <row r="301" spans="1:2">
      <c r="A301" s="238" t="s">
        <v>5523</v>
      </c>
      <c r="B301" s="239">
        <v>1</v>
      </c>
    </row>
    <row r="302" spans="1:2">
      <c r="A302" s="238" t="s">
        <v>5524</v>
      </c>
      <c r="B302" s="239">
        <v>1</v>
      </c>
    </row>
    <row r="303" spans="1:2">
      <c r="A303" s="238" t="s">
        <v>5525</v>
      </c>
      <c r="B303" s="239">
        <v>1</v>
      </c>
    </row>
    <row r="304" spans="1:2">
      <c r="A304" s="238" t="s">
        <v>5526</v>
      </c>
      <c r="B304" s="239">
        <v>1</v>
      </c>
    </row>
    <row r="305" spans="1:2">
      <c r="A305" s="238" t="s">
        <v>5527</v>
      </c>
      <c r="B305" s="239">
        <v>1</v>
      </c>
    </row>
    <row r="306" spans="1:2">
      <c r="A306" s="238" t="s">
        <v>5528</v>
      </c>
      <c r="B306" s="239">
        <v>1</v>
      </c>
    </row>
    <row r="307" spans="1:2">
      <c r="A307" s="238" t="s">
        <v>5529</v>
      </c>
      <c r="B307" s="239">
        <v>3</v>
      </c>
    </row>
    <row r="308" spans="1:2">
      <c r="A308" s="238" t="s">
        <v>5530</v>
      </c>
      <c r="B308" s="239">
        <v>1</v>
      </c>
    </row>
    <row r="309" spans="1:2">
      <c r="A309" s="238" t="s">
        <v>5531</v>
      </c>
      <c r="B309" s="239">
        <v>1</v>
      </c>
    </row>
    <row r="310" spans="1:2">
      <c r="A310" s="238" t="s">
        <v>5532</v>
      </c>
      <c r="B310" s="239">
        <v>1</v>
      </c>
    </row>
    <row r="311" spans="1:2">
      <c r="A311" s="238" t="s">
        <v>5533</v>
      </c>
      <c r="B311" s="239">
        <v>1</v>
      </c>
    </row>
    <row r="312" spans="1:2">
      <c r="A312" s="238" t="s">
        <v>5534</v>
      </c>
      <c r="B312" s="239">
        <v>1</v>
      </c>
    </row>
    <row r="313" spans="1:2">
      <c r="A313" s="238" t="s">
        <v>5535</v>
      </c>
      <c r="B313" s="239">
        <v>1</v>
      </c>
    </row>
    <row r="314" spans="1:2">
      <c r="A314" s="238" t="s">
        <v>5536</v>
      </c>
      <c r="B314" s="239">
        <v>1</v>
      </c>
    </row>
    <row r="315" spans="1:2">
      <c r="A315" s="238" t="s">
        <v>5537</v>
      </c>
      <c r="B315" s="239">
        <v>1</v>
      </c>
    </row>
    <row r="316" spans="1:2">
      <c r="A316" s="238" t="s">
        <v>5538</v>
      </c>
      <c r="B316" s="239">
        <v>1</v>
      </c>
    </row>
    <row r="317" spans="1:2">
      <c r="A317" s="238" t="s">
        <v>5539</v>
      </c>
      <c r="B317" s="239">
        <v>1</v>
      </c>
    </row>
    <row r="318" spans="1:2">
      <c r="A318" s="238" t="s">
        <v>5540</v>
      </c>
      <c r="B318" s="239">
        <v>1</v>
      </c>
    </row>
    <row r="319" spans="1:2">
      <c r="A319" s="238" t="s">
        <v>5541</v>
      </c>
      <c r="B319" s="239">
        <v>1</v>
      </c>
    </row>
    <row r="320" spans="1:2">
      <c r="A320" s="238" t="s">
        <v>5542</v>
      </c>
      <c r="B320" s="239">
        <v>1</v>
      </c>
    </row>
    <row r="321" spans="1:2">
      <c r="A321" s="238" t="s">
        <v>5543</v>
      </c>
      <c r="B321" s="239">
        <v>1</v>
      </c>
    </row>
    <row r="322" spans="1:2">
      <c r="A322" s="238" t="s">
        <v>5544</v>
      </c>
      <c r="B322" s="239">
        <v>1</v>
      </c>
    </row>
    <row r="323" spans="1:2">
      <c r="A323" s="238" t="s">
        <v>5545</v>
      </c>
      <c r="B323" s="239">
        <v>1</v>
      </c>
    </row>
    <row r="324" spans="1:2">
      <c r="A324" s="238" t="s">
        <v>5546</v>
      </c>
      <c r="B324" s="239">
        <v>1</v>
      </c>
    </row>
    <row r="325" spans="1:2">
      <c r="A325" s="238" t="s">
        <v>5547</v>
      </c>
      <c r="B325" s="239">
        <v>1</v>
      </c>
    </row>
    <row r="326" spans="1:2">
      <c r="A326" s="238" t="s">
        <v>5548</v>
      </c>
      <c r="B326" s="239">
        <v>1</v>
      </c>
    </row>
    <row r="327" spans="1:2">
      <c r="A327" s="238" t="s">
        <v>5549</v>
      </c>
      <c r="B327" s="239">
        <v>2</v>
      </c>
    </row>
    <row r="328" spans="1:2">
      <c r="A328" s="238" t="s">
        <v>5550</v>
      </c>
      <c r="B328" s="239">
        <v>1</v>
      </c>
    </row>
    <row r="329" spans="1:2">
      <c r="A329" s="238" t="s">
        <v>5551</v>
      </c>
      <c r="B329" s="239">
        <v>1</v>
      </c>
    </row>
    <row r="330" spans="1:2">
      <c r="A330" s="238" t="s">
        <v>5552</v>
      </c>
      <c r="B330" s="239">
        <v>1</v>
      </c>
    </row>
    <row r="331" spans="1:2">
      <c r="A331" s="238" t="s">
        <v>5553</v>
      </c>
      <c r="B331" s="239">
        <v>1</v>
      </c>
    </row>
    <row r="332" spans="1:2">
      <c r="A332" s="238" t="s">
        <v>5554</v>
      </c>
      <c r="B332" s="239">
        <v>1</v>
      </c>
    </row>
    <row r="333" spans="1:2">
      <c r="A333" s="238" t="s">
        <v>5555</v>
      </c>
      <c r="B333" s="239">
        <v>1</v>
      </c>
    </row>
    <row r="334" spans="1:2">
      <c r="A334" s="238" t="s">
        <v>5556</v>
      </c>
      <c r="B334" s="239">
        <v>1</v>
      </c>
    </row>
    <row r="335" spans="1:2">
      <c r="A335" s="238" t="s">
        <v>5557</v>
      </c>
      <c r="B335" s="239">
        <v>1</v>
      </c>
    </row>
    <row r="336" spans="1:2">
      <c r="A336" s="238" t="s">
        <v>5558</v>
      </c>
      <c r="B336" s="239">
        <v>1</v>
      </c>
    </row>
    <row r="337" spans="1:2">
      <c r="A337" s="238" t="s">
        <v>5559</v>
      </c>
      <c r="B337" s="239">
        <v>1</v>
      </c>
    </row>
    <row r="338" spans="1:2">
      <c r="A338" s="238" t="s">
        <v>5560</v>
      </c>
      <c r="B338" s="239">
        <v>1</v>
      </c>
    </row>
    <row r="339" spans="1:2">
      <c r="A339" s="238" t="s">
        <v>5561</v>
      </c>
      <c r="B339" s="239">
        <v>1</v>
      </c>
    </row>
    <row r="340" spans="1:2">
      <c r="A340" s="238" t="s">
        <v>5562</v>
      </c>
      <c r="B340" s="239">
        <v>1</v>
      </c>
    </row>
    <row r="341" spans="1:2">
      <c r="A341" s="238" t="s">
        <v>5563</v>
      </c>
      <c r="B341" s="239">
        <v>1</v>
      </c>
    </row>
    <row r="342" spans="1:2">
      <c r="A342" s="238" t="s">
        <v>5564</v>
      </c>
      <c r="B342" s="239">
        <v>1</v>
      </c>
    </row>
    <row r="343" spans="1:2">
      <c r="A343" s="238" t="s">
        <v>5565</v>
      </c>
      <c r="B343" s="239">
        <v>1</v>
      </c>
    </row>
    <row r="344" spans="1:2">
      <c r="A344" s="238" t="s">
        <v>5566</v>
      </c>
      <c r="B344" s="239">
        <v>1</v>
      </c>
    </row>
    <row r="345" spans="1:2">
      <c r="A345" s="238" t="s">
        <v>5567</v>
      </c>
      <c r="B345" s="239">
        <v>1</v>
      </c>
    </row>
    <row r="346" spans="1:2">
      <c r="A346" s="238" t="s">
        <v>5568</v>
      </c>
      <c r="B346" s="239">
        <v>1</v>
      </c>
    </row>
    <row r="347" spans="1:2">
      <c r="A347" s="238" t="s">
        <v>5569</v>
      </c>
      <c r="B347" s="239">
        <v>1</v>
      </c>
    </row>
    <row r="348" spans="1:2">
      <c r="A348" s="238" t="s">
        <v>5570</v>
      </c>
      <c r="B348" s="239">
        <v>1</v>
      </c>
    </row>
    <row r="349" spans="1:2">
      <c r="A349" s="238" t="s">
        <v>5571</v>
      </c>
      <c r="B349" s="239">
        <v>1</v>
      </c>
    </row>
    <row r="350" spans="1:2">
      <c r="A350" s="238" t="s">
        <v>5572</v>
      </c>
      <c r="B350" s="239">
        <v>2</v>
      </c>
    </row>
    <row r="351" spans="1:2">
      <c r="A351" s="238" t="s">
        <v>5573</v>
      </c>
      <c r="B351" s="239">
        <v>1</v>
      </c>
    </row>
    <row r="352" spans="1:2">
      <c r="A352" s="238" t="s">
        <v>5574</v>
      </c>
      <c r="B352" s="239">
        <v>1</v>
      </c>
    </row>
    <row r="353" spans="1:2">
      <c r="A353" s="238" t="s">
        <v>5575</v>
      </c>
      <c r="B353" s="239">
        <v>1</v>
      </c>
    </row>
    <row r="354" spans="1:2">
      <c r="A354" s="238" t="s">
        <v>5576</v>
      </c>
      <c r="B354" s="239">
        <v>2</v>
      </c>
    </row>
    <row r="355" spans="1:2">
      <c r="A355" s="238" t="s">
        <v>5577</v>
      </c>
      <c r="B355" s="239">
        <v>1</v>
      </c>
    </row>
    <row r="356" spans="1:2">
      <c r="A356" s="238" t="s">
        <v>5578</v>
      </c>
      <c r="B356" s="239">
        <v>1</v>
      </c>
    </row>
    <row r="357" spans="1:2">
      <c r="A357" s="238" t="s">
        <v>5579</v>
      </c>
      <c r="B357" s="239">
        <v>1</v>
      </c>
    </row>
    <row r="358" spans="1:2">
      <c r="A358" s="238" t="s">
        <v>5580</v>
      </c>
      <c r="B358" s="239">
        <v>1</v>
      </c>
    </row>
    <row r="359" spans="1:2">
      <c r="A359" s="238" t="s">
        <v>5581</v>
      </c>
      <c r="B359" s="239">
        <v>1</v>
      </c>
    </row>
    <row r="360" spans="1:2">
      <c r="A360" s="238" t="s">
        <v>5582</v>
      </c>
      <c r="B360" s="239">
        <v>1</v>
      </c>
    </row>
    <row r="361" spans="1:2">
      <c r="A361" s="238" t="s">
        <v>5583</v>
      </c>
      <c r="B361" s="239">
        <v>1</v>
      </c>
    </row>
    <row r="362" spans="1:2">
      <c r="A362" s="238" t="s">
        <v>5584</v>
      </c>
      <c r="B362" s="239">
        <v>1</v>
      </c>
    </row>
    <row r="363" spans="1:2">
      <c r="A363" s="238" t="s">
        <v>5585</v>
      </c>
      <c r="B363" s="239">
        <v>1</v>
      </c>
    </row>
    <row r="364" spans="1:2">
      <c r="A364" s="238" t="s">
        <v>5586</v>
      </c>
      <c r="B364" s="239">
        <v>1</v>
      </c>
    </row>
    <row r="365" spans="1:2">
      <c r="A365" s="238" t="s">
        <v>5587</v>
      </c>
      <c r="B365" s="239">
        <v>1</v>
      </c>
    </row>
    <row r="366" spans="1:2">
      <c r="A366" s="238" t="s">
        <v>5588</v>
      </c>
      <c r="B366" s="239">
        <v>1</v>
      </c>
    </row>
    <row r="367" spans="1:2">
      <c r="A367" s="238" t="s">
        <v>5589</v>
      </c>
      <c r="B367" s="239">
        <v>1</v>
      </c>
    </row>
    <row r="368" spans="1:2">
      <c r="A368" s="238" t="s">
        <v>5590</v>
      </c>
      <c r="B368" s="239">
        <v>1</v>
      </c>
    </row>
    <row r="369" spans="1:2">
      <c r="A369" s="238" t="s">
        <v>5591</v>
      </c>
      <c r="B369" s="239">
        <v>1</v>
      </c>
    </row>
    <row r="370" spans="1:2">
      <c r="A370" s="238" t="s">
        <v>5592</v>
      </c>
      <c r="B370" s="239">
        <v>1</v>
      </c>
    </row>
    <row r="371" spans="1:2">
      <c r="A371" s="238" t="s">
        <v>5593</v>
      </c>
      <c r="B371" s="239">
        <v>1</v>
      </c>
    </row>
    <row r="372" spans="1:2">
      <c r="A372" s="238" t="s">
        <v>5594</v>
      </c>
      <c r="B372" s="239">
        <v>1</v>
      </c>
    </row>
    <row r="373" spans="1:2">
      <c r="A373" s="238" t="s">
        <v>5595</v>
      </c>
      <c r="B373" s="239">
        <v>1</v>
      </c>
    </row>
    <row r="374" spans="1:2">
      <c r="A374" s="238" t="s">
        <v>5596</v>
      </c>
      <c r="B374" s="239">
        <v>2</v>
      </c>
    </row>
    <row r="375" spans="1:2">
      <c r="A375" s="238" t="s">
        <v>5597</v>
      </c>
      <c r="B375" s="239">
        <v>1</v>
      </c>
    </row>
    <row r="376" spans="1:2">
      <c r="A376" s="238" t="s">
        <v>5598</v>
      </c>
      <c r="B376" s="239">
        <v>1</v>
      </c>
    </row>
    <row r="377" spans="1:2">
      <c r="A377" s="238" t="s">
        <v>5599</v>
      </c>
      <c r="B377" s="239">
        <v>1</v>
      </c>
    </row>
    <row r="378" spans="1:2">
      <c r="A378" s="238" t="s">
        <v>5600</v>
      </c>
      <c r="B378" s="239">
        <v>1</v>
      </c>
    </row>
    <row r="379" spans="1:2">
      <c r="A379" s="238" t="s">
        <v>5601</v>
      </c>
      <c r="B379" s="239">
        <v>3</v>
      </c>
    </row>
    <row r="380" spans="1:2">
      <c r="A380" s="238" t="s">
        <v>5602</v>
      </c>
      <c r="B380" s="239">
        <v>1</v>
      </c>
    </row>
    <row r="381" spans="1:2">
      <c r="A381" s="238" t="s">
        <v>5603</v>
      </c>
      <c r="B381" s="239">
        <v>1</v>
      </c>
    </row>
    <row r="382" spans="1:2">
      <c r="A382" s="238" t="s">
        <v>5604</v>
      </c>
      <c r="B382" s="239">
        <v>1</v>
      </c>
    </row>
    <row r="383" spans="1:2">
      <c r="A383" s="238" t="s">
        <v>5605</v>
      </c>
      <c r="B383" s="239">
        <v>1</v>
      </c>
    </row>
    <row r="384" spans="1:2">
      <c r="A384" s="238" t="s">
        <v>5606</v>
      </c>
      <c r="B384" s="239">
        <v>1</v>
      </c>
    </row>
    <row r="385" spans="1:2">
      <c r="A385" s="238" t="s">
        <v>5607</v>
      </c>
      <c r="B385" s="239">
        <v>1</v>
      </c>
    </row>
    <row r="386" spans="1:2">
      <c r="A386" s="238" t="s">
        <v>5608</v>
      </c>
      <c r="B386" s="239">
        <v>1</v>
      </c>
    </row>
    <row r="387" spans="1:2">
      <c r="A387" s="238" t="s">
        <v>5609</v>
      </c>
      <c r="B387" s="239">
        <v>1</v>
      </c>
    </row>
    <row r="388" spans="1:2">
      <c r="A388" s="238" t="s">
        <v>5610</v>
      </c>
      <c r="B388" s="239">
        <v>1</v>
      </c>
    </row>
    <row r="389" spans="1:2">
      <c r="A389" s="238" t="s">
        <v>5611</v>
      </c>
      <c r="B389" s="239">
        <v>1</v>
      </c>
    </row>
    <row r="390" spans="1:2">
      <c r="A390" s="238" t="s">
        <v>5612</v>
      </c>
      <c r="B390" s="239">
        <v>1</v>
      </c>
    </row>
    <row r="391" spans="1:2">
      <c r="A391" s="238" t="s">
        <v>5613</v>
      </c>
      <c r="B391" s="239">
        <v>1</v>
      </c>
    </row>
    <row r="392" spans="1:2">
      <c r="A392" s="238" t="s">
        <v>5614</v>
      </c>
      <c r="B392" s="239">
        <v>1</v>
      </c>
    </row>
    <row r="393" spans="1:2">
      <c r="A393" s="238" t="s">
        <v>5615</v>
      </c>
      <c r="B393" s="239">
        <v>1</v>
      </c>
    </row>
    <row r="394" spans="1:2">
      <c r="A394" s="238" t="s">
        <v>5616</v>
      </c>
      <c r="B394" s="239">
        <v>1</v>
      </c>
    </row>
    <row r="395" spans="1:2">
      <c r="A395" s="238" t="s">
        <v>5617</v>
      </c>
      <c r="B395" s="239">
        <v>1</v>
      </c>
    </row>
    <row r="396" spans="1:2">
      <c r="A396" s="238" t="s">
        <v>5618</v>
      </c>
      <c r="B396" s="239">
        <v>1</v>
      </c>
    </row>
    <row r="397" spans="1:2">
      <c r="A397" s="238" t="s">
        <v>5619</v>
      </c>
      <c r="B397" s="239">
        <v>2</v>
      </c>
    </row>
    <row r="398" spans="1:2">
      <c r="A398" s="238" t="s">
        <v>5620</v>
      </c>
      <c r="B398" s="239">
        <v>1</v>
      </c>
    </row>
    <row r="399" spans="1:2">
      <c r="A399" s="238" t="s">
        <v>5621</v>
      </c>
      <c r="B399" s="239">
        <v>1</v>
      </c>
    </row>
    <row r="400" spans="1:2">
      <c r="A400" s="238" t="s">
        <v>5622</v>
      </c>
      <c r="B400" s="239">
        <v>1</v>
      </c>
    </row>
    <row r="401" spans="1:2">
      <c r="A401" s="238" t="s">
        <v>5623</v>
      </c>
      <c r="B401" s="239">
        <v>1</v>
      </c>
    </row>
    <row r="402" spans="1:2">
      <c r="A402" s="238" t="s">
        <v>5624</v>
      </c>
      <c r="B402" s="239">
        <v>1</v>
      </c>
    </row>
    <row r="403" spans="1:2">
      <c r="A403" s="238" t="s">
        <v>5625</v>
      </c>
      <c r="B403" s="239">
        <v>1</v>
      </c>
    </row>
    <row r="404" spans="1:2">
      <c r="A404" s="238" t="s">
        <v>5626</v>
      </c>
      <c r="B404" s="239">
        <v>1</v>
      </c>
    </row>
    <row r="405" spans="1:2">
      <c r="A405" s="238" t="s">
        <v>5627</v>
      </c>
      <c r="B405" s="239">
        <v>1</v>
      </c>
    </row>
    <row r="406" spans="1:2">
      <c r="A406" s="238" t="s">
        <v>5628</v>
      </c>
      <c r="B406" s="239">
        <v>1</v>
      </c>
    </row>
    <row r="407" spans="1:2">
      <c r="A407" s="238" t="s">
        <v>5629</v>
      </c>
      <c r="B407" s="239">
        <v>1</v>
      </c>
    </row>
    <row r="408" spans="1:2">
      <c r="A408" s="238" t="s">
        <v>5630</v>
      </c>
      <c r="B408" s="239">
        <v>1</v>
      </c>
    </row>
    <row r="409" spans="1:2">
      <c r="A409" s="238" t="s">
        <v>5631</v>
      </c>
      <c r="B409" s="239">
        <v>1</v>
      </c>
    </row>
    <row r="410" spans="1:2">
      <c r="A410" s="238" t="s">
        <v>5632</v>
      </c>
      <c r="B410" s="239">
        <v>1</v>
      </c>
    </row>
    <row r="411" spans="1:2">
      <c r="A411" s="238" t="s">
        <v>5633</v>
      </c>
      <c r="B411" s="239">
        <v>1</v>
      </c>
    </row>
    <row r="412" spans="1:2">
      <c r="A412" s="238" t="s">
        <v>5634</v>
      </c>
      <c r="B412" s="239">
        <v>1</v>
      </c>
    </row>
    <row r="413" spans="1:2">
      <c r="A413" s="238" t="s">
        <v>5635</v>
      </c>
      <c r="B413" s="239">
        <v>1</v>
      </c>
    </row>
    <row r="414" spans="1:2">
      <c r="A414" s="238" t="s">
        <v>5636</v>
      </c>
      <c r="B414" s="239">
        <v>1</v>
      </c>
    </row>
    <row r="415" spans="1:2">
      <c r="A415" s="238" t="s">
        <v>5637</v>
      </c>
      <c r="B415" s="239">
        <v>1</v>
      </c>
    </row>
    <row r="416" spans="1:2">
      <c r="A416" s="238" t="s">
        <v>5638</v>
      </c>
      <c r="B416" s="239">
        <v>1</v>
      </c>
    </row>
    <row r="417" spans="1:2">
      <c r="A417" s="238" t="s">
        <v>5639</v>
      </c>
      <c r="B417" s="239">
        <v>1</v>
      </c>
    </row>
    <row r="418" spans="1:2">
      <c r="A418" s="238" t="s">
        <v>5640</v>
      </c>
      <c r="B418" s="239">
        <v>1</v>
      </c>
    </row>
    <row r="419" spans="1:2">
      <c r="A419" s="238" t="s">
        <v>5641</v>
      </c>
      <c r="B419" s="239">
        <v>1</v>
      </c>
    </row>
    <row r="420" spans="1:2">
      <c r="A420" s="238" t="s">
        <v>5642</v>
      </c>
      <c r="B420" s="239">
        <v>2</v>
      </c>
    </row>
    <row r="421" spans="1:2">
      <c r="A421" s="238" t="s">
        <v>5643</v>
      </c>
      <c r="B421" s="239">
        <v>1</v>
      </c>
    </row>
    <row r="422" spans="1:2">
      <c r="A422" s="238" t="s">
        <v>5644</v>
      </c>
      <c r="B422" s="239">
        <v>1</v>
      </c>
    </row>
    <row r="423" spans="1:2">
      <c r="A423" s="238" t="s">
        <v>5645</v>
      </c>
      <c r="B423" s="239">
        <v>1</v>
      </c>
    </row>
    <row r="424" spans="1:2">
      <c r="A424" s="238" t="s">
        <v>5646</v>
      </c>
      <c r="B424" s="239">
        <v>1</v>
      </c>
    </row>
    <row r="425" spans="1:2">
      <c r="A425" s="238" t="s">
        <v>5647</v>
      </c>
      <c r="B425" s="239">
        <v>1</v>
      </c>
    </row>
    <row r="426" spans="1:2">
      <c r="A426" s="238" t="s">
        <v>5648</v>
      </c>
      <c r="B426" s="239">
        <v>1</v>
      </c>
    </row>
    <row r="427" spans="1:2">
      <c r="A427" s="238" t="s">
        <v>5649</v>
      </c>
      <c r="B427" s="239">
        <v>1</v>
      </c>
    </row>
    <row r="428" spans="1:2">
      <c r="A428" s="238" t="s">
        <v>5650</v>
      </c>
      <c r="B428" s="239">
        <v>1</v>
      </c>
    </row>
    <row r="429" spans="1:2">
      <c r="A429" s="238" t="s">
        <v>5651</v>
      </c>
      <c r="B429" s="239">
        <v>1</v>
      </c>
    </row>
    <row r="430" spans="1:2">
      <c r="A430" s="238" t="s">
        <v>5652</v>
      </c>
      <c r="B430" s="239">
        <v>1</v>
      </c>
    </row>
    <row r="431" spans="1:2">
      <c r="A431" s="238" t="s">
        <v>5653</v>
      </c>
      <c r="B431" s="239">
        <v>1</v>
      </c>
    </row>
    <row r="432" spans="1:2">
      <c r="A432" s="238" t="s">
        <v>5654</v>
      </c>
      <c r="B432" s="239">
        <v>1</v>
      </c>
    </row>
    <row r="433" spans="1:2">
      <c r="A433" s="238" t="s">
        <v>5655</v>
      </c>
      <c r="B433" s="239">
        <v>1</v>
      </c>
    </row>
    <row r="434" spans="1:2">
      <c r="A434" s="238" t="s">
        <v>5656</v>
      </c>
      <c r="B434" s="239">
        <v>1</v>
      </c>
    </row>
    <row r="435" spans="1:2">
      <c r="A435" s="238" t="s">
        <v>5657</v>
      </c>
      <c r="B435" s="239">
        <v>1</v>
      </c>
    </row>
    <row r="436" spans="1:2">
      <c r="A436" s="238" t="s">
        <v>5658</v>
      </c>
      <c r="B436" s="239">
        <v>1</v>
      </c>
    </row>
    <row r="437" spans="1:2">
      <c r="A437" s="238" t="s">
        <v>5659</v>
      </c>
      <c r="B437" s="239">
        <v>1</v>
      </c>
    </row>
    <row r="438" spans="1:2">
      <c r="A438" s="238" t="s">
        <v>5660</v>
      </c>
      <c r="B438" s="239">
        <v>1</v>
      </c>
    </row>
    <row r="439" spans="1:2">
      <c r="A439" s="238" t="s">
        <v>5661</v>
      </c>
      <c r="B439" s="239">
        <v>1</v>
      </c>
    </row>
    <row r="440" spans="1:2">
      <c r="A440" s="238" t="s">
        <v>5662</v>
      </c>
      <c r="B440" s="239">
        <v>1</v>
      </c>
    </row>
    <row r="441" spans="1:2">
      <c r="A441" s="238" t="s">
        <v>5663</v>
      </c>
      <c r="B441" s="239">
        <v>1</v>
      </c>
    </row>
    <row r="442" spans="1:2">
      <c r="A442" s="238" t="s">
        <v>5664</v>
      </c>
      <c r="B442" s="239">
        <v>1</v>
      </c>
    </row>
    <row r="443" spans="1:2">
      <c r="A443" s="238" t="s">
        <v>5665</v>
      </c>
      <c r="B443" s="239">
        <v>1</v>
      </c>
    </row>
    <row r="444" spans="1:2">
      <c r="A444" s="238" t="s">
        <v>5666</v>
      </c>
      <c r="B444" s="239">
        <v>2</v>
      </c>
    </row>
    <row r="445" spans="1:2">
      <c r="A445" s="238" t="s">
        <v>5667</v>
      </c>
      <c r="B445" s="239">
        <v>1</v>
      </c>
    </row>
    <row r="446" spans="1:2">
      <c r="A446" s="238" t="s">
        <v>5668</v>
      </c>
      <c r="B446" s="239">
        <v>1</v>
      </c>
    </row>
    <row r="447" spans="1:2">
      <c r="A447" s="238" t="s">
        <v>5669</v>
      </c>
      <c r="B447" s="239">
        <v>1</v>
      </c>
    </row>
    <row r="448" spans="1:2">
      <c r="A448" s="238" t="s">
        <v>5670</v>
      </c>
      <c r="B448" s="239">
        <v>1</v>
      </c>
    </row>
    <row r="449" spans="1:2">
      <c r="A449" s="238" t="s">
        <v>5671</v>
      </c>
      <c r="B449" s="239">
        <v>1</v>
      </c>
    </row>
    <row r="450" spans="1:2">
      <c r="A450" s="238" t="s">
        <v>5672</v>
      </c>
      <c r="B450" s="239">
        <v>1</v>
      </c>
    </row>
    <row r="451" spans="1:2">
      <c r="A451" s="238" t="s">
        <v>5673</v>
      </c>
      <c r="B451" s="239">
        <v>1</v>
      </c>
    </row>
    <row r="452" spans="1:2">
      <c r="A452" s="238" t="s">
        <v>5674</v>
      </c>
      <c r="B452" s="239">
        <v>1</v>
      </c>
    </row>
    <row r="453" spans="1:2">
      <c r="A453" s="238" t="s">
        <v>5675</v>
      </c>
      <c r="B453" s="239">
        <v>1</v>
      </c>
    </row>
    <row r="454" spans="1:2">
      <c r="A454" s="238" t="s">
        <v>5676</v>
      </c>
      <c r="B454" s="239">
        <v>1</v>
      </c>
    </row>
    <row r="455" spans="1:2">
      <c r="A455" s="238" t="s">
        <v>5677</v>
      </c>
      <c r="B455" s="239">
        <v>1</v>
      </c>
    </row>
    <row r="456" spans="1:2">
      <c r="A456" s="238" t="s">
        <v>5678</v>
      </c>
      <c r="B456" s="239">
        <v>1</v>
      </c>
    </row>
    <row r="457" spans="1:2">
      <c r="A457" s="238" t="s">
        <v>5679</v>
      </c>
      <c r="B457" s="239">
        <v>1</v>
      </c>
    </row>
    <row r="458" spans="1:2">
      <c r="A458" s="238" t="s">
        <v>5680</v>
      </c>
      <c r="B458" s="239">
        <v>1</v>
      </c>
    </row>
    <row r="459" spans="1:2">
      <c r="A459" s="238" t="s">
        <v>5681</v>
      </c>
      <c r="B459" s="239">
        <v>3</v>
      </c>
    </row>
    <row r="460" spans="1:2">
      <c r="A460" s="238" t="s">
        <v>5682</v>
      </c>
      <c r="B460" s="239">
        <v>1</v>
      </c>
    </row>
    <row r="461" spans="1:2">
      <c r="A461" s="238" t="s">
        <v>5683</v>
      </c>
      <c r="B461" s="239">
        <v>1</v>
      </c>
    </row>
    <row r="462" spans="1:2">
      <c r="A462" s="238" t="s">
        <v>5684</v>
      </c>
      <c r="B462" s="239">
        <v>2</v>
      </c>
    </row>
    <row r="463" spans="1:2">
      <c r="A463" s="238" t="s">
        <v>5685</v>
      </c>
      <c r="B463" s="239">
        <v>1</v>
      </c>
    </row>
    <row r="464" spans="1:2">
      <c r="A464" s="238" t="s">
        <v>5686</v>
      </c>
      <c r="B464" s="239">
        <v>1</v>
      </c>
    </row>
    <row r="465" spans="1:2">
      <c r="A465" s="238" t="s">
        <v>5687</v>
      </c>
      <c r="B465" s="239">
        <v>1</v>
      </c>
    </row>
    <row r="466" spans="1:2">
      <c r="A466" s="238" t="s">
        <v>5688</v>
      </c>
      <c r="B466" s="239">
        <v>1</v>
      </c>
    </row>
    <row r="467" spans="1:2">
      <c r="A467" s="238" t="s">
        <v>5689</v>
      </c>
      <c r="B467" s="239">
        <v>1</v>
      </c>
    </row>
    <row r="468" spans="1:2">
      <c r="A468" s="238" t="s">
        <v>5690</v>
      </c>
      <c r="B468" s="239">
        <v>1</v>
      </c>
    </row>
    <row r="469" spans="1:2">
      <c r="A469" s="238" t="s">
        <v>5691</v>
      </c>
      <c r="B469" s="239">
        <v>1</v>
      </c>
    </row>
    <row r="470" spans="1:2">
      <c r="A470" s="238" t="s">
        <v>5692</v>
      </c>
      <c r="B470" s="239">
        <v>1</v>
      </c>
    </row>
    <row r="471" spans="1:2">
      <c r="A471" s="238" t="s">
        <v>5693</v>
      </c>
      <c r="B471" s="239">
        <v>2</v>
      </c>
    </row>
    <row r="472" spans="1:2">
      <c r="A472" s="238" t="s">
        <v>5694</v>
      </c>
      <c r="B472" s="239">
        <v>1</v>
      </c>
    </row>
    <row r="473" spans="1:2">
      <c r="A473" s="238" t="s">
        <v>5695</v>
      </c>
      <c r="B473" s="239">
        <v>1</v>
      </c>
    </row>
    <row r="474" spans="1:2">
      <c r="A474" s="238" t="s">
        <v>5696</v>
      </c>
      <c r="B474" s="239">
        <v>1</v>
      </c>
    </row>
    <row r="475" spans="1:2">
      <c r="A475" s="238" t="s">
        <v>5697</v>
      </c>
      <c r="B475" s="239">
        <v>1</v>
      </c>
    </row>
    <row r="476" spans="1:2">
      <c r="A476" s="238" t="s">
        <v>5698</v>
      </c>
      <c r="B476" s="239">
        <v>1</v>
      </c>
    </row>
    <row r="477" spans="1:2">
      <c r="A477" s="238" t="s">
        <v>5699</v>
      </c>
      <c r="B477" s="239">
        <v>2</v>
      </c>
    </row>
    <row r="478" spans="1:2">
      <c r="A478" s="238" t="s">
        <v>5700</v>
      </c>
      <c r="B478" s="239">
        <v>1</v>
      </c>
    </row>
    <row r="479" spans="1:2">
      <c r="A479" s="238" t="s">
        <v>5701</v>
      </c>
      <c r="B479" s="239">
        <v>1</v>
      </c>
    </row>
    <row r="480" spans="1:2">
      <c r="A480" s="238" t="s">
        <v>5702</v>
      </c>
      <c r="B480" s="239">
        <v>1</v>
      </c>
    </row>
    <row r="481" spans="1:2">
      <c r="A481" s="238" t="s">
        <v>5703</v>
      </c>
      <c r="B481" s="239">
        <v>1</v>
      </c>
    </row>
    <row r="482" spans="1:2">
      <c r="A482" s="238" t="s">
        <v>5704</v>
      </c>
      <c r="B482" s="239">
        <v>1</v>
      </c>
    </row>
    <row r="483" spans="1:2">
      <c r="A483" s="238" t="s">
        <v>5705</v>
      </c>
      <c r="B483" s="239">
        <v>1</v>
      </c>
    </row>
    <row r="484" spans="1:2">
      <c r="A484" s="238" t="s">
        <v>5706</v>
      </c>
      <c r="B484" s="239">
        <v>1</v>
      </c>
    </row>
    <row r="485" spans="1:2">
      <c r="A485" s="238" t="s">
        <v>5707</v>
      </c>
      <c r="B485" s="239">
        <v>1</v>
      </c>
    </row>
    <row r="486" spans="1:2">
      <c r="A486" s="238" t="s">
        <v>5708</v>
      </c>
      <c r="B486" s="239">
        <v>1</v>
      </c>
    </row>
    <row r="487" spans="1:2">
      <c r="A487" s="238" t="s">
        <v>5709</v>
      </c>
      <c r="B487" s="239">
        <v>1</v>
      </c>
    </row>
    <row r="488" spans="1:2">
      <c r="A488" s="238" t="s">
        <v>5710</v>
      </c>
      <c r="B488" s="239">
        <v>1</v>
      </c>
    </row>
    <row r="489" spans="1:2">
      <c r="A489" s="238" t="s">
        <v>5711</v>
      </c>
      <c r="B489" s="239">
        <v>1</v>
      </c>
    </row>
    <row r="490" spans="1:2">
      <c r="A490" s="238" t="s">
        <v>5712</v>
      </c>
      <c r="B490" s="239">
        <v>1</v>
      </c>
    </row>
    <row r="491" spans="1:2">
      <c r="A491" s="238" t="s">
        <v>5713</v>
      </c>
      <c r="B491" s="239">
        <v>1</v>
      </c>
    </row>
    <row r="492" spans="1:2">
      <c r="A492" s="238" t="s">
        <v>5714</v>
      </c>
      <c r="B492" s="239">
        <v>1</v>
      </c>
    </row>
    <row r="493" spans="1:2">
      <c r="A493" s="238" t="s">
        <v>5715</v>
      </c>
      <c r="B493" s="239">
        <v>1</v>
      </c>
    </row>
    <row r="494" spans="1:2">
      <c r="A494" s="238" t="s">
        <v>5716</v>
      </c>
      <c r="B494" s="239">
        <v>1</v>
      </c>
    </row>
    <row r="495" spans="1:2">
      <c r="A495" s="238" t="s">
        <v>5717</v>
      </c>
      <c r="B495" s="239">
        <v>1</v>
      </c>
    </row>
    <row r="496" spans="1:2">
      <c r="A496" s="238" t="s">
        <v>5718</v>
      </c>
      <c r="B496" s="239">
        <v>1</v>
      </c>
    </row>
    <row r="497" spans="1:2">
      <c r="A497" s="238" t="s">
        <v>5719</v>
      </c>
      <c r="B497" s="239">
        <v>1</v>
      </c>
    </row>
    <row r="498" spans="1:2">
      <c r="A498" s="238" t="s">
        <v>5720</v>
      </c>
      <c r="B498" s="239">
        <v>1</v>
      </c>
    </row>
    <row r="499" spans="1:2">
      <c r="A499" s="238" t="s">
        <v>5721</v>
      </c>
      <c r="B499" s="239">
        <v>1</v>
      </c>
    </row>
    <row r="500" spans="1:2">
      <c r="A500" s="238" t="s">
        <v>5722</v>
      </c>
      <c r="B500" s="239">
        <v>1</v>
      </c>
    </row>
    <row r="501" spans="1:2">
      <c r="A501" s="238" t="s">
        <v>5723</v>
      </c>
      <c r="B501" s="239">
        <v>1</v>
      </c>
    </row>
    <row r="502" spans="1:2">
      <c r="A502" s="238" t="s">
        <v>5724</v>
      </c>
      <c r="B502" s="239">
        <v>1</v>
      </c>
    </row>
    <row r="503" spans="1:2">
      <c r="A503" s="238" t="s">
        <v>5725</v>
      </c>
      <c r="B503" s="239">
        <v>1</v>
      </c>
    </row>
    <row r="504" spans="1:2">
      <c r="A504" s="238" t="s">
        <v>5726</v>
      </c>
      <c r="B504" s="239">
        <v>1</v>
      </c>
    </row>
    <row r="505" spans="1:2">
      <c r="A505" s="238" t="s">
        <v>5727</v>
      </c>
      <c r="B505" s="239">
        <v>1</v>
      </c>
    </row>
    <row r="506" spans="1:2">
      <c r="A506" s="238" t="s">
        <v>5728</v>
      </c>
      <c r="B506" s="239">
        <v>1</v>
      </c>
    </row>
    <row r="507" spans="1:2">
      <c r="A507" s="238" t="s">
        <v>5729</v>
      </c>
      <c r="B507" s="239">
        <v>1</v>
      </c>
    </row>
    <row r="508" spans="1:2">
      <c r="A508" s="238" t="s">
        <v>5730</v>
      </c>
      <c r="B508" s="239">
        <v>1</v>
      </c>
    </row>
    <row r="509" spans="1:2">
      <c r="A509" s="238" t="s">
        <v>5731</v>
      </c>
      <c r="B509" s="239">
        <v>1</v>
      </c>
    </row>
    <row r="510" spans="1:2">
      <c r="A510" s="238" t="s">
        <v>5732</v>
      </c>
      <c r="B510" s="239">
        <v>1</v>
      </c>
    </row>
    <row r="511" spans="1:2">
      <c r="A511" s="238" t="s">
        <v>5733</v>
      </c>
      <c r="B511" s="239">
        <v>1</v>
      </c>
    </row>
    <row r="512" spans="1:2">
      <c r="A512" s="238" t="s">
        <v>5734</v>
      </c>
      <c r="B512" s="239">
        <v>1</v>
      </c>
    </row>
    <row r="513" spans="1:2">
      <c r="A513" s="238" t="s">
        <v>5735</v>
      </c>
      <c r="B513" s="239">
        <v>2</v>
      </c>
    </row>
    <row r="514" spans="1:2">
      <c r="A514" s="238" t="s">
        <v>5736</v>
      </c>
      <c r="B514" s="239">
        <v>1</v>
      </c>
    </row>
    <row r="515" spans="1:2">
      <c r="A515" s="238" t="s">
        <v>5737</v>
      </c>
      <c r="B515" s="239">
        <v>1</v>
      </c>
    </row>
    <row r="516" spans="1:2">
      <c r="A516" s="238" t="s">
        <v>5738</v>
      </c>
      <c r="B516" s="239">
        <v>2</v>
      </c>
    </row>
    <row r="517" spans="1:2">
      <c r="A517" s="238" t="s">
        <v>5739</v>
      </c>
      <c r="B517" s="239">
        <v>1</v>
      </c>
    </row>
    <row r="518" spans="1:2">
      <c r="A518" s="238" t="s">
        <v>5740</v>
      </c>
      <c r="B518" s="239">
        <v>2</v>
      </c>
    </row>
    <row r="519" spans="1:2">
      <c r="A519" s="238" t="s">
        <v>5741</v>
      </c>
      <c r="B519" s="239">
        <v>1</v>
      </c>
    </row>
    <row r="520" spans="1:2">
      <c r="A520" s="238" t="s">
        <v>5742</v>
      </c>
      <c r="B520" s="239">
        <v>1</v>
      </c>
    </row>
    <row r="521" spans="1:2">
      <c r="A521" s="238" t="s">
        <v>5743</v>
      </c>
      <c r="B521" s="239">
        <v>1</v>
      </c>
    </row>
    <row r="522" spans="1:2">
      <c r="A522" s="238" t="s">
        <v>5744</v>
      </c>
      <c r="B522" s="239">
        <v>1</v>
      </c>
    </row>
    <row r="523" spans="1:2">
      <c r="A523" s="238" t="s">
        <v>5745</v>
      </c>
      <c r="B523" s="239">
        <v>1</v>
      </c>
    </row>
    <row r="524" spans="1:2">
      <c r="A524" s="238" t="s">
        <v>5746</v>
      </c>
      <c r="B524" s="239">
        <v>1</v>
      </c>
    </row>
    <row r="525" spans="1:2">
      <c r="A525" s="238" t="s">
        <v>5747</v>
      </c>
      <c r="B525" s="239">
        <v>1</v>
      </c>
    </row>
    <row r="526" spans="1:2">
      <c r="A526" s="238" t="s">
        <v>5748</v>
      </c>
      <c r="B526" s="239">
        <v>2</v>
      </c>
    </row>
    <row r="527" spans="1:2">
      <c r="A527" s="238" t="s">
        <v>5749</v>
      </c>
      <c r="B527" s="239">
        <v>1</v>
      </c>
    </row>
    <row r="528" spans="1:2">
      <c r="A528" s="238" t="s">
        <v>5750</v>
      </c>
      <c r="B528" s="239">
        <v>1</v>
      </c>
    </row>
    <row r="529" spans="1:2">
      <c r="A529" s="238" t="s">
        <v>5751</v>
      </c>
      <c r="B529" s="239">
        <v>1</v>
      </c>
    </row>
    <row r="530" spans="1:2">
      <c r="A530" s="238" t="s">
        <v>5752</v>
      </c>
      <c r="B530" s="239">
        <v>2</v>
      </c>
    </row>
    <row r="531" spans="1:2">
      <c r="A531" s="238" t="s">
        <v>5753</v>
      </c>
      <c r="B531" s="239">
        <v>1</v>
      </c>
    </row>
    <row r="532" spans="1:2">
      <c r="A532" s="238" t="s">
        <v>5754</v>
      </c>
      <c r="B532" s="239">
        <v>1</v>
      </c>
    </row>
    <row r="533" spans="1:2">
      <c r="A533" s="238" t="s">
        <v>5755</v>
      </c>
      <c r="B533" s="239">
        <v>1</v>
      </c>
    </row>
    <row r="534" spans="1:2">
      <c r="A534" s="238" t="s">
        <v>5756</v>
      </c>
      <c r="B534" s="239">
        <v>1</v>
      </c>
    </row>
    <row r="535" spans="1:2">
      <c r="A535" s="238" t="s">
        <v>5757</v>
      </c>
      <c r="B535" s="239">
        <v>1</v>
      </c>
    </row>
    <row r="536" spans="1:2">
      <c r="A536" s="238" t="s">
        <v>5758</v>
      </c>
      <c r="B536" s="239">
        <v>1</v>
      </c>
    </row>
    <row r="537" spans="1:2">
      <c r="A537" s="238" t="s">
        <v>5759</v>
      </c>
      <c r="B537" s="239">
        <v>1</v>
      </c>
    </row>
    <row r="538" spans="1:2">
      <c r="A538" s="238" t="s">
        <v>5760</v>
      </c>
      <c r="B538" s="239">
        <v>2</v>
      </c>
    </row>
    <row r="539" spans="1:2">
      <c r="A539" s="238" t="s">
        <v>5761</v>
      </c>
      <c r="B539" s="239">
        <v>1</v>
      </c>
    </row>
    <row r="540" spans="1:2">
      <c r="A540" s="238" t="s">
        <v>5762</v>
      </c>
      <c r="B540" s="239">
        <v>1</v>
      </c>
    </row>
    <row r="541" spans="1:2">
      <c r="A541" s="238" t="s">
        <v>5763</v>
      </c>
      <c r="B541" s="239">
        <v>1</v>
      </c>
    </row>
    <row r="542" spans="1:2">
      <c r="A542" s="238" t="s">
        <v>5764</v>
      </c>
      <c r="B542" s="239">
        <v>1</v>
      </c>
    </row>
    <row r="543" spans="1:2">
      <c r="A543" s="238" t="s">
        <v>5765</v>
      </c>
      <c r="B543" s="239">
        <v>1</v>
      </c>
    </row>
    <row r="544" spans="1:2">
      <c r="A544" s="238" t="s">
        <v>5766</v>
      </c>
      <c r="B544" s="239">
        <v>4</v>
      </c>
    </row>
    <row r="545" spans="1:2">
      <c r="A545" s="238" t="s">
        <v>5767</v>
      </c>
      <c r="B545" s="239">
        <v>1</v>
      </c>
    </row>
    <row r="546" spans="1:2">
      <c r="A546" s="238" t="s">
        <v>5768</v>
      </c>
      <c r="B546" s="239">
        <v>1</v>
      </c>
    </row>
    <row r="547" spans="1:2">
      <c r="A547" s="238" t="s">
        <v>5769</v>
      </c>
      <c r="B547" s="239">
        <v>1</v>
      </c>
    </row>
    <row r="548" spans="1:2">
      <c r="A548" s="238" t="s">
        <v>5770</v>
      </c>
      <c r="B548" s="239">
        <v>1</v>
      </c>
    </row>
    <row r="549" spans="1:2">
      <c r="A549" s="238" t="s">
        <v>5771</v>
      </c>
      <c r="B549" s="239">
        <v>1</v>
      </c>
    </row>
    <row r="550" spans="1:2">
      <c r="A550" s="238" t="s">
        <v>5772</v>
      </c>
      <c r="B550" s="239">
        <v>1</v>
      </c>
    </row>
    <row r="551" spans="1:2">
      <c r="A551" s="238" t="s">
        <v>5773</v>
      </c>
      <c r="B551" s="239">
        <v>1</v>
      </c>
    </row>
    <row r="552" spans="1:2">
      <c r="A552" s="238" t="s">
        <v>5774</v>
      </c>
      <c r="B552" s="239">
        <v>1</v>
      </c>
    </row>
    <row r="553" spans="1:2">
      <c r="A553" s="238" t="s">
        <v>5775</v>
      </c>
      <c r="B553" s="239">
        <v>1</v>
      </c>
    </row>
    <row r="554" spans="1:2">
      <c r="A554" s="238" t="s">
        <v>5776</v>
      </c>
      <c r="B554" s="239">
        <v>1</v>
      </c>
    </row>
    <row r="555" spans="1:2">
      <c r="A555" s="238" t="s">
        <v>5777</v>
      </c>
      <c r="B555" s="239">
        <v>1</v>
      </c>
    </row>
    <row r="556" spans="1:2">
      <c r="A556" s="238" t="s">
        <v>5778</v>
      </c>
      <c r="B556" s="239">
        <v>1</v>
      </c>
    </row>
    <row r="557" spans="1:2">
      <c r="A557" s="238" t="s">
        <v>5779</v>
      </c>
      <c r="B557" s="239">
        <v>1</v>
      </c>
    </row>
    <row r="558" spans="1:2">
      <c r="A558" s="238" t="s">
        <v>5780</v>
      </c>
      <c r="B558" s="239">
        <v>1</v>
      </c>
    </row>
    <row r="559" spans="1:2">
      <c r="A559" s="238" t="s">
        <v>5781</v>
      </c>
      <c r="B559" s="239">
        <v>1</v>
      </c>
    </row>
    <row r="560" spans="1:2">
      <c r="A560" s="238" t="s">
        <v>5782</v>
      </c>
      <c r="B560" s="239">
        <v>1</v>
      </c>
    </row>
    <row r="561" spans="1:2">
      <c r="A561" s="238" t="s">
        <v>5783</v>
      </c>
      <c r="B561" s="239">
        <v>1</v>
      </c>
    </row>
    <row r="562" spans="1:2">
      <c r="A562" s="238" t="s">
        <v>5784</v>
      </c>
      <c r="B562" s="239">
        <v>1</v>
      </c>
    </row>
    <row r="563" spans="1:2">
      <c r="A563" s="238" t="s">
        <v>5785</v>
      </c>
      <c r="B563" s="239">
        <v>1</v>
      </c>
    </row>
    <row r="564" spans="1:2">
      <c r="A564" s="238" t="s">
        <v>5786</v>
      </c>
      <c r="B564" s="239">
        <v>1</v>
      </c>
    </row>
    <row r="565" spans="1:2">
      <c r="A565" s="238" t="s">
        <v>5787</v>
      </c>
      <c r="B565" s="239">
        <v>1</v>
      </c>
    </row>
    <row r="566" spans="1:2">
      <c r="A566" s="238" t="s">
        <v>5788</v>
      </c>
      <c r="B566" s="239">
        <v>1</v>
      </c>
    </row>
    <row r="567" spans="1:2">
      <c r="A567" s="238" t="s">
        <v>5789</v>
      </c>
      <c r="B567" s="239">
        <v>1</v>
      </c>
    </row>
    <row r="568" spans="1:2">
      <c r="A568" s="238" t="s">
        <v>5790</v>
      </c>
      <c r="B568" s="239">
        <v>1</v>
      </c>
    </row>
    <row r="569" spans="1:2">
      <c r="A569" s="238" t="s">
        <v>5791</v>
      </c>
      <c r="B569" s="239">
        <v>1</v>
      </c>
    </row>
    <row r="570" spans="1:2">
      <c r="A570" s="238" t="s">
        <v>5792</v>
      </c>
      <c r="B570" s="239">
        <v>1</v>
      </c>
    </row>
    <row r="571" spans="1:2">
      <c r="A571" s="238" t="s">
        <v>5793</v>
      </c>
      <c r="B571" s="239">
        <v>1</v>
      </c>
    </row>
    <row r="572" spans="1:2">
      <c r="A572" s="238" t="s">
        <v>5794</v>
      </c>
      <c r="B572" s="239">
        <v>1</v>
      </c>
    </row>
    <row r="573" spans="1:2">
      <c r="A573" s="238" t="s">
        <v>5795</v>
      </c>
      <c r="B573" s="239">
        <v>1</v>
      </c>
    </row>
    <row r="574" spans="1:2">
      <c r="A574" s="238" t="s">
        <v>5796</v>
      </c>
      <c r="B574" s="239">
        <v>1</v>
      </c>
    </row>
    <row r="575" spans="1:2">
      <c r="A575" s="238" t="s">
        <v>5797</v>
      </c>
      <c r="B575" s="239">
        <v>1</v>
      </c>
    </row>
    <row r="576" spans="1:2">
      <c r="A576" s="238" t="s">
        <v>5798</v>
      </c>
      <c r="B576" s="239">
        <v>1</v>
      </c>
    </row>
    <row r="577" spans="1:2">
      <c r="A577" s="238" t="s">
        <v>5799</v>
      </c>
      <c r="B577" s="239">
        <v>1</v>
      </c>
    </row>
    <row r="578" spans="1:2">
      <c r="A578" s="238" t="s">
        <v>5800</v>
      </c>
      <c r="B578" s="239">
        <v>1</v>
      </c>
    </row>
    <row r="579" spans="1:2">
      <c r="A579" s="238" t="s">
        <v>5801</v>
      </c>
      <c r="B579" s="239">
        <v>1</v>
      </c>
    </row>
    <row r="580" spans="1:2">
      <c r="A580" s="238" t="s">
        <v>5802</v>
      </c>
      <c r="B580" s="239">
        <v>2</v>
      </c>
    </row>
    <row r="581" spans="1:2">
      <c r="A581" s="238" t="s">
        <v>5803</v>
      </c>
      <c r="B581" s="239">
        <v>1</v>
      </c>
    </row>
    <row r="582" spans="1:2">
      <c r="A582" s="238" t="s">
        <v>5804</v>
      </c>
      <c r="B582" s="239">
        <v>1</v>
      </c>
    </row>
    <row r="583" spans="1:2">
      <c r="A583" s="238" t="s">
        <v>5805</v>
      </c>
      <c r="B583" s="239">
        <v>1</v>
      </c>
    </row>
    <row r="584" spans="1:2">
      <c r="A584" s="238" t="s">
        <v>5806</v>
      </c>
      <c r="B584" s="239">
        <v>4</v>
      </c>
    </row>
    <row r="585" spans="1:2">
      <c r="A585" s="238" t="s">
        <v>5807</v>
      </c>
      <c r="B585" s="239">
        <v>1</v>
      </c>
    </row>
    <row r="586" spans="1:2">
      <c r="A586" s="238" t="s">
        <v>5808</v>
      </c>
      <c r="B586" s="239">
        <v>1</v>
      </c>
    </row>
    <row r="587" spans="1:2">
      <c r="A587" s="238" t="s">
        <v>5809</v>
      </c>
      <c r="B587" s="239">
        <v>1</v>
      </c>
    </row>
    <row r="588" spans="1:2">
      <c r="A588" s="238" t="s">
        <v>5810</v>
      </c>
      <c r="B588" s="239">
        <v>2</v>
      </c>
    </row>
    <row r="589" spans="1:2">
      <c r="A589" s="238" t="s">
        <v>5811</v>
      </c>
      <c r="B589" s="239">
        <v>1</v>
      </c>
    </row>
    <row r="590" spans="1:2">
      <c r="A590" s="238" t="s">
        <v>5812</v>
      </c>
      <c r="B590" s="239">
        <v>1</v>
      </c>
    </row>
    <row r="591" spans="1:2">
      <c r="A591" s="238" t="s">
        <v>5813</v>
      </c>
      <c r="B591" s="239">
        <v>2</v>
      </c>
    </row>
    <row r="592" spans="1:2">
      <c r="A592" s="238" t="s">
        <v>5814</v>
      </c>
      <c r="B592" s="239">
        <v>1</v>
      </c>
    </row>
    <row r="593" spans="1:2">
      <c r="A593" s="238" t="s">
        <v>5815</v>
      </c>
      <c r="B593" s="239">
        <v>1</v>
      </c>
    </row>
    <row r="594" spans="1:2">
      <c r="A594" s="238" t="s">
        <v>5816</v>
      </c>
      <c r="B594" s="239">
        <v>1</v>
      </c>
    </row>
    <row r="595" spans="1:2">
      <c r="A595" s="238" t="s">
        <v>5817</v>
      </c>
      <c r="B595" s="239">
        <v>1</v>
      </c>
    </row>
    <row r="596" spans="1:2">
      <c r="A596" s="238" t="s">
        <v>5818</v>
      </c>
      <c r="B596" s="239">
        <v>1</v>
      </c>
    </row>
    <row r="597" spans="1:2">
      <c r="A597" s="238" t="s">
        <v>5819</v>
      </c>
      <c r="B597" s="239">
        <v>1</v>
      </c>
    </row>
    <row r="598" spans="1:2">
      <c r="A598" s="238" t="s">
        <v>5820</v>
      </c>
      <c r="B598" s="239">
        <v>1</v>
      </c>
    </row>
    <row r="599" spans="1:2">
      <c r="A599" s="238" t="s">
        <v>5821</v>
      </c>
      <c r="B599" s="239">
        <v>2</v>
      </c>
    </row>
    <row r="600" spans="1:2">
      <c r="A600" s="238" t="s">
        <v>5822</v>
      </c>
      <c r="B600" s="239">
        <v>1</v>
      </c>
    </row>
    <row r="601" spans="1:2">
      <c r="A601" s="238" t="s">
        <v>5823</v>
      </c>
      <c r="B601" s="239">
        <v>1</v>
      </c>
    </row>
    <row r="602" spans="1:2">
      <c r="A602" s="238" t="s">
        <v>5824</v>
      </c>
      <c r="B602" s="239">
        <v>1</v>
      </c>
    </row>
    <row r="603" spans="1:2">
      <c r="A603" s="238" t="s">
        <v>5825</v>
      </c>
      <c r="B603" s="239">
        <v>1</v>
      </c>
    </row>
    <row r="604" spans="1:2">
      <c r="A604" s="238" t="s">
        <v>5826</v>
      </c>
      <c r="B604" s="239">
        <v>1</v>
      </c>
    </row>
    <row r="605" spans="1:2">
      <c r="A605" s="238" t="s">
        <v>5827</v>
      </c>
      <c r="B605" s="239">
        <v>1</v>
      </c>
    </row>
    <row r="606" spans="1:2">
      <c r="A606" s="238" t="s">
        <v>5828</v>
      </c>
      <c r="B606" s="239">
        <v>1</v>
      </c>
    </row>
    <row r="607" spans="1:2">
      <c r="A607" s="238" t="s">
        <v>5829</v>
      </c>
      <c r="B607" s="239">
        <v>1</v>
      </c>
    </row>
    <row r="608" spans="1:2">
      <c r="A608" s="238" t="s">
        <v>5830</v>
      </c>
      <c r="B608" s="239">
        <v>1</v>
      </c>
    </row>
    <row r="609" spans="1:2">
      <c r="A609" s="238" t="s">
        <v>5831</v>
      </c>
      <c r="B609" s="239">
        <v>1</v>
      </c>
    </row>
    <row r="610" spans="1:2">
      <c r="A610" s="238" t="s">
        <v>5832</v>
      </c>
      <c r="B610" s="239">
        <v>1</v>
      </c>
    </row>
    <row r="611" spans="1:2">
      <c r="A611" s="238" t="s">
        <v>5833</v>
      </c>
      <c r="B611" s="239">
        <v>2</v>
      </c>
    </row>
    <row r="612" spans="1:2">
      <c r="A612" s="238" t="s">
        <v>5834</v>
      </c>
      <c r="B612" s="239">
        <v>1</v>
      </c>
    </row>
    <row r="613" spans="1:2">
      <c r="A613" s="238" t="s">
        <v>5835</v>
      </c>
      <c r="B613" s="239">
        <v>1</v>
      </c>
    </row>
    <row r="614" spans="1:2">
      <c r="A614" s="238" t="s">
        <v>5836</v>
      </c>
      <c r="B614" s="239">
        <v>1</v>
      </c>
    </row>
    <row r="615" spans="1:2">
      <c r="A615" s="238" t="s">
        <v>5837</v>
      </c>
      <c r="B615" s="239">
        <v>1</v>
      </c>
    </row>
    <row r="616" spans="1:2">
      <c r="A616" s="238" t="s">
        <v>5838</v>
      </c>
      <c r="B616" s="239">
        <v>1</v>
      </c>
    </row>
    <row r="617" spans="1:2">
      <c r="A617" s="238" t="s">
        <v>5839</v>
      </c>
      <c r="B617" s="239">
        <v>1</v>
      </c>
    </row>
    <row r="618" spans="1:2">
      <c r="A618" s="238" t="s">
        <v>5840</v>
      </c>
      <c r="B618" s="239">
        <v>1</v>
      </c>
    </row>
    <row r="619" spans="1:2">
      <c r="A619" s="238" t="s">
        <v>5841</v>
      </c>
      <c r="B619" s="239">
        <v>1</v>
      </c>
    </row>
    <row r="620" spans="1:2">
      <c r="A620" s="238" t="s">
        <v>5842</v>
      </c>
      <c r="B620" s="239">
        <v>1</v>
      </c>
    </row>
    <row r="621" spans="1:2">
      <c r="A621" s="238" t="s">
        <v>5843</v>
      </c>
      <c r="B621" s="239">
        <v>1</v>
      </c>
    </row>
    <row r="622" spans="1:2">
      <c r="A622" s="238" t="s">
        <v>5844</v>
      </c>
      <c r="B622" s="239">
        <v>1</v>
      </c>
    </row>
    <row r="623" spans="1:2">
      <c r="A623" s="238" t="s">
        <v>5845</v>
      </c>
      <c r="B623" s="239">
        <v>1</v>
      </c>
    </row>
    <row r="624" spans="1:2">
      <c r="A624" s="238" t="s">
        <v>5846</v>
      </c>
      <c r="B624" s="239">
        <v>1</v>
      </c>
    </row>
    <row r="625" spans="1:2">
      <c r="A625" s="238" t="s">
        <v>5847</v>
      </c>
      <c r="B625" s="239">
        <v>1</v>
      </c>
    </row>
    <row r="626" spans="1:2">
      <c r="A626" s="238" t="s">
        <v>5848</v>
      </c>
      <c r="B626" s="239">
        <v>1</v>
      </c>
    </row>
    <row r="627" spans="1:2">
      <c r="A627" s="238" t="s">
        <v>5849</v>
      </c>
      <c r="B627" s="239">
        <v>1</v>
      </c>
    </row>
    <row r="628" spans="1:2">
      <c r="A628" s="238" t="s">
        <v>5850</v>
      </c>
      <c r="B628" s="239">
        <v>1</v>
      </c>
    </row>
    <row r="629" spans="1:2">
      <c r="A629" s="238" t="s">
        <v>5851</v>
      </c>
      <c r="B629" s="239">
        <v>1</v>
      </c>
    </row>
    <row r="630" spans="1:2">
      <c r="A630" s="238" t="s">
        <v>5852</v>
      </c>
      <c r="B630" s="239">
        <v>1</v>
      </c>
    </row>
    <row r="631" spans="1:2">
      <c r="A631" s="238" t="s">
        <v>5853</v>
      </c>
      <c r="B631" s="239">
        <v>1</v>
      </c>
    </row>
    <row r="632" spans="1:2">
      <c r="A632" s="238" t="s">
        <v>5854</v>
      </c>
      <c r="B632" s="239">
        <v>1</v>
      </c>
    </row>
    <row r="633" spans="1:2">
      <c r="A633" s="238" t="s">
        <v>5855</v>
      </c>
      <c r="B633" s="239">
        <v>2</v>
      </c>
    </row>
    <row r="634" spans="1:2">
      <c r="A634" s="238" t="s">
        <v>5856</v>
      </c>
      <c r="B634" s="239">
        <v>1</v>
      </c>
    </row>
    <row r="635" spans="1:2">
      <c r="A635" s="238" t="s">
        <v>5857</v>
      </c>
      <c r="B635" s="239">
        <v>1</v>
      </c>
    </row>
    <row r="636" spans="1:2">
      <c r="A636" s="238" t="s">
        <v>5858</v>
      </c>
      <c r="B636" s="239">
        <v>1</v>
      </c>
    </row>
    <row r="637" spans="1:2">
      <c r="A637" s="238" t="s">
        <v>5859</v>
      </c>
      <c r="B637" s="239">
        <v>1</v>
      </c>
    </row>
    <row r="638" spans="1:2">
      <c r="A638" s="238" t="s">
        <v>5860</v>
      </c>
      <c r="B638" s="239">
        <v>1</v>
      </c>
    </row>
    <row r="639" spans="1:2">
      <c r="A639" s="238" t="s">
        <v>5861</v>
      </c>
      <c r="B639" s="239">
        <v>1</v>
      </c>
    </row>
    <row r="640" spans="1:2">
      <c r="A640" s="238" t="s">
        <v>5862</v>
      </c>
      <c r="B640" s="239">
        <v>1</v>
      </c>
    </row>
    <row r="641" spans="1:2">
      <c r="A641" s="238" t="s">
        <v>5863</v>
      </c>
      <c r="B641" s="239">
        <v>1</v>
      </c>
    </row>
    <row r="642" spans="1:2">
      <c r="A642" s="238" t="s">
        <v>5864</v>
      </c>
      <c r="B642" s="239">
        <v>1</v>
      </c>
    </row>
    <row r="643" spans="1:2">
      <c r="A643" s="238" t="s">
        <v>5865</v>
      </c>
      <c r="B643" s="239">
        <v>1</v>
      </c>
    </row>
    <row r="644" spans="1:2">
      <c r="A644" s="238" t="s">
        <v>5866</v>
      </c>
      <c r="B644" s="239">
        <v>1</v>
      </c>
    </row>
    <row r="645" spans="1:2">
      <c r="A645" s="238" t="s">
        <v>5867</v>
      </c>
      <c r="B645" s="239">
        <v>1</v>
      </c>
    </row>
    <row r="646" spans="1:2">
      <c r="A646" s="238" t="s">
        <v>5868</v>
      </c>
      <c r="B646" s="239">
        <v>1</v>
      </c>
    </row>
    <row r="647" spans="1:2">
      <c r="A647" s="238" t="s">
        <v>5869</v>
      </c>
      <c r="B647" s="239">
        <v>2</v>
      </c>
    </row>
    <row r="648" spans="1:2">
      <c r="A648" s="238" t="s">
        <v>5870</v>
      </c>
      <c r="B648" s="239">
        <v>1</v>
      </c>
    </row>
    <row r="649" spans="1:2">
      <c r="A649" s="238" t="s">
        <v>5871</v>
      </c>
      <c r="B649" s="239">
        <v>1</v>
      </c>
    </row>
    <row r="650" spans="1:2">
      <c r="A650" s="238" t="s">
        <v>5872</v>
      </c>
      <c r="B650" s="239">
        <v>1</v>
      </c>
    </row>
    <row r="651" spans="1:2">
      <c r="A651" s="238" t="s">
        <v>5873</v>
      </c>
      <c r="B651" s="239">
        <v>1</v>
      </c>
    </row>
    <row r="652" spans="1:2">
      <c r="A652" s="238" t="s">
        <v>5874</v>
      </c>
      <c r="B652" s="239">
        <v>1</v>
      </c>
    </row>
    <row r="653" spans="1:2">
      <c r="A653" s="238" t="s">
        <v>5875</v>
      </c>
      <c r="B653" s="239">
        <v>1</v>
      </c>
    </row>
    <row r="654" spans="1:2">
      <c r="A654" s="238" t="s">
        <v>5876</v>
      </c>
      <c r="B654" s="239">
        <v>1</v>
      </c>
    </row>
    <row r="655" spans="1:2">
      <c r="A655" s="238" t="s">
        <v>5877</v>
      </c>
      <c r="B655" s="239">
        <v>5</v>
      </c>
    </row>
    <row r="656" spans="1:2">
      <c r="A656" s="238" t="s">
        <v>5878</v>
      </c>
      <c r="B656" s="239">
        <v>1</v>
      </c>
    </row>
    <row r="657" spans="1:2">
      <c r="A657" s="238" t="s">
        <v>5879</v>
      </c>
      <c r="B657" s="239">
        <v>1</v>
      </c>
    </row>
    <row r="658" spans="1:2">
      <c r="A658" s="238" t="s">
        <v>5880</v>
      </c>
      <c r="B658" s="239">
        <v>1</v>
      </c>
    </row>
    <row r="659" spans="1:2">
      <c r="A659" s="238" t="s">
        <v>5881</v>
      </c>
      <c r="B659" s="239">
        <v>1</v>
      </c>
    </row>
    <row r="660" spans="1:2">
      <c r="A660" s="238" t="s">
        <v>5882</v>
      </c>
      <c r="B660" s="239">
        <v>1</v>
      </c>
    </row>
    <row r="661" spans="1:2">
      <c r="A661" s="238" t="s">
        <v>5883</v>
      </c>
      <c r="B661" s="239">
        <v>1</v>
      </c>
    </row>
    <row r="662" spans="1:2">
      <c r="A662" s="238" t="s">
        <v>5884</v>
      </c>
      <c r="B662" s="239">
        <v>1</v>
      </c>
    </row>
    <row r="663" spans="1:2">
      <c r="A663" s="238" t="s">
        <v>5885</v>
      </c>
      <c r="B663" s="239">
        <v>1</v>
      </c>
    </row>
    <row r="664" spans="1:2">
      <c r="A664" s="238" t="s">
        <v>5886</v>
      </c>
      <c r="B664" s="239">
        <v>3</v>
      </c>
    </row>
    <row r="665" spans="1:2">
      <c r="A665" s="238" t="s">
        <v>5887</v>
      </c>
      <c r="B665" s="239">
        <v>1</v>
      </c>
    </row>
    <row r="666" spans="1:2">
      <c r="A666" s="238" t="s">
        <v>5888</v>
      </c>
      <c r="B666" s="239">
        <v>1</v>
      </c>
    </row>
    <row r="667" spans="1:2">
      <c r="A667" s="238" t="s">
        <v>5889</v>
      </c>
      <c r="B667" s="239">
        <v>1</v>
      </c>
    </row>
    <row r="668" spans="1:2">
      <c r="A668" s="238" t="s">
        <v>5890</v>
      </c>
      <c r="B668" s="239">
        <v>1</v>
      </c>
    </row>
    <row r="669" spans="1:2">
      <c r="A669" s="238" t="s">
        <v>5891</v>
      </c>
      <c r="B669" s="239">
        <v>1</v>
      </c>
    </row>
    <row r="670" spans="1:2">
      <c r="A670" s="238" t="s">
        <v>5892</v>
      </c>
      <c r="B670" s="239">
        <v>1</v>
      </c>
    </row>
    <row r="671" spans="1:2">
      <c r="A671" s="238" t="s">
        <v>5893</v>
      </c>
      <c r="B671" s="239">
        <v>1</v>
      </c>
    </row>
    <row r="672" spans="1:2">
      <c r="A672" s="238" t="s">
        <v>5894</v>
      </c>
      <c r="B672" s="239">
        <v>1</v>
      </c>
    </row>
    <row r="673" spans="1:2">
      <c r="A673" s="238" t="s">
        <v>5895</v>
      </c>
      <c r="B673" s="239">
        <v>1</v>
      </c>
    </row>
    <row r="674" spans="1:2">
      <c r="A674" s="238" t="s">
        <v>5896</v>
      </c>
      <c r="B674" s="239">
        <v>1</v>
      </c>
    </row>
    <row r="675" spans="1:2">
      <c r="A675" s="238" t="s">
        <v>5897</v>
      </c>
      <c r="B675" s="239">
        <v>1</v>
      </c>
    </row>
    <row r="676" spans="1:2">
      <c r="A676" s="238" t="s">
        <v>5898</v>
      </c>
      <c r="B676" s="239">
        <v>1</v>
      </c>
    </row>
    <row r="677" spans="1:2">
      <c r="A677" s="238" t="s">
        <v>5899</v>
      </c>
      <c r="B677" s="239">
        <v>2</v>
      </c>
    </row>
    <row r="678" spans="1:2">
      <c r="A678" s="238" t="s">
        <v>5900</v>
      </c>
      <c r="B678" s="239">
        <v>1</v>
      </c>
    </row>
    <row r="679" spans="1:2">
      <c r="A679" s="238" t="s">
        <v>5901</v>
      </c>
      <c r="B679" s="239">
        <v>1</v>
      </c>
    </row>
    <row r="680" spans="1:2">
      <c r="A680" s="238" t="s">
        <v>5902</v>
      </c>
      <c r="B680" s="239">
        <v>1</v>
      </c>
    </row>
    <row r="681" spans="1:2">
      <c r="A681" s="238" t="s">
        <v>5903</v>
      </c>
      <c r="B681" s="239">
        <v>1</v>
      </c>
    </row>
    <row r="682" spans="1:2">
      <c r="A682" s="238" t="s">
        <v>5904</v>
      </c>
      <c r="B682" s="239">
        <v>1</v>
      </c>
    </row>
    <row r="683" spans="1:2">
      <c r="A683" s="238" t="s">
        <v>5905</v>
      </c>
      <c r="B683" s="239">
        <v>1</v>
      </c>
    </row>
    <row r="684" spans="1:2">
      <c r="A684" s="238" t="s">
        <v>5906</v>
      </c>
      <c r="B684" s="239">
        <v>1</v>
      </c>
    </row>
    <row r="685" spans="1:2">
      <c r="A685" s="238" t="s">
        <v>5907</v>
      </c>
      <c r="B685" s="239">
        <v>1</v>
      </c>
    </row>
    <row r="686" spans="1:2">
      <c r="A686" s="238" t="s">
        <v>5908</v>
      </c>
      <c r="B686" s="239">
        <v>1</v>
      </c>
    </row>
    <row r="687" spans="1:2">
      <c r="A687" s="238" t="s">
        <v>5909</v>
      </c>
      <c r="B687" s="239">
        <v>1</v>
      </c>
    </row>
    <row r="688" spans="1:2">
      <c r="A688" s="238" t="s">
        <v>5910</v>
      </c>
      <c r="B688" s="239">
        <v>1</v>
      </c>
    </row>
    <row r="689" spans="1:2">
      <c r="A689" s="238" t="s">
        <v>5911</v>
      </c>
      <c r="B689" s="239">
        <v>1</v>
      </c>
    </row>
    <row r="690" spans="1:2">
      <c r="A690" s="238" t="s">
        <v>5912</v>
      </c>
      <c r="B690" s="239">
        <v>1</v>
      </c>
    </row>
    <row r="691" spans="1:2">
      <c r="A691" s="238" t="s">
        <v>5913</v>
      </c>
      <c r="B691" s="239">
        <v>1</v>
      </c>
    </row>
    <row r="692" spans="1:2">
      <c r="A692" s="238" t="s">
        <v>5914</v>
      </c>
      <c r="B692" s="239">
        <v>2</v>
      </c>
    </row>
    <row r="693" spans="1:2">
      <c r="A693" s="238" t="s">
        <v>5915</v>
      </c>
      <c r="B693" s="239">
        <v>1</v>
      </c>
    </row>
    <row r="694" spans="1:2">
      <c r="A694" s="238" t="s">
        <v>5916</v>
      </c>
      <c r="B694" s="239">
        <v>1</v>
      </c>
    </row>
    <row r="695" spans="1:2">
      <c r="A695" s="238" t="s">
        <v>5917</v>
      </c>
      <c r="B695" s="239">
        <v>1</v>
      </c>
    </row>
    <row r="696" spans="1:2">
      <c r="A696" s="238" t="s">
        <v>5918</v>
      </c>
      <c r="B696" s="239">
        <v>2</v>
      </c>
    </row>
    <row r="697" spans="1:2">
      <c r="A697" s="238" t="s">
        <v>5919</v>
      </c>
      <c r="B697" s="239">
        <v>1</v>
      </c>
    </row>
    <row r="698" spans="1:2">
      <c r="A698" s="238" t="s">
        <v>5920</v>
      </c>
      <c r="B698" s="239">
        <v>1</v>
      </c>
    </row>
    <row r="699" spans="1:2">
      <c r="A699" s="238" t="s">
        <v>5921</v>
      </c>
      <c r="B699" s="239">
        <v>1</v>
      </c>
    </row>
    <row r="700" spans="1:2">
      <c r="A700" s="238" t="s">
        <v>5922</v>
      </c>
      <c r="B700" s="239">
        <v>1</v>
      </c>
    </row>
    <row r="701" spans="1:2">
      <c r="A701" s="238" t="s">
        <v>5923</v>
      </c>
      <c r="B701" s="239">
        <v>1</v>
      </c>
    </row>
    <row r="702" spans="1:2">
      <c r="A702" s="238" t="s">
        <v>5924</v>
      </c>
      <c r="B702" s="239">
        <v>1</v>
      </c>
    </row>
    <row r="703" spans="1:2">
      <c r="A703" s="238" t="s">
        <v>5925</v>
      </c>
      <c r="B703" s="239">
        <v>1</v>
      </c>
    </row>
    <row r="704" spans="1:2">
      <c r="A704" s="238" t="s">
        <v>5926</v>
      </c>
      <c r="B704" s="239">
        <v>1</v>
      </c>
    </row>
    <row r="705" spans="1:2">
      <c r="A705" s="238" t="s">
        <v>5927</v>
      </c>
      <c r="B705" s="239">
        <v>1</v>
      </c>
    </row>
    <row r="706" spans="1:2">
      <c r="A706" s="238" t="s">
        <v>5928</v>
      </c>
      <c r="B706" s="239">
        <v>1</v>
      </c>
    </row>
    <row r="707" spans="1:2">
      <c r="A707" s="238" t="s">
        <v>5929</v>
      </c>
      <c r="B707" s="239">
        <v>2</v>
      </c>
    </row>
    <row r="708" spans="1:2">
      <c r="A708" s="238" t="s">
        <v>5930</v>
      </c>
      <c r="B708" s="239">
        <v>1</v>
      </c>
    </row>
    <row r="709" spans="1:2">
      <c r="A709" s="238" t="s">
        <v>5931</v>
      </c>
      <c r="B709" s="239">
        <v>1</v>
      </c>
    </row>
    <row r="710" spans="1:2">
      <c r="A710" s="238" t="s">
        <v>5932</v>
      </c>
      <c r="B710" s="239">
        <v>1</v>
      </c>
    </row>
    <row r="711" spans="1:2">
      <c r="A711" s="238" t="s">
        <v>5933</v>
      </c>
      <c r="B711" s="239">
        <v>1</v>
      </c>
    </row>
    <row r="712" spans="1:2">
      <c r="A712" s="238" t="s">
        <v>5934</v>
      </c>
      <c r="B712" s="239">
        <v>1</v>
      </c>
    </row>
    <row r="713" spans="1:2">
      <c r="A713" s="238" t="s">
        <v>5935</v>
      </c>
      <c r="B713" s="239">
        <v>1</v>
      </c>
    </row>
    <row r="714" spans="1:2">
      <c r="A714" s="238" t="s">
        <v>5936</v>
      </c>
      <c r="B714" s="239">
        <v>1</v>
      </c>
    </row>
    <row r="715" spans="1:2">
      <c r="A715" s="238" t="s">
        <v>5937</v>
      </c>
      <c r="B715" s="239">
        <v>1</v>
      </c>
    </row>
    <row r="716" spans="1:2">
      <c r="A716" s="238" t="s">
        <v>5938</v>
      </c>
      <c r="B716" s="239">
        <v>1</v>
      </c>
    </row>
    <row r="717" spans="1:2">
      <c r="A717" s="238" t="s">
        <v>5939</v>
      </c>
      <c r="B717" s="239">
        <v>2</v>
      </c>
    </row>
    <row r="718" spans="1:2">
      <c r="A718" s="238" t="s">
        <v>5940</v>
      </c>
      <c r="B718" s="239">
        <v>1</v>
      </c>
    </row>
    <row r="719" spans="1:2">
      <c r="A719" s="238" t="s">
        <v>5941</v>
      </c>
      <c r="B719" s="239">
        <v>1</v>
      </c>
    </row>
    <row r="720" spans="1:2">
      <c r="A720" s="238" t="s">
        <v>5942</v>
      </c>
      <c r="B720" s="239">
        <v>1</v>
      </c>
    </row>
    <row r="721" spans="1:2">
      <c r="A721" s="238" t="s">
        <v>5943</v>
      </c>
      <c r="B721" s="239">
        <v>1</v>
      </c>
    </row>
    <row r="722" spans="1:2">
      <c r="A722" s="238" t="s">
        <v>5944</v>
      </c>
      <c r="B722" s="239">
        <v>1</v>
      </c>
    </row>
    <row r="723" spans="1:2">
      <c r="A723" s="238" t="s">
        <v>5945</v>
      </c>
      <c r="B723" s="239">
        <v>1</v>
      </c>
    </row>
    <row r="724" spans="1:2">
      <c r="A724" s="238" t="s">
        <v>5946</v>
      </c>
      <c r="B724" s="239">
        <v>1</v>
      </c>
    </row>
    <row r="725" spans="1:2">
      <c r="A725" s="238" t="s">
        <v>5947</v>
      </c>
      <c r="B725" s="239">
        <v>1</v>
      </c>
    </row>
    <row r="726" spans="1:2">
      <c r="A726" s="238" t="s">
        <v>5948</v>
      </c>
      <c r="B726" s="239">
        <v>1</v>
      </c>
    </row>
    <row r="727" spans="1:2">
      <c r="A727" s="238" t="s">
        <v>5949</v>
      </c>
      <c r="B727" s="239">
        <v>1</v>
      </c>
    </row>
    <row r="728" spans="1:2">
      <c r="A728" s="238" t="s">
        <v>5950</v>
      </c>
      <c r="B728" s="239">
        <v>1</v>
      </c>
    </row>
    <row r="729" spans="1:2">
      <c r="A729" s="238" t="s">
        <v>5951</v>
      </c>
      <c r="B729" s="239">
        <v>1</v>
      </c>
    </row>
    <row r="730" spans="1:2">
      <c r="A730" s="238" t="s">
        <v>5952</v>
      </c>
      <c r="B730" s="239">
        <v>2</v>
      </c>
    </row>
    <row r="731" spans="1:2">
      <c r="A731" s="238" t="s">
        <v>5953</v>
      </c>
      <c r="B731" s="239">
        <v>1</v>
      </c>
    </row>
    <row r="732" spans="1:2">
      <c r="A732" s="238" t="s">
        <v>5954</v>
      </c>
      <c r="B732" s="239">
        <v>1</v>
      </c>
    </row>
    <row r="733" spans="1:2">
      <c r="A733" s="238" t="s">
        <v>5955</v>
      </c>
      <c r="B733" s="239">
        <v>1</v>
      </c>
    </row>
    <row r="734" spans="1:2">
      <c r="A734" s="238" t="s">
        <v>5956</v>
      </c>
      <c r="B734" s="239">
        <v>1</v>
      </c>
    </row>
    <row r="735" spans="1:2">
      <c r="A735" s="238" t="s">
        <v>5957</v>
      </c>
      <c r="B735" s="239">
        <v>1</v>
      </c>
    </row>
    <row r="736" spans="1:2">
      <c r="A736" s="238" t="s">
        <v>5958</v>
      </c>
      <c r="B736" s="239">
        <v>1</v>
      </c>
    </row>
    <row r="737" spans="1:2">
      <c r="A737" s="238" t="s">
        <v>5959</v>
      </c>
      <c r="B737" s="239">
        <v>1</v>
      </c>
    </row>
    <row r="738" spans="1:2">
      <c r="A738" s="238" t="s">
        <v>5960</v>
      </c>
      <c r="B738" s="239">
        <v>1</v>
      </c>
    </row>
    <row r="739" spans="1:2">
      <c r="A739" s="238" t="s">
        <v>5961</v>
      </c>
      <c r="B739" s="239">
        <v>1</v>
      </c>
    </row>
    <row r="740" spans="1:2">
      <c r="A740" s="238" t="s">
        <v>5962</v>
      </c>
      <c r="B740" s="239">
        <v>1</v>
      </c>
    </row>
    <row r="741" spans="1:2">
      <c r="A741" s="238" t="s">
        <v>5963</v>
      </c>
      <c r="B741" s="239">
        <v>1</v>
      </c>
    </row>
    <row r="742" spans="1:2">
      <c r="A742" s="238" t="s">
        <v>5964</v>
      </c>
      <c r="B742" s="239">
        <v>1</v>
      </c>
    </row>
    <row r="743" spans="1:2">
      <c r="A743" s="238" t="s">
        <v>5965</v>
      </c>
      <c r="B743" s="239">
        <v>1</v>
      </c>
    </row>
    <row r="744" spans="1:2">
      <c r="A744" s="238" t="s">
        <v>5966</v>
      </c>
      <c r="B744" s="239">
        <v>1</v>
      </c>
    </row>
    <row r="745" spans="1:2">
      <c r="A745" s="238" t="s">
        <v>5967</v>
      </c>
      <c r="B745" s="239">
        <v>1</v>
      </c>
    </row>
    <row r="746" spans="1:2">
      <c r="A746" s="238" t="s">
        <v>5968</v>
      </c>
      <c r="B746" s="239">
        <v>1</v>
      </c>
    </row>
    <row r="747" spans="1:2">
      <c r="A747" s="238" t="s">
        <v>5969</v>
      </c>
      <c r="B747" s="239">
        <v>1</v>
      </c>
    </row>
    <row r="748" spans="1:2">
      <c r="A748" s="238" t="s">
        <v>5970</v>
      </c>
      <c r="B748" s="239">
        <v>2</v>
      </c>
    </row>
    <row r="749" spans="1:2">
      <c r="A749" s="238" t="s">
        <v>5971</v>
      </c>
      <c r="B749" s="239">
        <v>1</v>
      </c>
    </row>
    <row r="750" spans="1:2">
      <c r="A750" s="238" t="s">
        <v>5972</v>
      </c>
      <c r="B750" s="239">
        <v>1</v>
      </c>
    </row>
    <row r="751" spans="1:2">
      <c r="A751" s="238" t="s">
        <v>5973</v>
      </c>
      <c r="B751" s="239">
        <v>1</v>
      </c>
    </row>
    <row r="752" spans="1:2">
      <c r="A752" s="238" t="s">
        <v>5974</v>
      </c>
      <c r="B752" s="239">
        <v>1</v>
      </c>
    </row>
    <row r="753" spans="1:2">
      <c r="A753" s="238" t="s">
        <v>5975</v>
      </c>
      <c r="B753" s="239">
        <v>2</v>
      </c>
    </row>
    <row r="754" spans="1:2">
      <c r="A754" s="238" t="s">
        <v>5976</v>
      </c>
      <c r="B754" s="239">
        <v>1</v>
      </c>
    </row>
    <row r="755" spans="1:2">
      <c r="A755" s="238" t="s">
        <v>5977</v>
      </c>
      <c r="B755" s="239">
        <v>1</v>
      </c>
    </row>
    <row r="756" spans="1:2">
      <c r="A756" s="238" t="s">
        <v>5978</v>
      </c>
      <c r="B756" s="239">
        <v>1</v>
      </c>
    </row>
    <row r="757" spans="1:2">
      <c r="A757" s="238" t="s">
        <v>5979</v>
      </c>
      <c r="B757" s="239">
        <v>1</v>
      </c>
    </row>
    <row r="758" spans="1:2">
      <c r="A758" s="238" t="s">
        <v>5980</v>
      </c>
      <c r="B758" s="239">
        <v>1</v>
      </c>
    </row>
    <row r="759" spans="1:2">
      <c r="A759" s="238" t="s">
        <v>5981</v>
      </c>
      <c r="B759" s="239">
        <v>1</v>
      </c>
    </row>
    <row r="760" spans="1:2">
      <c r="A760" s="238" t="s">
        <v>5982</v>
      </c>
      <c r="B760" s="239">
        <v>1</v>
      </c>
    </row>
    <row r="761" spans="1:2">
      <c r="A761" s="238" t="s">
        <v>5983</v>
      </c>
      <c r="B761" s="239">
        <v>1</v>
      </c>
    </row>
    <row r="762" spans="1:2">
      <c r="A762" s="238" t="s">
        <v>5984</v>
      </c>
      <c r="B762" s="239">
        <v>1</v>
      </c>
    </row>
    <row r="763" spans="1:2">
      <c r="A763" s="238" t="s">
        <v>5985</v>
      </c>
      <c r="B763" s="239">
        <v>1</v>
      </c>
    </row>
    <row r="764" spans="1:2">
      <c r="A764" s="238" t="s">
        <v>5986</v>
      </c>
      <c r="B764" s="239">
        <v>1</v>
      </c>
    </row>
    <row r="765" spans="1:2">
      <c r="A765" s="238" t="s">
        <v>5987</v>
      </c>
      <c r="B765" s="239">
        <v>1</v>
      </c>
    </row>
    <row r="766" spans="1:2">
      <c r="A766" s="238" t="s">
        <v>5988</v>
      </c>
      <c r="B766" s="239">
        <v>3</v>
      </c>
    </row>
    <row r="767" spans="1:2">
      <c r="A767" s="238" t="s">
        <v>5989</v>
      </c>
      <c r="B767" s="239">
        <v>1</v>
      </c>
    </row>
    <row r="768" spans="1:2">
      <c r="A768" s="238" t="s">
        <v>5990</v>
      </c>
      <c r="B768" s="239">
        <v>1</v>
      </c>
    </row>
    <row r="769" spans="1:2">
      <c r="A769" s="238" t="s">
        <v>5991</v>
      </c>
      <c r="B769" s="239">
        <v>1</v>
      </c>
    </row>
    <row r="770" spans="1:2">
      <c r="A770" s="238" t="s">
        <v>5992</v>
      </c>
      <c r="B770" s="239">
        <v>1</v>
      </c>
    </row>
    <row r="771" spans="1:2">
      <c r="A771" s="238" t="s">
        <v>5993</v>
      </c>
      <c r="B771" s="239">
        <v>1</v>
      </c>
    </row>
    <row r="772" spans="1:2">
      <c r="A772" s="238" t="s">
        <v>5994</v>
      </c>
      <c r="B772" s="239">
        <v>1</v>
      </c>
    </row>
    <row r="773" spans="1:2">
      <c r="A773" s="238" t="s">
        <v>5995</v>
      </c>
      <c r="B773" s="239">
        <v>1</v>
      </c>
    </row>
    <row r="774" spans="1:2">
      <c r="A774" s="238" t="s">
        <v>5996</v>
      </c>
      <c r="B774" s="239">
        <v>2</v>
      </c>
    </row>
    <row r="775" spans="1:2">
      <c r="A775" s="238" t="s">
        <v>5997</v>
      </c>
      <c r="B775" s="239">
        <v>1</v>
      </c>
    </row>
    <row r="776" spans="1:2">
      <c r="A776" s="238" t="s">
        <v>5998</v>
      </c>
      <c r="B776" s="239">
        <v>4</v>
      </c>
    </row>
    <row r="777" spans="1:2">
      <c r="A777" s="238" t="s">
        <v>5999</v>
      </c>
      <c r="B777" s="239">
        <v>1</v>
      </c>
    </row>
    <row r="778" spans="1:2">
      <c r="A778" s="238" t="s">
        <v>6000</v>
      </c>
      <c r="B778" s="239">
        <v>1</v>
      </c>
    </row>
    <row r="779" spans="1:2">
      <c r="A779" s="238" t="s">
        <v>6001</v>
      </c>
      <c r="B779" s="239">
        <v>1</v>
      </c>
    </row>
    <row r="780" spans="1:2">
      <c r="A780" s="238" t="s">
        <v>6002</v>
      </c>
      <c r="B780" s="239">
        <v>1</v>
      </c>
    </row>
    <row r="781" spans="1:2">
      <c r="A781" s="238" t="s">
        <v>6003</v>
      </c>
      <c r="B781" s="239">
        <v>1</v>
      </c>
    </row>
    <row r="782" spans="1:2">
      <c r="A782" s="238" t="s">
        <v>6004</v>
      </c>
      <c r="B782" s="239">
        <v>1</v>
      </c>
    </row>
    <row r="783" spans="1:2">
      <c r="A783" s="238" t="s">
        <v>6005</v>
      </c>
      <c r="B783" s="239">
        <v>1</v>
      </c>
    </row>
    <row r="784" spans="1:2">
      <c r="A784" s="238" t="s">
        <v>6006</v>
      </c>
      <c r="B784" s="239">
        <v>1</v>
      </c>
    </row>
    <row r="785" spans="1:2">
      <c r="A785" s="238" t="s">
        <v>6007</v>
      </c>
      <c r="B785" s="239">
        <v>1</v>
      </c>
    </row>
    <row r="786" spans="1:2">
      <c r="A786" s="238" t="s">
        <v>6008</v>
      </c>
      <c r="B786" s="239">
        <v>1</v>
      </c>
    </row>
    <row r="787" spans="1:2">
      <c r="A787" s="238" t="s">
        <v>6009</v>
      </c>
      <c r="B787" s="239">
        <v>1</v>
      </c>
    </row>
    <row r="788" spans="1:2">
      <c r="A788" s="238" t="s">
        <v>6010</v>
      </c>
      <c r="B788" s="239">
        <v>2</v>
      </c>
    </row>
    <row r="789" spans="1:2">
      <c r="A789" s="238" t="s">
        <v>6011</v>
      </c>
      <c r="B789" s="239">
        <v>1</v>
      </c>
    </row>
    <row r="790" spans="1:2">
      <c r="A790" s="238" t="s">
        <v>6012</v>
      </c>
      <c r="B790" s="239">
        <v>1</v>
      </c>
    </row>
    <row r="791" spans="1:2">
      <c r="A791" s="238" t="s">
        <v>6013</v>
      </c>
      <c r="B791" s="239">
        <v>1</v>
      </c>
    </row>
    <row r="792" spans="1:2">
      <c r="A792" s="238" t="s">
        <v>6014</v>
      </c>
      <c r="B792" s="239">
        <v>1</v>
      </c>
    </row>
    <row r="793" spans="1:2">
      <c r="A793" s="238" t="s">
        <v>6015</v>
      </c>
      <c r="B793" s="239">
        <v>1</v>
      </c>
    </row>
    <row r="794" spans="1:2">
      <c r="A794" s="238" t="s">
        <v>6016</v>
      </c>
      <c r="B794" s="239">
        <v>1</v>
      </c>
    </row>
    <row r="795" spans="1:2">
      <c r="A795" s="238" t="s">
        <v>6017</v>
      </c>
      <c r="B795" s="239">
        <v>1</v>
      </c>
    </row>
    <row r="796" spans="1:2">
      <c r="A796" s="238" t="s">
        <v>6018</v>
      </c>
      <c r="B796" s="239">
        <v>1</v>
      </c>
    </row>
    <row r="797" spans="1:2">
      <c r="A797" s="238" t="s">
        <v>6019</v>
      </c>
      <c r="B797" s="239">
        <v>1</v>
      </c>
    </row>
    <row r="798" spans="1:2">
      <c r="A798" s="238" t="s">
        <v>6020</v>
      </c>
      <c r="B798" s="239">
        <v>1</v>
      </c>
    </row>
    <row r="799" spans="1:2">
      <c r="A799" s="238" t="s">
        <v>6021</v>
      </c>
      <c r="B799" s="239">
        <v>1</v>
      </c>
    </row>
    <row r="800" spans="1:2">
      <c r="A800" s="238" t="s">
        <v>6022</v>
      </c>
      <c r="B800" s="239">
        <v>1</v>
      </c>
    </row>
    <row r="801" spans="1:2">
      <c r="A801" s="238" t="s">
        <v>6023</v>
      </c>
      <c r="B801" s="239">
        <v>1</v>
      </c>
    </row>
    <row r="802" spans="1:2">
      <c r="A802" s="238" t="s">
        <v>6024</v>
      </c>
      <c r="B802" s="239">
        <v>1</v>
      </c>
    </row>
    <row r="803" spans="1:2">
      <c r="A803" s="238" t="s">
        <v>6025</v>
      </c>
      <c r="B803" s="239">
        <v>1</v>
      </c>
    </row>
    <row r="804" spans="1:2">
      <c r="A804" s="238" t="s">
        <v>6026</v>
      </c>
      <c r="B804" s="239">
        <v>1</v>
      </c>
    </row>
    <row r="805" spans="1:2">
      <c r="A805" s="238" t="s">
        <v>6027</v>
      </c>
      <c r="B805" s="239">
        <v>1</v>
      </c>
    </row>
    <row r="806" spans="1:2">
      <c r="A806" s="238" t="s">
        <v>6028</v>
      </c>
      <c r="B806" s="239">
        <v>1</v>
      </c>
    </row>
    <row r="807" spans="1:2">
      <c r="A807" s="238" t="s">
        <v>6029</v>
      </c>
      <c r="B807" s="239">
        <v>1</v>
      </c>
    </row>
    <row r="808" spans="1:2">
      <c r="A808" s="238" t="s">
        <v>6030</v>
      </c>
      <c r="B808" s="239">
        <v>1</v>
      </c>
    </row>
    <row r="809" spans="1:2">
      <c r="A809" s="238" t="s">
        <v>6031</v>
      </c>
      <c r="B809" s="239">
        <v>1</v>
      </c>
    </row>
    <row r="810" spans="1:2">
      <c r="A810" s="238" t="s">
        <v>6032</v>
      </c>
      <c r="B810" s="239">
        <v>1</v>
      </c>
    </row>
    <row r="811" spans="1:2">
      <c r="A811" s="238" t="s">
        <v>6033</v>
      </c>
      <c r="B811" s="239">
        <v>1</v>
      </c>
    </row>
    <row r="812" spans="1:2">
      <c r="A812" s="238" t="s">
        <v>6034</v>
      </c>
      <c r="B812" s="239">
        <v>2</v>
      </c>
    </row>
    <row r="813" spans="1:2">
      <c r="A813" s="238" t="s">
        <v>6035</v>
      </c>
      <c r="B813" s="239">
        <v>1</v>
      </c>
    </row>
    <row r="814" spans="1:2">
      <c r="A814" s="238" t="s">
        <v>6036</v>
      </c>
      <c r="B814" s="239">
        <v>1</v>
      </c>
    </row>
    <row r="815" spans="1:2">
      <c r="A815" s="238" t="s">
        <v>6037</v>
      </c>
      <c r="B815" s="239">
        <v>4</v>
      </c>
    </row>
    <row r="816" spans="1:2">
      <c r="A816" s="238" t="s">
        <v>6038</v>
      </c>
      <c r="B816" s="239">
        <v>1</v>
      </c>
    </row>
    <row r="817" spans="1:2">
      <c r="A817" s="238" t="s">
        <v>6039</v>
      </c>
      <c r="B817" s="239">
        <v>1</v>
      </c>
    </row>
    <row r="818" spans="1:2">
      <c r="A818" s="238" t="s">
        <v>6040</v>
      </c>
      <c r="B818" s="239">
        <v>1</v>
      </c>
    </row>
    <row r="819" spans="1:2">
      <c r="A819" s="238" t="s">
        <v>6041</v>
      </c>
      <c r="B819" s="239">
        <v>1</v>
      </c>
    </row>
    <row r="820" spans="1:2">
      <c r="A820" s="238" t="s">
        <v>6042</v>
      </c>
      <c r="B820" s="239">
        <v>1</v>
      </c>
    </row>
    <row r="821" spans="1:2">
      <c r="A821" s="238" t="s">
        <v>6043</v>
      </c>
      <c r="B821" s="239">
        <v>2</v>
      </c>
    </row>
    <row r="822" spans="1:2">
      <c r="A822" s="238" t="s">
        <v>6044</v>
      </c>
      <c r="B822" s="239">
        <v>1</v>
      </c>
    </row>
    <row r="823" spans="1:2">
      <c r="A823" s="238" t="s">
        <v>6045</v>
      </c>
      <c r="B823" s="239">
        <v>1</v>
      </c>
    </row>
    <row r="824" spans="1:2">
      <c r="A824" s="238" t="s">
        <v>6046</v>
      </c>
      <c r="B824" s="239">
        <v>1</v>
      </c>
    </row>
    <row r="825" spans="1:2">
      <c r="A825" s="238" t="s">
        <v>6047</v>
      </c>
      <c r="B825" s="239">
        <v>1</v>
      </c>
    </row>
    <row r="826" spans="1:2">
      <c r="A826" s="238" t="s">
        <v>6048</v>
      </c>
      <c r="B826" s="239">
        <v>1</v>
      </c>
    </row>
    <row r="827" spans="1:2">
      <c r="A827" s="238" t="s">
        <v>6049</v>
      </c>
      <c r="B827" s="239">
        <v>1</v>
      </c>
    </row>
    <row r="828" spans="1:2">
      <c r="A828" s="238" t="s">
        <v>6050</v>
      </c>
      <c r="B828" s="239">
        <v>1</v>
      </c>
    </row>
    <row r="829" spans="1:2">
      <c r="A829" s="238" t="s">
        <v>6051</v>
      </c>
      <c r="B829" s="239">
        <v>2</v>
      </c>
    </row>
    <row r="830" spans="1:2">
      <c r="A830" s="238" t="s">
        <v>6052</v>
      </c>
      <c r="B830" s="239">
        <v>1</v>
      </c>
    </row>
    <row r="831" spans="1:2">
      <c r="A831" s="238" t="s">
        <v>6053</v>
      </c>
      <c r="B831" s="239">
        <v>1</v>
      </c>
    </row>
    <row r="832" spans="1:2">
      <c r="A832" s="238" t="s">
        <v>6054</v>
      </c>
      <c r="B832" s="239">
        <v>1</v>
      </c>
    </row>
    <row r="833" spans="1:2">
      <c r="A833" s="238" t="s">
        <v>6055</v>
      </c>
      <c r="B833" s="239">
        <v>3</v>
      </c>
    </row>
    <row r="834" spans="1:2">
      <c r="A834" s="238" t="s">
        <v>6056</v>
      </c>
      <c r="B834" s="239">
        <v>1</v>
      </c>
    </row>
    <row r="835" spans="1:2">
      <c r="A835" s="238" t="s">
        <v>6057</v>
      </c>
      <c r="B835" s="239">
        <v>1</v>
      </c>
    </row>
    <row r="836" spans="1:2">
      <c r="A836" s="238" t="s">
        <v>6058</v>
      </c>
      <c r="B836" s="239">
        <v>1</v>
      </c>
    </row>
    <row r="837" spans="1:2">
      <c r="A837" s="238" t="s">
        <v>6059</v>
      </c>
      <c r="B837" s="239">
        <v>1</v>
      </c>
    </row>
    <row r="838" spans="1:2">
      <c r="A838" s="238" t="s">
        <v>6060</v>
      </c>
      <c r="B838" s="239">
        <v>1</v>
      </c>
    </row>
    <row r="839" spans="1:2">
      <c r="A839" s="238" t="s">
        <v>6061</v>
      </c>
      <c r="B839" s="239">
        <v>2</v>
      </c>
    </row>
    <row r="840" spans="1:2">
      <c r="A840" s="238" t="s">
        <v>6062</v>
      </c>
      <c r="B840" s="239">
        <v>1</v>
      </c>
    </row>
    <row r="841" spans="1:2">
      <c r="A841" s="238" t="s">
        <v>6063</v>
      </c>
      <c r="B841" s="239">
        <v>1</v>
      </c>
    </row>
    <row r="842" spans="1:2">
      <c r="A842" s="238" t="s">
        <v>6064</v>
      </c>
      <c r="B842" s="239">
        <v>1</v>
      </c>
    </row>
    <row r="843" spans="1:2">
      <c r="A843" s="238" t="s">
        <v>6065</v>
      </c>
      <c r="B843" s="239">
        <v>1</v>
      </c>
    </row>
    <row r="844" spans="1:2">
      <c r="A844" s="238" t="s">
        <v>6066</v>
      </c>
      <c r="B844" s="239">
        <v>1</v>
      </c>
    </row>
    <row r="845" spans="1:2">
      <c r="A845" s="238" t="s">
        <v>6067</v>
      </c>
      <c r="B845" s="239">
        <v>1</v>
      </c>
    </row>
    <row r="846" spans="1:2">
      <c r="A846" s="238" t="s">
        <v>6068</v>
      </c>
      <c r="B846" s="239">
        <v>1</v>
      </c>
    </row>
    <row r="847" spans="1:2">
      <c r="A847" s="238" t="s">
        <v>6069</v>
      </c>
      <c r="B847" s="239">
        <v>1</v>
      </c>
    </row>
    <row r="848" spans="1:2">
      <c r="A848" s="238" t="s">
        <v>6070</v>
      </c>
      <c r="B848" s="239">
        <v>1</v>
      </c>
    </row>
    <row r="849" spans="1:2">
      <c r="A849" s="238" t="s">
        <v>6071</v>
      </c>
      <c r="B849" s="239">
        <v>1</v>
      </c>
    </row>
    <row r="850" spans="1:2">
      <c r="A850" s="238" t="s">
        <v>6072</v>
      </c>
      <c r="B850" s="239">
        <v>1</v>
      </c>
    </row>
    <row r="851" spans="1:2">
      <c r="A851" s="238" t="s">
        <v>6073</v>
      </c>
      <c r="B851" s="239">
        <v>1</v>
      </c>
    </row>
    <row r="852" spans="1:2">
      <c r="A852" s="238" t="s">
        <v>6074</v>
      </c>
      <c r="B852" s="239">
        <v>1</v>
      </c>
    </row>
    <row r="853" spans="1:2">
      <c r="A853" s="238" t="s">
        <v>6075</v>
      </c>
      <c r="B853" s="239">
        <v>1</v>
      </c>
    </row>
    <row r="854" spans="1:2">
      <c r="A854" s="238" t="s">
        <v>6076</v>
      </c>
      <c r="B854" s="239">
        <v>1</v>
      </c>
    </row>
    <row r="855" spans="1:2">
      <c r="A855" s="238" t="s">
        <v>6077</v>
      </c>
      <c r="B855" s="239">
        <v>1</v>
      </c>
    </row>
    <row r="856" spans="1:2">
      <c r="A856" s="238" t="s">
        <v>6078</v>
      </c>
      <c r="B856" s="239">
        <v>1</v>
      </c>
    </row>
    <row r="857" spans="1:2">
      <c r="A857" s="238" t="s">
        <v>6079</v>
      </c>
      <c r="B857" s="239">
        <v>2</v>
      </c>
    </row>
    <row r="858" spans="1:2">
      <c r="A858" s="238" t="s">
        <v>6080</v>
      </c>
      <c r="B858" s="239">
        <v>1</v>
      </c>
    </row>
    <row r="859" spans="1:2">
      <c r="A859" s="238" t="s">
        <v>6081</v>
      </c>
      <c r="B859" s="239">
        <v>1</v>
      </c>
    </row>
    <row r="860" spans="1:2">
      <c r="A860" s="238" t="s">
        <v>6082</v>
      </c>
      <c r="B860" s="239">
        <v>1</v>
      </c>
    </row>
    <row r="861" spans="1:2">
      <c r="A861" s="238" t="s">
        <v>6083</v>
      </c>
      <c r="B861" s="239">
        <v>1</v>
      </c>
    </row>
    <row r="862" spans="1:2">
      <c r="A862" s="238" t="s">
        <v>6084</v>
      </c>
      <c r="B862" s="239">
        <v>1</v>
      </c>
    </row>
    <row r="863" spans="1:2">
      <c r="A863" s="238" t="s">
        <v>6085</v>
      </c>
      <c r="B863" s="239">
        <v>1</v>
      </c>
    </row>
    <row r="864" spans="1:2">
      <c r="A864" s="238" t="s">
        <v>6086</v>
      </c>
      <c r="B864" s="239">
        <v>1</v>
      </c>
    </row>
    <row r="865" spans="1:2">
      <c r="A865" s="238" t="s">
        <v>6087</v>
      </c>
      <c r="B865" s="239">
        <v>1</v>
      </c>
    </row>
    <row r="866" spans="1:2">
      <c r="A866" s="238" t="s">
        <v>6088</v>
      </c>
      <c r="B866" s="239">
        <v>2</v>
      </c>
    </row>
    <row r="867" spans="1:2">
      <c r="A867" s="238" t="s">
        <v>6089</v>
      </c>
      <c r="B867" s="239">
        <v>1</v>
      </c>
    </row>
    <row r="868" spans="1:2">
      <c r="A868" s="238" t="s">
        <v>6090</v>
      </c>
      <c r="B868" s="239">
        <v>1</v>
      </c>
    </row>
    <row r="869" spans="1:2">
      <c r="A869" s="238" t="s">
        <v>6091</v>
      </c>
      <c r="B869" s="239">
        <v>1</v>
      </c>
    </row>
    <row r="870" spans="1:2">
      <c r="A870" s="238" t="s">
        <v>6092</v>
      </c>
      <c r="B870" s="239">
        <v>2</v>
      </c>
    </row>
    <row r="871" spans="1:2">
      <c r="A871" s="238" t="s">
        <v>6093</v>
      </c>
      <c r="B871" s="239">
        <v>4</v>
      </c>
    </row>
    <row r="872" spans="1:2">
      <c r="A872" s="238" t="s">
        <v>6094</v>
      </c>
      <c r="B872" s="239">
        <v>5</v>
      </c>
    </row>
    <row r="873" spans="1:2">
      <c r="A873" s="238" t="s">
        <v>6095</v>
      </c>
      <c r="B873" s="239">
        <v>1</v>
      </c>
    </row>
    <row r="874" spans="1:2">
      <c r="A874" s="238" t="s">
        <v>6096</v>
      </c>
      <c r="B874" s="239">
        <v>2</v>
      </c>
    </row>
    <row r="875" spans="1:2">
      <c r="A875" s="238" t="s">
        <v>6097</v>
      </c>
      <c r="B875" s="239">
        <v>1</v>
      </c>
    </row>
    <row r="876" spans="1:2">
      <c r="A876" s="238" t="s">
        <v>6098</v>
      </c>
      <c r="B876" s="239">
        <v>3</v>
      </c>
    </row>
    <row r="877" spans="1:2">
      <c r="A877" s="238" t="s">
        <v>6099</v>
      </c>
      <c r="B877" s="239">
        <v>1</v>
      </c>
    </row>
    <row r="878" spans="1:2">
      <c r="A878" s="238" t="s">
        <v>6100</v>
      </c>
      <c r="B878" s="239">
        <v>1</v>
      </c>
    </row>
    <row r="879" spans="1:2">
      <c r="A879" s="238" t="s">
        <v>6101</v>
      </c>
      <c r="B879" s="239">
        <v>5</v>
      </c>
    </row>
    <row r="880" spans="1:2">
      <c r="A880" s="238" t="s">
        <v>6102</v>
      </c>
      <c r="B880" s="239">
        <v>1</v>
      </c>
    </row>
    <row r="881" spans="1:2">
      <c r="A881" s="238" t="s">
        <v>6103</v>
      </c>
      <c r="B881" s="239">
        <v>1</v>
      </c>
    </row>
    <row r="882" spans="1:2">
      <c r="A882" s="238" t="s">
        <v>6104</v>
      </c>
      <c r="B882" s="239">
        <v>1</v>
      </c>
    </row>
    <row r="883" spans="1:2">
      <c r="A883" s="238" t="s">
        <v>6105</v>
      </c>
      <c r="B883" s="239">
        <v>1</v>
      </c>
    </row>
    <row r="884" spans="1:2">
      <c r="A884" s="238" t="s">
        <v>6106</v>
      </c>
      <c r="B884" s="239">
        <v>2</v>
      </c>
    </row>
    <row r="885" spans="1:2">
      <c r="A885" s="238" t="s">
        <v>6107</v>
      </c>
      <c r="B885" s="239">
        <v>3</v>
      </c>
    </row>
    <row r="886" spans="1:2">
      <c r="A886" s="238" t="s">
        <v>6108</v>
      </c>
      <c r="B886" s="239">
        <v>1</v>
      </c>
    </row>
    <row r="887" spans="1:2">
      <c r="A887" s="238" t="s">
        <v>6109</v>
      </c>
      <c r="B887" s="239">
        <v>4</v>
      </c>
    </row>
    <row r="888" spans="1:2">
      <c r="A888" s="238" t="s">
        <v>6110</v>
      </c>
      <c r="B888" s="239">
        <v>1</v>
      </c>
    </row>
    <row r="889" spans="1:2">
      <c r="A889" s="238" t="s">
        <v>6111</v>
      </c>
      <c r="B889" s="239">
        <v>3</v>
      </c>
    </row>
    <row r="890" spans="1:2">
      <c r="A890" s="238" t="s">
        <v>6112</v>
      </c>
      <c r="B890" s="239">
        <v>1</v>
      </c>
    </row>
    <row r="891" spans="1:2">
      <c r="A891" s="238" t="s">
        <v>6113</v>
      </c>
      <c r="B891" s="239">
        <v>1</v>
      </c>
    </row>
    <row r="892" spans="1:2">
      <c r="A892" s="238" t="s">
        <v>6114</v>
      </c>
      <c r="B892" s="239">
        <v>1</v>
      </c>
    </row>
    <row r="893" spans="1:2">
      <c r="A893" s="238" t="s">
        <v>6115</v>
      </c>
      <c r="B893" s="239">
        <v>1</v>
      </c>
    </row>
    <row r="894" spans="1:2">
      <c r="A894" s="238" t="s">
        <v>6116</v>
      </c>
      <c r="B894" s="239">
        <v>1</v>
      </c>
    </row>
    <row r="895" spans="1:2">
      <c r="A895" s="238" t="s">
        <v>6117</v>
      </c>
      <c r="B895" s="239">
        <v>4</v>
      </c>
    </row>
    <row r="896" spans="1:2">
      <c r="A896" s="238" t="s">
        <v>6118</v>
      </c>
      <c r="B896" s="239">
        <v>1</v>
      </c>
    </row>
    <row r="897" spans="1:2">
      <c r="A897" s="238" t="s">
        <v>6119</v>
      </c>
      <c r="B897" s="239">
        <v>1</v>
      </c>
    </row>
    <row r="898" spans="1:2">
      <c r="A898" s="238" t="s">
        <v>6120</v>
      </c>
      <c r="B898" s="239">
        <v>1</v>
      </c>
    </row>
    <row r="899" spans="1:2">
      <c r="A899" s="238" t="s">
        <v>6121</v>
      </c>
      <c r="B899" s="239">
        <v>1</v>
      </c>
    </row>
    <row r="900" spans="1:2">
      <c r="A900" s="238" t="s">
        <v>6122</v>
      </c>
      <c r="B900" s="239">
        <v>1</v>
      </c>
    </row>
    <row r="901" spans="1:2">
      <c r="A901" s="238" t="s">
        <v>6123</v>
      </c>
      <c r="B901" s="239">
        <v>2</v>
      </c>
    </row>
    <row r="902" spans="1:2">
      <c r="A902" s="238" t="s">
        <v>6124</v>
      </c>
      <c r="B902" s="239">
        <v>1</v>
      </c>
    </row>
    <row r="903" spans="1:2">
      <c r="A903" s="238" t="s">
        <v>6125</v>
      </c>
      <c r="B903" s="239">
        <v>1</v>
      </c>
    </row>
    <row r="904" spans="1:2">
      <c r="A904" s="238" t="s">
        <v>6126</v>
      </c>
      <c r="B904" s="239">
        <v>1</v>
      </c>
    </row>
    <row r="905" spans="1:2">
      <c r="A905" s="238" t="s">
        <v>6127</v>
      </c>
      <c r="B905" s="239">
        <v>1</v>
      </c>
    </row>
    <row r="906" spans="1:2">
      <c r="A906" s="238" t="s">
        <v>6128</v>
      </c>
      <c r="B906" s="239">
        <v>1</v>
      </c>
    </row>
    <row r="907" spans="1:2">
      <c r="A907" s="238" t="s">
        <v>6129</v>
      </c>
      <c r="B907" s="239">
        <v>1</v>
      </c>
    </row>
    <row r="908" spans="1:2">
      <c r="A908" s="238" t="s">
        <v>6130</v>
      </c>
      <c r="B908" s="239">
        <v>1</v>
      </c>
    </row>
    <row r="909" spans="1:2">
      <c r="A909" s="238" t="s">
        <v>6131</v>
      </c>
      <c r="B909" s="239">
        <v>1</v>
      </c>
    </row>
    <row r="910" spans="1:2">
      <c r="A910" s="238" t="s">
        <v>6132</v>
      </c>
      <c r="B910" s="239">
        <v>1</v>
      </c>
    </row>
    <row r="911" spans="1:2">
      <c r="A911" s="238" t="s">
        <v>6133</v>
      </c>
      <c r="B911" s="239">
        <v>1</v>
      </c>
    </row>
    <row r="912" spans="1:2">
      <c r="A912" s="238" t="s">
        <v>6134</v>
      </c>
      <c r="B912" s="239">
        <v>1</v>
      </c>
    </row>
    <row r="913" spans="1:2">
      <c r="A913" s="238" t="s">
        <v>6135</v>
      </c>
      <c r="B913" s="239">
        <v>1</v>
      </c>
    </row>
    <row r="914" spans="1:2">
      <c r="A914" s="238" t="s">
        <v>6136</v>
      </c>
      <c r="B914" s="239">
        <v>1</v>
      </c>
    </row>
    <row r="915" spans="1:2">
      <c r="A915" s="238" t="s">
        <v>6137</v>
      </c>
      <c r="B915" s="239">
        <v>1</v>
      </c>
    </row>
    <row r="916" spans="1:2">
      <c r="A916" s="238" t="s">
        <v>6138</v>
      </c>
      <c r="B916" s="239">
        <v>2</v>
      </c>
    </row>
    <row r="917" spans="1:2">
      <c r="A917" s="238" t="s">
        <v>6139</v>
      </c>
      <c r="B917" s="239">
        <v>1</v>
      </c>
    </row>
    <row r="918" spans="1:2">
      <c r="A918" s="238" t="s">
        <v>6140</v>
      </c>
      <c r="B918" s="239">
        <v>1</v>
      </c>
    </row>
    <row r="919" spans="1:2">
      <c r="A919" s="238" t="s">
        <v>6141</v>
      </c>
      <c r="B919" s="239">
        <v>1</v>
      </c>
    </row>
    <row r="920" spans="1:2">
      <c r="A920" s="238" t="s">
        <v>6142</v>
      </c>
      <c r="B920" s="239">
        <v>1</v>
      </c>
    </row>
    <row r="921" spans="1:2">
      <c r="A921" s="238" t="s">
        <v>6143</v>
      </c>
      <c r="B921" s="239">
        <v>1</v>
      </c>
    </row>
    <row r="922" spans="1:2">
      <c r="A922" s="238" t="s">
        <v>6144</v>
      </c>
      <c r="B922" s="239">
        <v>1</v>
      </c>
    </row>
    <row r="923" spans="1:2">
      <c r="A923" s="238" t="s">
        <v>6145</v>
      </c>
      <c r="B923" s="239">
        <v>1</v>
      </c>
    </row>
    <row r="924" spans="1:2">
      <c r="A924" s="238" t="s">
        <v>6146</v>
      </c>
      <c r="B924" s="239">
        <v>1</v>
      </c>
    </row>
    <row r="925" spans="1:2">
      <c r="A925" s="238" t="s">
        <v>6147</v>
      </c>
      <c r="B925" s="239">
        <v>1</v>
      </c>
    </row>
    <row r="926" spans="1:2">
      <c r="A926" s="238" t="s">
        <v>6148</v>
      </c>
      <c r="B926" s="239">
        <v>1</v>
      </c>
    </row>
    <row r="927" spans="1:2">
      <c r="A927" s="238" t="s">
        <v>6149</v>
      </c>
      <c r="B927" s="239">
        <v>1</v>
      </c>
    </row>
    <row r="928" spans="1:2">
      <c r="A928" s="238" t="s">
        <v>6150</v>
      </c>
      <c r="B928" s="239">
        <v>1</v>
      </c>
    </row>
    <row r="929" spans="1:2">
      <c r="A929" s="238" t="s">
        <v>6151</v>
      </c>
      <c r="B929" s="239">
        <v>1</v>
      </c>
    </row>
    <row r="930" spans="1:2">
      <c r="A930" s="238" t="s">
        <v>6152</v>
      </c>
      <c r="B930" s="239">
        <v>1</v>
      </c>
    </row>
    <row r="931" spans="1:2">
      <c r="A931" s="238" t="s">
        <v>6153</v>
      </c>
      <c r="B931" s="239">
        <v>1</v>
      </c>
    </row>
    <row r="932" spans="1:2">
      <c r="A932" s="238" t="s">
        <v>6154</v>
      </c>
      <c r="B932" s="239">
        <v>1</v>
      </c>
    </row>
    <row r="933" spans="1:2">
      <c r="A933" s="238" t="s">
        <v>6155</v>
      </c>
      <c r="B933" s="239">
        <v>4</v>
      </c>
    </row>
    <row r="934" spans="1:2">
      <c r="A934" s="238" t="s">
        <v>6156</v>
      </c>
      <c r="B934" s="239">
        <v>1</v>
      </c>
    </row>
    <row r="935" spans="1:2">
      <c r="A935" s="238" t="s">
        <v>6157</v>
      </c>
      <c r="B935" s="239">
        <v>1</v>
      </c>
    </row>
    <row r="936" spans="1:2">
      <c r="A936" s="238" t="s">
        <v>6158</v>
      </c>
      <c r="B936" s="239">
        <v>1</v>
      </c>
    </row>
    <row r="937" spans="1:2">
      <c r="A937" s="238" t="s">
        <v>6159</v>
      </c>
      <c r="B937" s="239">
        <v>1</v>
      </c>
    </row>
    <row r="938" spans="1:2">
      <c r="A938" s="238" t="s">
        <v>6160</v>
      </c>
      <c r="B938" s="239">
        <v>1</v>
      </c>
    </row>
    <row r="939" spans="1:2">
      <c r="A939" s="238" t="s">
        <v>6161</v>
      </c>
      <c r="B939" s="239">
        <v>1</v>
      </c>
    </row>
    <row r="940" spans="1:2">
      <c r="A940" s="238" t="s">
        <v>6162</v>
      </c>
      <c r="B940" s="239">
        <v>1</v>
      </c>
    </row>
    <row r="941" spans="1:2">
      <c r="A941" s="238" t="s">
        <v>6163</v>
      </c>
      <c r="B941" s="239">
        <v>1</v>
      </c>
    </row>
    <row r="942" spans="1:2">
      <c r="A942" s="238" t="s">
        <v>6164</v>
      </c>
      <c r="B942" s="239">
        <v>1</v>
      </c>
    </row>
    <row r="943" spans="1:2">
      <c r="A943" s="238" t="s">
        <v>6165</v>
      </c>
      <c r="B943" s="239">
        <v>1</v>
      </c>
    </row>
    <row r="944" spans="1:2">
      <c r="A944" s="238" t="s">
        <v>6166</v>
      </c>
      <c r="B944" s="239">
        <v>2</v>
      </c>
    </row>
    <row r="945" spans="1:2">
      <c r="A945" s="238" t="s">
        <v>6167</v>
      </c>
      <c r="B945" s="239">
        <v>1</v>
      </c>
    </row>
    <row r="946" spans="1:2">
      <c r="A946" s="238" t="s">
        <v>6168</v>
      </c>
      <c r="B946" s="239">
        <v>1</v>
      </c>
    </row>
    <row r="947" spans="1:2">
      <c r="A947" s="238" t="s">
        <v>6169</v>
      </c>
      <c r="B947" s="239">
        <v>1</v>
      </c>
    </row>
    <row r="948" spans="1:2">
      <c r="A948" s="238" t="s">
        <v>6170</v>
      </c>
      <c r="B948" s="239">
        <v>1</v>
      </c>
    </row>
    <row r="949" spans="1:2">
      <c r="A949" s="238" t="s">
        <v>6171</v>
      </c>
      <c r="B949" s="239">
        <v>1</v>
      </c>
    </row>
    <row r="950" spans="1:2">
      <c r="A950" s="238" t="s">
        <v>6172</v>
      </c>
      <c r="B950" s="239">
        <v>1</v>
      </c>
    </row>
    <row r="951" spans="1:2">
      <c r="A951" s="238" t="s">
        <v>6173</v>
      </c>
      <c r="B951" s="239">
        <v>1</v>
      </c>
    </row>
    <row r="952" spans="1:2">
      <c r="A952" s="238" t="s">
        <v>6174</v>
      </c>
      <c r="B952" s="239">
        <v>1</v>
      </c>
    </row>
    <row r="953" spans="1:2">
      <c r="A953" s="238" t="s">
        <v>6175</v>
      </c>
      <c r="B953" s="239">
        <v>1</v>
      </c>
    </row>
    <row r="954" spans="1:2">
      <c r="A954" s="238" t="s">
        <v>6176</v>
      </c>
      <c r="B954" s="239">
        <v>1</v>
      </c>
    </row>
    <row r="955" spans="1:2">
      <c r="A955" s="238" t="s">
        <v>6177</v>
      </c>
      <c r="B955" s="239">
        <v>1</v>
      </c>
    </row>
    <row r="956" spans="1:2">
      <c r="A956" s="238" t="s">
        <v>6178</v>
      </c>
      <c r="B956" s="239">
        <v>1</v>
      </c>
    </row>
    <row r="957" spans="1:2">
      <c r="A957" s="238" t="s">
        <v>6179</v>
      </c>
      <c r="B957" s="239">
        <v>1</v>
      </c>
    </row>
    <row r="958" spans="1:2">
      <c r="A958" s="238" t="s">
        <v>6180</v>
      </c>
      <c r="B958" s="239">
        <v>2</v>
      </c>
    </row>
    <row r="959" spans="1:2">
      <c r="A959" s="238" t="s">
        <v>6181</v>
      </c>
      <c r="B959" s="239">
        <v>1</v>
      </c>
    </row>
    <row r="960" spans="1:2">
      <c r="A960" s="238" t="s">
        <v>6182</v>
      </c>
      <c r="B960" s="239">
        <v>1</v>
      </c>
    </row>
    <row r="961" spans="1:2">
      <c r="A961" s="238" t="s">
        <v>6183</v>
      </c>
      <c r="B961" s="239">
        <v>1</v>
      </c>
    </row>
    <row r="962" spans="1:2">
      <c r="A962" s="238" t="s">
        <v>6184</v>
      </c>
      <c r="B962" s="239">
        <v>1</v>
      </c>
    </row>
    <row r="963" spans="1:2">
      <c r="A963" s="238" t="s">
        <v>6185</v>
      </c>
      <c r="B963" s="239">
        <v>1</v>
      </c>
    </row>
    <row r="964" spans="1:2">
      <c r="A964" s="238" t="s">
        <v>6186</v>
      </c>
      <c r="B964" s="239">
        <v>1</v>
      </c>
    </row>
    <row r="965" spans="1:2">
      <c r="A965" s="238" t="s">
        <v>6187</v>
      </c>
      <c r="B965" s="239">
        <v>2</v>
      </c>
    </row>
    <row r="966" spans="1:2">
      <c r="A966" s="238" t="s">
        <v>6188</v>
      </c>
      <c r="B966" s="239">
        <v>1</v>
      </c>
    </row>
    <row r="967" spans="1:2">
      <c r="A967" s="238" t="s">
        <v>6189</v>
      </c>
      <c r="B967" s="239">
        <v>2</v>
      </c>
    </row>
    <row r="968" spans="1:2">
      <c r="A968" s="238" t="s">
        <v>6190</v>
      </c>
      <c r="B968" s="239">
        <v>1</v>
      </c>
    </row>
    <row r="969" spans="1:2">
      <c r="A969" s="238" t="s">
        <v>6191</v>
      </c>
      <c r="B969" s="239">
        <v>1</v>
      </c>
    </row>
    <row r="970" spans="1:2">
      <c r="A970" s="238" t="s">
        <v>6192</v>
      </c>
      <c r="B970" s="239">
        <v>1</v>
      </c>
    </row>
    <row r="971" spans="1:2">
      <c r="A971" s="238" t="s">
        <v>6193</v>
      </c>
      <c r="B971" s="239">
        <v>1</v>
      </c>
    </row>
    <row r="972" spans="1:2">
      <c r="A972" s="238" t="s">
        <v>6194</v>
      </c>
      <c r="B972" s="239">
        <v>1</v>
      </c>
    </row>
    <row r="973" spans="1:2">
      <c r="A973" s="238" t="s">
        <v>6195</v>
      </c>
      <c r="B973" s="239">
        <v>1</v>
      </c>
    </row>
    <row r="974" spans="1:2">
      <c r="A974" s="238" t="s">
        <v>6196</v>
      </c>
      <c r="B974" s="239">
        <v>1</v>
      </c>
    </row>
    <row r="975" spans="1:2">
      <c r="A975" s="238" t="s">
        <v>6197</v>
      </c>
      <c r="B975" s="239">
        <v>1</v>
      </c>
    </row>
    <row r="976" spans="1:2">
      <c r="A976" s="238" t="s">
        <v>6198</v>
      </c>
      <c r="B976" s="239">
        <v>1</v>
      </c>
    </row>
    <row r="977" spans="1:2">
      <c r="A977" s="238" t="s">
        <v>6199</v>
      </c>
      <c r="B977" s="239">
        <v>1</v>
      </c>
    </row>
    <row r="978" spans="1:2">
      <c r="A978" s="238" t="s">
        <v>6200</v>
      </c>
      <c r="B978" s="239">
        <v>1</v>
      </c>
    </row>
    <row r="979" spans="1:2">
      <c r="A979" s="238" t="s">
        <v>6201</v>
      </c>
      <c r="B979" s="239">
        <v>1</v>
      </c>
    </row>
    <row r="980" spans="1:2">
      <c r="A980" s="238" t="s">
        <v>6202</v>
      </c>
      <c r="B980" s="239">
        <v>1</v>
      </c>
    </row>
    <row r="981" spans="1:2">
      <c r="A981" s="238" t="s">
        <v>6203</v>
      </c>
      <c r="B981" s="239">
        <v>1</v>
      </c>
    </row>
    <row r="982" spans="1:2">
      <c r="A982" s="238" t="s">
        <v>6204</v>
      </c>
      <c r="B982" s="239">
        <v>1</v>
      </c>
    </row>
    <row r="983" spans="1:2">
      <c r="A983" s="238" t="s">
        <v>6205</v>
      </c>
      <c r="B983" s="239">
        <v>1</v>
      </c>
    </row>
    <row r="984" spans="1:2">
      <c r="A984" s="238" t="s">
        <v>6206</v>
      </c>
      <c r="B984" s="239">
        <v>1</v>
      </c>
    </row>
    <row r="985" spans="1:2">
      <c r="A985" s="238" t="s">
        <v>6207</v>
      </c>
      <c r="B985" s="239">
        <v>1</v>
      </c>
    </row>
    <row r="986" spans="1:2">
      <c r="A986" s="238" t="s">
        <v>5225</v>
      </c>
      <c r="B986" s="239">
        <v>1122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1123"/>
  <sheetViews>
    <sheetView zoomScale="145" zoomScaleNormal="145" zoomScaleSheetLayoutView="100" workbookViewId="0">
      <pane xSplit="5" ySplit="1" topLeftCell="F1097" activePane="bottomRight" state="frozen"/>
      <selection pane="topRight"/>
      <selection pane="bottomLeft" activeCell="A2" sqref="A2"/>
      <selection pane="bottomRight" sqref="A1:XFD1048576"/>
    </sheetView>
  </sheetViews>
  <sheetFormatPr defaultColWidth="9.140625" defaultRowHeight="15" customHeight="1"/>
  <cols>
    <col min="1" max="1" width="3.5703125" style="224" customWidth="1"/>
    <col min="2" max="3" width="26.7109375" style="227" customWidth="1"/>
    <col min="4" max="4" width="7.28515625" style="228" customWidth="1"/>
    <col min="5" max="5" width="10.42578125" style="227" customWidth="1"/>
    <col min="6" max="6" width="8" style="227" customWidth="1"/>
    <col min="7" max="7" width="7" style="227" bestFit="1" customWidth="1"/>
    <col min="8" max="8" width="6.7109375" style="227" bestFit="1" customWidth="1"/>
    <col min="9" max="9" width="4.85546875" style="227" bestFit="1" customWidth="1"/>
    <col min="10" max="11" width="7" style="226" bestFit="1" customWidth="1"/>
    <col min="12" max="12" width="4.140625" style="230" bestFit="1" customWidth="1"/>
    <col min="13" max="13" width="20.5703125" style="227" bestFit="1" customWidth="1"/>
    <col min="14" max="14" width="19.85546875" style="227" bestFit="1" customWidth="1"/>
    <col min="15" max="15" width="20.140625" style="217" bestFit="1" customWidth="1"/>
    <col min="16" max="16" width="24.85546875" style="224" bestFit="1" customWidth="1"/>
    <col min="17" max="17" width="40.7109375" style="224" bestFit="1" customWidth="1"/>
    <col min="18" max="18" width="19.140625" style="224" bestFit="1" customWidth="1"/>
    <col min="19" max="19" width="10.5703125" style="224" customWidth="1"/>
    <col min="20" max="20" width="5.5703125" style="224" customWidth="1"/>
    <col min="21" max="21" width="4.140625" style="224" bestFit="1" customWidth="1"/>
    <col min="22" max="22" width="6.28515625" style="224" bestFit="1" customWidth="1"/>
    <col min="23" max="23" width="1.7109375" style="224" bestFit="1" customWidth="1"/>
    <col min="24" max="24" width="15.42578125" style="224" customWidth="1"/>
    <col min="25" max="25" width="11.85546875" style="224" customWidth="1"/>
    <col min="26" max="26" width="14.7109375" style="224" customWidth="1"/>
    <col min="27" max="27" width="20.7109375" style="224" customWidth="1"/>
    <col min="28" max="16384" width="9.140625" style="224"/>
  </cols>
  <sheetData>
    <row r="1" spans="1:28" s="223" customFormat="1" ht="15" customHeight="1">
      <c r="A1" s="231" t="s">
        <v>0</v>
      </c>
      <c r="B1" s="219" t="s">
        <v>1</v>
      </c>
      <c r="C1" s="219" t="s">
        <v>5223</v>
      </c>
      <c r="D1" s="231" t="s">
        <v>5219</v>
      </c>
      <c r="E1" s="219" t="s">
        <v>2</v>
      </c>
      <c r="F1" s="219" t="s">
        <v>5220</v>
      </c>
      <c r="G1" s="231" t="s">
        <v>5216</v>
      </c>
      <c r="H1" s="231" t="s">
        <v>5217</v>
      </c>
      <c r="I1" s="231" t="s">
        <v>5218</v>
      </c>
      <c r="J1" s="232" t="s">
        <v>5209</v>
      </c>
      <c r="K1" s="232" t="s">
        <v>5210</v>
      </c>
      <c r="L1" s="233" t="s">
        <v>3</v>
      </c>
      <c r="M1" s="219" t="s">
        <v>4</v>
      </c>
      <c r="N1" s="219" t="s">
        <v>5</v>
      </c>
      <c r="O1" s="234" t="s">
        <v>5211</v>
      </c>
      <c r="P1" s="235" t="s">
        <v>5213</v>
      </c>
      <c r="Q1" s="235" t="s">
        <v>5212</v>
      </c>
      <c r="R1" s="235" t="s">
        <v>5214</v>
      </c>
      <c r="S1" s="235" t="s">
        <v>6</v>
      </c>
      <c r="T1" s="235" t="s">
        <v>7</v>
      </c>
      <c r="U1" s="235" t="s">
        <v>8</v>
      </c>
      <c r="V1" s="235" t="s">
        <v>9</v>
      </c>
      <c r="W1" s="235" t="s">
        <v>10</v>
      </c>
      <c r="X1" s="235" t="s">
        <v>11</v>
      </c>
      <c r="Y1" s="235" t="s">
        <v>12</v>
      </c>
      <c r="Z1" s="235" t="s">
        <v>13</v>
      </c>
      <c r="AA1" s="235" t="s">
        <v>15</v>
      </c>
      <c r="AB1" s="220" t="s">
        <v>14</v>
      </c>
    </row>
    <row r="2" spans="1:28" ht="15" customHeight="1">
      <c r="A2" s="16">
        <v>1</v>
      </c>
      <c r="B2" s="14" t="s">
        <v>16</v>
      </c>
      <c r="C2" s="14" t="str">
        <f>_xlfn.CONCAT(B2&amp;" "&amp;W2&amp;X2&amp;Y2&amp;Z2)</f>
        <v>Sesha Tools Pvt Ltd 8031</v>
      </c>
      <c r="D2" s="16">
        <v>214</v>
      </c>
      <c r="E2" s="14">
        <v>2015</v>
      </c>
      <c r="F2" s="14"/>
      <c r="G2" s="14"/>
      <c r="H2" s="14"/>
      <c r="I2" s="14"/>
      <c r="J2" s="24">
        <v>44398</v>
      </c>
      <c r="K2" s="24">
        <v>44762</v>
      </c>
      <c r="L2" s="32">
        <v>3</v>
      </c>
      <c r="M2" s="14"/>
      <c r="N2" s="14" t="s">
        <v>17</v>
      </c>
      <c r="O2" s="18" t="s">
        <v>18</v>
      </c>
      <c r="P2" s="195" t="s">
        <v>19</v>
      </c>
      <c r="Q2" s="195" t="s">
        <v>4154</v>
      </c>
      <c r="R2" s="195" t="s">
        <v>20</v>
      </c>
      <c r="S2" s="195" t="s">
        <v>21</v>
      </c>
      <c r="T2" s="195">
        <v>560076</v>
      </c>
      <c r="U2" s="195" t="s">
        <v>22</v>
      </c>
      <c r="V2" s="195" t="s">
        <v>23</v>
      </c>
      <c r="W2" s="193">
        <v>8</v>
      </c>
      <c r="X2" s="195">
        <v>0</v>
      </c>
      <c r="Y2" s="195">
        <v>3</v>
      </c>
      <c r="Z2" s="195">
        <v>1</v>
      </c>
      <c r="AA2" s="193" t="s">
        <v>4118</v>
      </c>
      <c r="AB2" s="2"/>
    </row>
    <row r="3" spans="1:28" ht="15" customHeight="1">
      <c r="A3" s="16">
        <v>2</v>
      </c>
      <c r="B3" s="14" t="s">
        <v>26</v>
      </c>
      <c r="C3" s="14" t="str">
        <f>_xlfn.CONCAT(B3&amp;" "&amp;W3&amp;X3&amp;Y3&amp;Z3)</f>
        <v>Pro Innovative Technologies. 8051</v>
      </c>
      <c r="D3" s="16">
        <v>135</v>
      </c>
      <c r="E3" s="14">
        <v>2015</v>
      </c>
      <c r="F3" s="14"/>
      <c r="G3" s="14"/>
      <c r="H3" s="14"/>
      <c r="I3" s="14"/>
      <c r="J3" s="24"/>
      <c r="K3" s="24">
        <v>1</v>
      </c>
      <c r="L3" s="32">
        <v>3</v>
      </c>
      <c r="M3" s="14" t="s">
        <v>27</v>
      </c>
      <c r="N3" s="14" t="s">
        <v>28</v>
      </c>
      <c r="O3" s="18" t="s">
        <v>29</v>
      </c>
      <c r="P3" s="195" t="s">
        <v>30</v>
      </c>
      <c r="Q3" s="195" t="s">
        <v>4155</v>
      </c>
      <c r="R3" s="193"/>
      <c r="S3" s="195" t="s">
        <v>21</v>
      </c>
      <c r="T3" s="195">
        <v>560044</v>
      </c>
      <c r="U3" s="195" t="s">
        <v>22</v>
      </c>
      <c r="V3" s="195" t="s">
        <v>23</v>
      </c>
      <c r="W3" s="193">
        <v>8</v>
      </c>
      <c r="X3" s="195">
        <v>0</v>
      </c>
      <c r="Y3" s="195">
        <v>5</v>
      </c>
      <c r="Z3" s="195">
        <v>1</v>
      </c>
      <c r="AA3" s="193" t="s">
        <v>4118</v>
      </c>
      <c r="AB3" s="2"/>
    </row>
    <row r="4" spans="1:28" ht="15" customHeight="1">
      <c r="A4" s="16">
        <v>3</v>
      </c>
      <c r="B4" s="14" t="s">
        <v>32</v>
      </c>
      <c r="C4" s="14" t="str">
        <f>_xlfn.CONCAT(B4&amp;" "&amp;W4&amp;X4&amp;Y4&amp;Z4)</f>
        <v>Die-Tech India pvt Ltd 4031</v>
      </c>
      <c r="D4" s="16" t="s">
        <v>5222</v>
      </c>
      <c r="E4" s="14"/>
      <c r="F4" s="14"/>
      <c r="G4" s="14"/>
      <c r="H4" s="14"/>
      <c r="I4" s="14"/>
      <c r="J4" s="24"/>
      <c r="K4" s="24"/>
      <c r="L4" s="32">
        <v>3</v>
      </c>
      <c r="M4" s="14" t="s">
        <v>33</v>
      </c>
      <c r="N4" s="14" t="s">
        <v>28</v>
      </c>
      <c r="O4" s="18" t="s">
        <v>34</v>
      </c>
      <c r="P4" s="195" t="s">
        <v>35</v>
      </c>
      <c r="Q4" s="195" t="s">
        <v>4156</v>
      </c>
      <c r="R4" s="195" t="s">
        <v>36</v>
      </c>
      <c r="S4" s="195" t="s">
        <v>37</v>
      </c>
      <c r="T4" s="195">
        <v>600116</v>
      </c>
      <c r="U4" s="195" t="s">
        <v>38</v>
      </c>
      <c r="V4" s="195" t="s">
        <v>23</v>
      </c>
      <c r="W4" s="193">
        <v>4</v>
      </c>
      <c r="X4" s="195">
        <v>0</v>
      </c>
      <c r="Y4" s="195">
        <v>3</v>
      </c>
      <c r="Z4" s="195">
        <v>1</v>
      </c>
      <c r="AA4" s="193" t="s">
        <v>4148</v>
      </c>
      <c r="AB4" s="2"/>
    </row>
    <row r="5" spans="1:28" ht="15" customHeight="1">
      <c r="A5" s="16">
        <v>4</v>
      </c>
      <c r="B5" s="14" t="s">
        <v>41</v>
      </c>
      <c r="C5" s="14" t="str">
        <f>_xlfn.CONCAT(B5&amp;" "&amp;W5&amp;X5&amp;Y5&amp;Z5)</f>
        <v>Elan Diamond Tools Ltd 4031</v>
      </c>
      <c r="D5" s="16">
        <v>345</v>
      </c>
      <c r="E5" s="14" t="s">
        <v>42</v>
      </c>
      <c r="F5" s="14"/>
      <c r="G5" s="30">
        <v>41236</v>
      </c>
      <c r="H5" s="30"/>
      <c r="I5" s="30"/>
      <c r="J5" s="24"/>
      <c r="K5" s="24"/>
      <c r="L5" s="32">
        <v>3</v>
      </c>
      <c r="M5" s="14" t="s">
        <v>43</v>
      </c>
      <c r="N5" s="14" t="s">
        <v>28</v>
      </c>
      <c r="O5" s="18" t="s">
        <v>44</v>
      </c>
      <c r="P5" s="195" t="s">
        <v>46</v>
      </c>
      <c r="Q5" s="195" t="s">
        <v>4157</v>
      </c>
      <c r="R5" s="195" t="s">
        <v>47</v>
      </c>
      <c r="S5" s="195" t="s">
        <v>37</v>
      </c>
      <c r="T5" s="195">
        <v>600004</v>
      </c>
      <c r="U5" s="195" t="s">
        <v>38</v>
      </c>
      <c r="V5" s="195" t="s">
        <v>23</v>
      </c>
      <c r="W5" s="195">
        <v>4</v>
      </c>
      <c r="X5" s="195">
        <v>0</v>
      </c>
      <c r="Y5" s="195">
        <v>3</v>
      </c>
      <c r="Z5" s="193">
        <v>1</v>
      </c>
      <c r="AA5" s="193" t="s">
        <v>4148</v>
      </c>
      <c r="AB5" s="2"/>
    </row>
    <row r="6" spans="1:28" ht="15" customHeight="1">
      <c r="A6" s="16">
        <v>5</v>
      </c>
      <c r="B6" s="14" t="s">
        <v>48</v>
      </c>
      <c r="C6" s="14" t="str">
        <f>_xlfn.CONCAT(B6&amp;" "&amp;W6&amp;X6&amp;Y6&amp;Z6)</f>
        <v>NSTL (Optomech Engineers P Ltd) 6021</v>
      </c>
      <c r="D6" s="16">
        <v>33</v>
      </c>
      <c r="E6" s="14" t="s">
        <v>49</v>
      </c>
      <c r="F6" s="14"/>
      <c r="G6" s="14"/>
      <c r="H6" s="14"/>
      <c r="I6" s="14"/>
      <c r="J6" s="24"/>
      <c r="K6" s="24"/>
      <c r="L6" s="32">
        <v>3</v>
      </c>
      <c r="M6" s="14" t="s">
        <v>50</v>
      </c>
      <c r="N6" s="14" t="s">
        <v>28</v>
      </c>
      <c r="O6" s="18" t="s">
        <v>51</v>
      </c>
      <c r="P6" s="195" t="s">
        <v>52</v>
      </c>
      <c r="Q6" s="195" t="s">
        <v>4158</v>
      </c>
      <c r="R6" s="193"/>
      <c r="S6" s="195" t="s">
        <v>53</v>
      </c>
      <c r="T6" s="195">
        <v>500072</v>
      </c>
      <c r="U6" s="195" t="s">
        <v>54</v>
      </c>
      <c r="V6" s="195" t="s">
        <v>23</v>
      </c>
      <c r="W6" s="193">
        <v>6</v>
      </c>
      <c r="X6" s="195">
        <v>0</v>
      </c>
      <c r="Y6" s="195">
        <v>2</v>
      </c>
      <c r="Z6" s="195">
        <v>1</v>
      </c>
      <c r="AA6" s="193" t="s">
        <v>4148</v>
      </c>
      <c r="AB6" s="2"/>
    </row>
    <row r="7" spans="1:28" ht="15" customHeight="1">
      <c r="A7" s="16">
        <v>7</v>
      </c>
      <c r="B7" s="14" t="s">
        <v>57</v>
      </c>
      <c r="C7" s="14" t="str">
        <f>_xlfn.CONCAT(B7&amp;" "&amp;W7&amp;X7&amp;Y7&amp;Z7)</f>
        <v>Integra Automation P Ltd. 4041</v>
      </c>
      <c r="D7" s="16">
        <v>397</v>
      </c>
      <c r="E7" s="14">
        <v>2015</v>
      </c>
      <c r="F7" s="14"/>
      <c r="G7" s="14"/>
      <c r="H7" s="14"/>
      <c r="I7" s="14"/>
      <c r="J7" s="24"/>
      <c r="K7" s="24"/>
      <c r="L7" s="32">
        <v>3</v>
      </c>
      <c r="M7" s="14" t="s">
        <v>58</v>
      </c>
      <c r="N7" s="14" t="s">
        <v>59</v>
      </c>
      <c r="O7" s="18" t="s">
        <v>60</v>
      </c>
      <c r="P7" s="195" t="s">
        <v>61</v>
      </c>
      <c r="Q7" s="195" t="s">
        <v>4159</v>
      </c>
      <c r="R7" s="195" t="s">
        <v>62</v>
      </c>
      <c r="S7" s="195" t="s">
        <v>37</v>
      </c>
      <c r="T7" s="195">
        <v>600098</v>
      </c>
      <c r="U7" s="195" t="s">
        <v>38</v>
      </c>
      <c r="V7" s="195" t="s">
        <v>23</v>
      </c>
      <c r="W7" s="193">
        <v>4</v>
      </c>
      <c r="X7" s="195">
        <v>0</v>
      </c>
      <c r="Y7" s="195">
        <v>4</v>
      </c>
      <c r="Z7" s="195">
        <v>1</v>
      </c>
      <c r="AA7" s="193" t="s">
        <v>4148</v>
      </c>
      <c r="AB7" s="2"/>
    </row>
    <row r="8" spans="1:28" ht="15" customHeight="1">
      <c r="A8" s="16">
        <v>8</v>
      </c>
      <c r="B8" s="14" t="s">
        <v>63</v>
      </c>
      <c r="C8" s="14" t="str">
        <f>_xlfn.CONCAT(B8&amp;" "&amp;W8&amp;X8&amp;Y8&amp;Z8)</f>
        <v>SKF Technologies India Pvt Ltd 8012</v>
      </c>
      <c r="D8" s="16">
        <v>514</v>
      </c>
      <c r="E8" s="14">
        <v>2015</v>
      </c>
      <c r="F8" s="14"/>
      <c r="G8" s="14"/>
      <c r="H8" s="14"/>
      <c r="I8" s="14"/>
      <c r="J8" s="24">
        <v>44260</v>
      </c>
      <c r="K8" s="24">
        <v>44624</v>
      </c>
      <c r="L8" s="32">
        <v>3</v>
      </c>
      <c r="M8" s="14" t="s">
        <v>64</v>
      </c>
      <c r="N8" s="14" t="s">
        <v>65</v>
      </c>
      <c r="O8" s="18" t="s">
        <v>66</v>
      </c>
      <c r="P8" s="195" t="s">
        <v>67</v>
      </c>
      <c r="Q8" s="195" t="s">
        <v>4160</v>
      </c>
      <c r="R8" s="193"/>
      <c r="S8" s="195" t="s">
        <v>21</v>
      </c>
      <c r="T8" s="195">
        <v>560068</v>
      </c>
      <c r="U8" s="195" t="s">
        <v>22</v>
      </c>
      <c r="V8" s="195" t="s">
        <v>23</v>
      </c>
      <c r="W8" s="193">
        <v>8</v>
      </c>
      <c r="X8" s="195">
        <v>0</v>
      </c>
      <c r="Y8" s="195">
        <v>1</v>
      </c>
      <c r="Z8" s="195">
        <v>2</v>
      </c>
      <c r="AA8" s="193" t="s">
        <v>4118</v>
      </c>
      <c r="AB8" s="2"/>
    </row>
    <row r="9" spans="1:28" ht="15" customHeight="1">
      <c r="A9" s="16">
        <v>9</v>
      </c>
      <c r="B9" s="14" t="s">
        <v>69</v>
      </c>
      <c r="C9" s="14" t="str">
        <f>_xlfn.CONCAT(B9&amp;" "&amp;W9&amp;X9&amp;Y9&amp;Z9)</f>
        <v>Iscon Surgicals Ltd. 1002</v>
      </c>
      <c r="D9" s="16">
        <v>732</v>
      </c>
      <c r="E9" s="14">
        <v>2015</v>
      </c>
      <c r="F9" s="14"/>
      <c r="G9" s="30">
        <v>41750</v>
      </c>
      <c r="H9" s="30"/>
      <c r="I9" s="30"/>
      <c r="J9" s="24">
        <v>44652</v>
      </c>
      <c r="K9" s="24">
        <v>45016</v>
      </c>
      <c r="L9" s="32">
        <v>3</v>
      </c>
      <c r="M9" s="14" t="s">
        <v>70</v>
      </c>
      <c r="N9" s="14" t="s">
        <v>71</v>
      </c>
      <c r="O9" s="18" t="s">
        <v>72</v>
      </c>
      <c r="P9" s="193"/>
      <c r="Q9" s="193" t="s">
        <v>4161</v>
      </c>
      <c r="R9" s="193"/>
      <c r="S9" s="195" t="s">
        <v>73</v>
      </c>
      <c r="T9" s="195">
        <v>342003</v>
      </c>
      <c r="U9" s="195" t="s">
        <v>74</v>
      </c>
      <c r="V9" s="195" t="s">
        <v>23</v>
      </c>
      <c r="W9" s="193">
        <v>1</v>
      </c>
      <c r="X9" s="195">
        <v>0</v>
      </c>
      <c r="Y9" s="195">
        <v>0</v>
      </c>
      <c r="Z9" s="195">
        <v>2</v>
      </c>
      <c r="AA9" s="193" t="s">
        <v>4118</v>
      </c>
      <c r="AB9" s="2"/>
    </row>
    <row r="10" spans="1:28" ht="15" customHeight="1">
      <c r="A10" s="16">
        <v>6</v>
      </c>
      <c r="B10" s="14" t="s">
        <v>76</v>
      </c>
      <c r="C10" s="14" t="str">
        <f>_xlfn.CONCAT(B10&amp;" "&amp;W10&amp;X10&amp;Y10&amp;Z10)</f>
        <v>Vaish Industries 1162</v>
      </c>
      <c r="D10" s="16">
        <v>811</v>
      </c>
      <c r="E10" s="14" t="s">
        <v>42</v>
      </c>
      <c r="F10" s="14"/>
      <c r="G10" s="30">
        <v>43630</v>
      </c>
      <c r="H10" s="30"/>
      <c r="I10" s="30"/>
      <c r="J10" s="30">
        <v>44642</v>
      </c>
      <c r="K10" s="24">
        <v>45006</v>
      </c>
      <c r="L10" s="32">
        <v>3</v>
      </c>
      <c r="M10" s="14" t="s">
        <v>77</v>
      </c>
      <c r="N10" s="14" t="s">
        <v>17</v>
      </c>
      <c r="O10" s="18" t="s">
        <v>78</v>
      </c>
      <c r="P10" s="193" t="s">
        <v>79</v>
      </c>
      <c r="Q10" s="193" t="s">
        <v>4162</v>
      </c>
      <c r="R10" s="193"/>
      <c r="S10" s="195" t="s">
        <v>80</v>
      </c>
      <c r="T10" s="195">
        <v>110015</v>
      </c>
      <c r="U10" s="195" t="s">
        <v>81</v>
      </c>
      <c r="V10" s="195" t="s">
        <v>23</v>
      </c>
      <c r="W10" s="193">
        <v>1</v>
      </c>
      <c r="X10" s="195">
        <v>1</v>
      </c>
      <c r="Y10" s="195">
        <v>6</v>
      </c>
      <c r="Z10" s="195">
        <v>2</v>
      </c>
      <c r="AA10" s="193" t="s">
        <v>4118</v>
      </c>
      <c r="AB10" s="2"/>
    </row>
    <row r="11" spans="1:28" ht="15" customHeight="1">
      <c r="A11" s="16">
        <v>10</v>
      </c>
      <c r="B11" s="14" t="s">
        <v>83</v>
      </c>
      <c r="C11" s="14" t="str">
        <f>_xlfn.CONCAT(B11&amp;" "&amp;W11&amp;X11&amp;Y11&amp;Z11)</f>
        <v>Rachel Engineering 8054</v>
      </c>
      <c r="D11" s="16">
        <v>330</v>
      </c>
      <c r="E11" s="14">
        <v>2015</v>
      </c>
      <c r="F11" s="14"/>
      <c r="G11" s="14"/>
      <c r="H11" s="14"/>
      <c r="I11" s="14"/>
      <c r="J11" s="24">
        <v>44635</v>
      </c>
      <c r="K11" s="24">
        <v>44999</v>
      </c>
      <c r="L11" s="32">
        <v>3</v>
      </c>
      <c r="M11" s="14" t="s">
        <v>84</v>
      </c>
      <c r="N11" s="14" t="s">
        <v>71</v>
      </c>
      <c r="O11" s="18" t="s">
        <v>85</v>
      </c>
      <c r="P11" s="195" t="s">
        <v>86</v>
      </c>
      <c r="Q11" s="195" t="s">
        <v>4163</v>
      </c>
      <c r="R11" s="195" t="s">
        <v>87</v>
      </c>
      <c r="S11" s="195" t="s">
        <v>21</v>
      </c>
      <c r="T11" s="195">
        <v>560068</v>
      </c>
      <c r="U11" s="195" t="s">
        <v>22</v>
      </c>
      <c r="V11" s="195" t="s">
        <v>23</v>
      </c>
      <c r="W11" s="193">
        <v>8</v>
      </c>
      <c r="X11" s="195">
        <v>0</v>
      </c>
      <c r="Y11" s="195">
        <v>5</v>
      </c>
      <c r="Z11" s="195">
        <v>4</v>
      </c>
      <c r="AA11" s="193" t="s">
        <v>4118</v>
      </c>
      <c r="AB11" s="2"/>
    </row>
    <row r="12" spans="1:28" ht="15" customHeight="1">
      <c r="A12" s="16">
        <v>11</v>
      </c>
      <c r="B12" s="14" t="s">
        <v>89</v>
      </c>
      <c r="C12" s="14" t="str">
        <f>_xlfn.CONCAT(B12&amp;" "&amp;W12&amp;X12&amp;Y12&amp;Z12)</f>
        <v>Mastercraft Engineers P Ltd 8012</v>
      </c>
      <c r="D12" s="16">
        <v>207</v>
      </c>
      <c r="E12" s="14" t="s">
        <v>90</v>
      </c>
      <c r="F12" s="14"/>
      <c r="G12" s="14"/>
      <c r="H12" s="14"/>
      <c r="I12" s="14"/>
      <c r="J12" s="24">
        <v>44553</v>
      </c>
      <c r="K12" s="24">
        <v>44917</v>
      </c>
      <c r="L12" s="32">
        <v>3</v>
      </c>
      <c r="M12" s="14" t="s">
        <v>91</v>
      </c>
      <c r="N12" s="14" t="s">
        <v>92</v>
      </c>
      <c r="O12" s="18" t="s">
        <v>93</v>
      </c>
      <c r="P12" s="195" t="s">
        <v>94</v>
      </c>
      <c r="Q12" s="195" t="s">
        <v>4164</v>
      </c>
      <c r="R12" s="195" t="s">
        <v>95</v>
      </c>
      <c r="S12" s="195" t="s">
        <v>21</v>
      </c>
      <c r="T12" s="195">
        <v>560099</v>
      </c>
      <c r="U12" s="195" t="s">
        <v>22</v>
      </c>
      <c r="V12" s="195" t="s">
        <v>23</v>
      </c>
      <c r="W12" s="193">
        <v>8</v>
      </c>
      <c r="X12" s="195">
        <v>0</v>
      </c>
      <c r="Y12" s="195">
        <v>1</v>
      </c>
      <c r="Z12" s="195">
        <v>2</v>
      </c>
      <c r="AA12" s="193" t="s">
        <v>4118</v>
      </c>
      <c r="AB12" s="2"/>
    </row>
    <row r="13" spans="1:28" ht="15" customHeight="1">
      <c r="A13" s="16">
        <v>12</v>
      </c>
      <c r="B13" s="14" t="s">
        <v>96</v>
      </c>
      <c r="C13" s="14" t="str">
        <f>_xlfn.CONCAT(B13&amp;" "&amp;W13&amp;X13&amp;Y13&amp;Z13)</f>
        <v>GKDITR Tooling Centre 4111</v>
      </c>
      <c r="D13" s="16">
        <v>464</v>
      </c>
      <c r="E13" s="14" t="s">
        <v>42</v>
      </c>
      <c r="F13" s="14"/>
      <c r="G13" s="14"/>
      <c r="H13" s="14"/>
      <c r="I13" s="14"/>
      <c r="J13" s="24">
        <v>44621</v>
      </c>
      <c r="K13" s="24">
        <v>44985</v>
      </c>
      <c r="L13" s="32">
        <v>3</v>
      </c>
      <c r="M13" s="14" t="s">
        <v>97</v>
      </c>
      <c r="N13" s="14" t="s">
        <v>98</v>
      </c>
      <c r="O13" s="18" t="s">
        <v>99</v>
      </c>
      <c r="P13" s="195" t="s">
        <v>100</v>
      </c>
      <c r="Q13" s="195" t="s">
        <v>4165</v>
      </c>
      <c r="R13" s="193"/>
      <c r="S13" s="195" t="s">
        <v>101</v>
      </c>
      <c r="T13" s="195">
        <v>641407</v>
      </c>
      <c r="U13" s="195" t="s">
        <v>38</v>
      </c>
      <c r="V13" s="195" t="s">
        <v>23</v>
      </c>
      <c r="W13" s="193">
        <v>4</v>
      </c>
      <c r="X13" s="195">
        <v>1</v>
      </c>
      <c r="Y13" s="195">
        <v>1</v>
      </c>
      <c r="Z13" s="195">
        <v>1</v>
      </c>
      <c r="AA13" s="193" t="s">
        <v>4148</v>
      </c>
      <c r="AB13" s="2"/>
    </row>
    <row r="14" spans="1:28" ht="15" customHeight="1">
      <c r="A14" s="16">
        <v>13</v>
      </c>
      <c r="B14" s="14" t="s">
        <v>104</v>
      </c>
      <c r="C14" s="14" t="str">
        <f>_xlfn.CONCAT(B14&amp;" "&amp;W14&amp;X14&amp;Y14&amp;Z14)</f>
        <v>Candid Micron Measurements P Ltd. 4161</v>
      </c>
      <c r="D14" s="16">
        <v>99</v>
      </c>
      <c r="E14" s="14" t="s">
        <v>42</v>
      </c>
      <c r="F14" s="14"/>
      <c r="G14" s="14"/>
      <c r="H14" s="14"/>
      <c r="I14" s="14"/>
      <c r="J14" s="24"/>
      <c r="K14" s="24"/>
      <c r="L14" s="32">
        <v>3</v>
      </c>
      <c r="M14" s="14" t="s">
        <v>105</v>
      </c>
      <c r="N14" s="14" t="s">
        <v>28</v>
      </c>
      <c r="O14" s="18" t="s">
        <v>106</v>
      </c>
      <c r="P14" s="195" t="s">
        <v>107</v>
      </c>
      <c r="Q14" s="195" t="s">
        <v>4166</v>
      </c>
      <c r="R14" s="195" t="s">
        <v>108</v>
      </c>
      <c r="S14" s="195" t="s">
        <v>101</v>
      </c>
      <c r="T14" s="195">
        <v>641006</v>
      </c>
      <c r="U14" s="195" t="s">
        <v>38</v>
      </c>
      <c r="V14" s="195" t="s">
        <v>23</v>
      </c>
      <c r="W14" s="193">
        <v>4</v>
      </c>
      <c r="X14" s="195">
        <v>1</v>
      </c>
      <c r="Y14" s="195">
        <v>6</v>
      </c>
      <c r="Z14" s="195">
        <v>1</v>
      </c>
      <c r="AA14" s="193" t="s">
        <v>4148</v>
      </c>
      <c r="AB14" s="2"/>
    </row>
    <row r="15" spans="1:28" ht="15" customHeight="1">
      <c r="A15" s="16">
        <v>14</v>
      </c>
      <c r="B15" s="14" t="s">
        <v>110</v>
      </c>
      <c r="C15" s="14" t="str">
        <f>_xlfn.CONCAT(B15&amp;" "&amp;W15&amp;X15&amp;Y15&amp;Z15)</f>
        <v>Bosch Limited 8011</v>
      </c>
      <c r="D15" s="16" t="s">
        <v>5222</v>
      </c>
      <c r="E15" s="14"/>
      <c r="F15" s="14"/>
      <c r="G15" s="14"/>
      <c r="H15" s="14"/>
      <c r="I15" s="14"/>
      <c r="J15" s="24"/>
      <c r="K15" s="24"/>
      <c r="L15" s="32">
        <v>3</v>
      </c>
      <c r="M15" s="14" t="s">
        <v>111</v>
      </c>
      <c r="N15" s="14" t="s">
        <v>98</v>
      </c>
      <c r="O15" s="18" t="s">
        <v>112</v>
      </c>
      <c r="P15" s="195" t="s">
        <v>113</v>
      </c>
      <c r="Q15" s="195" t="s">
        <v>4167</v>
      </c>
      <c r="R15" s="195" t="s">
        <v>114</v>
      </c>
      <c r="S15" s="195" t="s">
        <v>21</v>
      </c>
      <c r="T15" s="195">
        <v>560100</v>
      </c>
      <c r="U15" s="195" t="s">
        <v>22</v>
      </c>
      <c r="V15" s="195" t="s">
        <v>23</v>
      </c>
      <c r="W15" s="193">
        <v>8</v>
      </c>
      <c r="X15" s="195">
        <v>0</v>
      </c>
      <c r="Y15" s="195">
        <v>1</v>
      </c>
      <c r="Z15" s="195">
        <v>1</v>
      </c>
      <c r="AA15" s="193" t="s">
        <v>4118</v>
      </c>
      <c r="AB15" s="2"/>
    </row>
    <row r="16" spans="1:28" ht="15" customHeight="1">
      <c r="A16" s="16">
        <v>15</v>
      </c>
      <c r="B16" s="14" t="s">
        <v>116</v>
      </c>
      <c r="C16" s="14" t="str">
        <f>_xlfn.CONCAT(B16&amp;" "&amp;W16&amp;X16&amp;Y16&amp;Z16)</f>
        <v>SSF Plastics India Pvt Ltd 8013</v>
      </c>
      <c r="D16" s="16">
        <v>203</v>
      </c>
      <c r="E16" s="14" t="s">
        <v>42</v>
      </c>
      <c r="F16" s="14"/>
      <c r="G16" s="14"/>
      <c r="H16" s="14"/>
      <c r="I16" s="14"/>
      <c r="J16" s="24">
        <v>44006</v>
      </c>
      <c r="K16" s="24">
        <v>44370</v>
      </c>
      <c r="L16" s="32">
        <v>3</v>
      </c>
      <c r="M16" s="14" t="s">
        <v>117</v>
      </c>
      <c r="N16" s="14" t="s">
        <v>118</v>
      </c>
      <c r="O16" s="18" t="s">
        <v>119</v>
      </c>
      <c r="P16" s="15"/>
      <c r="Q16" s="15" t="s">
        <v>4168</v>
      </c>
      <c r="R16" s="193"/>
      <c r="S16" s="195" t="s">
        <v>121</v>
      </c>
      <c r="T16" s="195">
        <v>635126</v>
      </c>
      <c r="U16" s="195" t="s">
        <v>38</v>
      </c>
      <c r="V16" s="195" t="s">
        <v>23</v>
      </c>
      <c r="W16" s="193">
        <v>8</v>
      </c>
      <c r="X16" s="195">
        <v>0</v>
      </c>
      <c r="Y16" s="195">
        <v>1</v>
      </c>
      <c r="Z16" s="195">
        <v>3</v>
      </c>
      <c r="AA16" s="193" t="s">
        <v>4118</v>
      </c>
      <c r="AB16" s="2"/>
    </row>
    <row r="17" spans="1:28" ht="15" customHeight="1">
      <c r="A17" s="16">
        <v>16</v>
      </c>
      <c r="B17" s="14" t="s">
        <v>122</v>
      </c>
      <c r="C17" s="14" t="str">
        <f>_xlfn.CONCAT(B17&amp;" "&amp;W17&amp;X17&amp;Y17&amp;Z17)</f>
        <v>Omni Matrix Pvt Ltd 8051</v>
      </c>
      <c r="D17" s="16">
        <v>671</v>
      </c>
      <c r="E17" s="14" t="s">
        <v>42</v>
      </c>
      <c r="F17" s="14"/>
      <c r="G17" s="14"/>
      <c r="H17" s="14"/>
      <c r="I17" s="14"/>
      <c r="J17" s="24">
        <v>44518</v>
      </c>
      <c r="K17" s="24">
        <v>44882</v>
      </c>
      <c r="L17" s="32">
        <v>3</v>
      </c>
      <c r="M17" s="14" t="s">
        <v>123</v>
      </c>
      <c r="N17" s="14" t="s">
        <v>28</v>
      </c>
      <c r="O17" s="18" t="s">
        <v>124</v>
      </c>
      <c r="P17" s="195" t="s">
        <v>30</v>
      </c>
      <c r="Q17" s="195" t="s">
        <v>4169</v>
      </c>
      <c r="R17" s="193"/>
      <c r="S17" s="195" t="s">
        <v>21</v>
      </c>
      <c r="T17" s="195">
        <v>560010</v>
      </c>
      <c r="U17" s="195" t="s">
        <v>22</v>
      </c>
      <c r="V17" s="195" t="s">
        <v>23</v>
      </c>
      <c r="W17" s="193">
        <v>8</v>
      </c>
      <c r="X17" s="195">
        <v>0</v>
      </c>
      <c r="Y17" s="195">
        <v>5</v>
      </c>
      <c r="Z17" s="195">
        <v>1</v>
      </c>
      <c r="AA17" s="193" t="s">
        <v>4118</v>
      </c>
      <c r="AB17" s="2"/>
    </row>
    <row r="18" spans="1:28" ht="15" customHeight="1">
      <c r="A18" s="16">
        <v>17</v>
      </c>
      <c r="B18" s="14" t="s">
        <v>125</v>
      </c>
      <c r="C18" s="14" t="str">
        <f>_xlfn.CONCAT(B18&amp;" "&amp;W18&amp;X18&amp;Y18&amp;Z18)</f>
        <v>Samvardhana Motherson Intern L (Motherson Sumi Sys L) 8051</v>
      </c>
      <c r="D18" s="16">
        <v>608</v>
      </c>
      <c r="E18" s="14" t="s">
        <v>42</v>
      </c>
      <c r="F18" s="14"/>
      <c r="G18" s="30">
        <v>42811</v>
      </c>
      <c r="H18" s="30"/>
      <c r="I18" s="30"/>
      <c r="J18" s="24">
        <v>44232</v>
      </c>
      <c r="K18" s="24">
        <v>44596</v>
      </c>
      <c r="L18" s="32">
        <v>3</v>
      </c>
      <c r="M18" s="14" t="s">
        <v>126</v>
      </c>
      <c r="N18" s="14" t="s">
        <v>127</v>
      </c>
      <c r="O18" s="18" t="s">
        <v>128</v>
      </c>
      <c r="P18" s="195" t="s">
        <v>129</v>
      </c>
      <c r="Q18" s="195" t="s">
        <v>4170</v>
      </c>
      <c r="R18" s="193"/>
      <c r="S18" s="195" t="s">
        <v>21</v>
      </c>
      <c r="T18" s="195">
        <v>560058</v>
      </c>
      <c r="U18" s="195" t="s">
        <v>22</v>
      </c>
      <c r="V18" s="195" t="s">
        <v>23</v>
      </c>
      <c r="W18" s="193">
        <v>8</v>
      </c>
      <c r="X18" s="195">
        <v>0</v>
      </c>
      <c r="Y18" s="195">
        <v>5</v>
      </c>
      <c r="Z18" s="195">
        <v>1</v>
      </c>
      <c r="AA18" s="193" t="s">
        <v>4118</v>
      </c>
      <c r="AB18" s="2"/>
    </row>
    <row r="19" spans="1:28" ht="15" customHeight="1">
      <c r="A19" s="16">
        <v>18</v>
      </c>
      <c r="B19" s="14" t="s">
        <v>130</v>
      </c>
      <c r="C19" s="14" t="str">
        <f>_xlfn.CONCAT(B19&amp;" "&amp;W19&amp;X19&amp;Y19&amp;Z19)</f>
        <v>College of Engg 4103</v>
      </c>
      <c r="D19" s="16" t="s">
        <v>5222</v>
      </c>
      <c r="E19" s="14"/>
      <c r="F19" s="14"/>
      <c r="G19" s="30">
        <v>38807</v>
      </c>
      <c r="H19" s="30"/>
      <c r="I19" s="30"/>
      <c r="J19" s="24"/>
      <c r="K19" s="24"/>
      <c r="L19" s="32">
        <v>3</v>
      </c>
      <c r="M19" s="14" t="s">
        <v>131</v>
      </c>
      <c r="N19" s="14" t="s">
        <v>132</v>
      </c>
      <c r="O19" s="18" t="s">
        <v>133</v>
      </c>
      <c r="P19" s="195" t="s">
        <v>134</v>
      </c>
      <c r="Q19" s="195" t="s">
        <v>4171</v>
      </c>
      <c r="R19" s="195"/>
      <c r="S19" s="195" t="s">
        <v>135</v>
      </c>
      <c r="T19" s="195">
        <v>695016</v>
      </c>
      <c r="U19" s="195" t="s">
        <v>136</v>
      </c>
      <c r="V19" s="195" t="s">
        <v>23</v>
      </c>
      <c r="W19" s="193">
        <v>4</v>
      </c>
      <c r="X19" s="195">
        <v>1</v>
      </c>
      <c r="Y19" s="195">
        <v>0</v>
      </c>
      <c r="Z19" s="195">
        <v>3</v>
      </c>
      <c r="AA19" s="193" t="s">
        <v>4148</v>
      </c>
      <c r="AB19" s="2"/>
    </row>
    <row r="20" spans="1:28" ht="15" customHeight="1">
      <c r="A20" s="16">
        <v>19</v>
      </c>
      <c r="B20" s="14" t="s">
        <v>138</v>
      </c>
      <c r="C20" s="14" t="str">
        <f>_xlfn.CONCAT(B20&amp;" "&amp;W20&amp;X20&amp;Y20&amp;Z20)</f>
        <v>Parle Elizabeth Tools Pvt Ltd. 5011</v>
      </c>
      <c r="D20" s="16">
        <v>167</v>
      </c>
      <c r="E20" s="14" t="s">
        <v>42</v>
      </c>
      <c r="F20" s="14"/>
      <c r="G20" s="14"/>
      <c r="H20" s="14"/>
      <c r="I20" s="14"/>
      <c r="J20" s="24">
        <v>44378</v>
      </c>
      <c r="K20" s="24">
        <v>44742</v>
      </c>
      <c r="L20" s="32">
        <v>3</v>
      </c>
      <c r="M20" s="14" t="s">
        <v>139</v>
      </c>
      <c r="N20" s="14" t="s">
        <v>140</v>
      </c>
      <c r="O20" s="18">
        <v>7211100103</v>
      </c>
      <c r="P20" s="195" t="s">
        <v>141</v>
      </c>
      <c r="Q20" s="195" t="s">
        <v>4172</v>
      </c>
      <c r="R20" s="195" t="s">
        <v>142</v>
      </c>
      <c r="S20" s="195" t="s">
        <v>143</v>
      </c>
      <c r="T20" s="195">
        <v>382170</v>
      </c>
      <c r="U20" s="195" t="s">
        <v>144</v>
      </c>
      <c r="V20" s="195" t="s">
        <v>23</v>
      </c>
      <c r="W20" s="193">
        <v>5</v>
      </c>
      <c r="X20" s="195">
        <v>0</v>
      </c>
      <c r="Y20" s="195">
        <v>1</v>
      </c>
      <c r="Z20" s="195">
        <v>1</v>
      </c>
      <c r="AA20" s="193" t="s">
        <v>4118</v>
      </c>
      <c r="AB20" s="2"/>
    </row>
    <row r="21" spans="1:28" ht="15" customHeight="1">
      <c r="A21" s="16">
        <v>20</v>
      </c>
      <c r="B21" s="14" t="s">
        <v>146</v>
      </c>
      <c r="C21" s="14" t="str">
        <f>_xlfn.CONCAT(B21&amp;" "&amp;W21&amp;X21&amp;Y21&amp;Z21)</f>
        <v>Sansera Engg (P) Ltd 8012</v>
      </c>
      <c r="D21" s="16">
        <v>17</v>
      </c>
      <c r="E21" s="14" t="s">
        <v>49</v>
      </c>
      <c r="F21" s="14"/>
      <c r="G21" s="30">
        <v>38807</v>
      </c>
      <c r="H21" s="30"/>
      <c r="I21" s="30"/>
      <c r="J21" s="24"/>
      <c r="K21" s="24"/>
      <c r="L21" s="32">
        <v>3</v>
      </c>
      <c r="M21" s="14" t="s">
        <v>147</v>
      </c>
      <c r="N21" s="14" t="s">
        <v>127</v>
      </c>
      <c r="O21" s="18" t="s">
        <v>148</v>
      </c>
      <c r="P21" s="193"/>
      <c r="Q21" s="193" t="s">
        <v>3838</v>
      </c>
      <c r="R21" s="193"/>
      <c r="S21" s="195" t="s">
        <v>21</v>
      </c>
      <c r="T21" s="195">
        <v>560099</v>
      </c>
      <c r="U21" s="195" t="s">
        <v>22</v>
      </c>
      <c r="V21" s="195" t="s">
        <v>23</v>
      </c>
      <c r="W21" s="193">
        <v>8</v>
      </c>
      <c r="X21" s="195">
        <v>0</v>
      </c>
      <c r="Y21" s="195">
        <v>1</v>
      </c>
      <c r="Z21" s="195">
        <v>2</v>
      </c>
      <c r="AA21" s="193" t="s">
        <v>4118</v>
      </c>
      <c r="AB21" s="2"/>
    </row>
    <row r="22" spans="1:28" ht="15" customHeight="1">
      <c r="A22" s="16">
        <v>21</v>
      </c>
      <c r="B22" s="14" t="s">
        <v>149</v>
      </c>
      <c r="C22" s="14" t="str">
        <f>_xlfn.CONCAT(B22&amp;" "&amp;W22&amp;X22&amp;Y22&amp;Z22)</f>
        <v>TGT Tech Pvt Ltd (Tool Grinding Technologies Inc.) 8051</v>
      </c>
      <c r="D22" s="16">
        <v>191</v>
      </c>
      <c r="E22" s="14" t="s">
        <v>42</v>
      </c>
      <c r="F22" s="14"/>
      <c r="G22" s="30">
        <v>41033</v>
      </c>
      <c r="H22" s="30"/>
      <c r="I22" s="30"/>
      <c r="J22" s="24">
        <v>44544</v>
      </c>
      <c r="K22" s="24">
        <v>44908</v>
      </c>
      <c r="L22" s="32">
        <v>3</v>
      </c>
      <c r="M22" s="14" t="s">
        <v>150</v>
      </c>
      <c r="N22" s="14" t="s">
        <v>151</v>
      </c>
      <c r="O22" s="18" t="s">
        <v>152</v>
      </c>
      <c r="P22" s="195" t="s">
        <v>153</v>
      </c>
      <c r="Q22" s="195" t="s">
        <v>4173</v>
      </c>
      <c r="R22" s="195" t="s">
        <v>154</v>
      </c>
      <c r="S22" s="195" t="s">
        <v>21</v>
      </c>
      <c r="T22" s="195">
        <v>560058</v>
      </c>
      <c r="U22" s="195" t="s">
        <v>22</v>
      </c>
      <c r="V22" s="195" t="s">
        <v>23</v>
      </c>
      <c r="W22" s="193">
        <v>8</v>
      </c>
      <c r="X22" s="195">
        <v>0</v>
      </c>
      <c r="Y22" s="195">
        <v>5</v>
      </c>
      <c r="Z22" s="195">
        <v>1</v>
      </c>
      <c r="AA22" s="193" t="s">
        <v>4118</v>
      </c>
      <c r="AB22" s="2"/>
    </row>
    <row r="23" spans="1:28" ht="15" customHeight="1">
      <c r="A23" s="16">
        <v>22</v>
      </c>
      <c r="B23" s="14" t="s">
        <v>155</v>
      </c>
      <c r="C23" s="14" t="str">
        <f>_xlfn.CONCAT(B23&amp;" "&amp;W23&amp;X23&amp;Y23&amp;Z23)</f>
        <v>Prismatic Engg 8021</v>
      </c>
      <c r="D23" s="16" t="s">
        <v>5222</v>
      </c>
      <c r="E23" s="14" t="s">
        <v>156</v>
      </c>
      <c r="F23" s="14"/>
      <c r="G23" s="14"/>
      <c r="H23" s="14"/>
      <c r="I23" s="14"/>
      <c r="J23" s="24"/>
      <c r="K23" s="24"/>
      <c r="L23" s="32">
        <v>3</v>
      </c>
      <c r="M23" s="14" t="s">
        <v>157</v>
      </c>
      <c r="N23" s="14" t="s">
        <v>28</v>
      </c>
      <c r="O23" s="18" t="s">
        <v>158</v>
      </c>
      <c r="P23" s="195" t="s">
        <v>159</v>
      </c>
      <c r="Q23" s="195" t="s">
        <v>4174</v>
      </c>
      <c r="R23" s="195" t="s">
        <v>160</v>
      </c>
      <c r="S23" s="195" t="s">
        <v>21</v>
      </c>
      <c r="T23" s="195">
        <v>560034</v>
      </c>
      <c r="U23" s="195" t="s">
        <v>22</v>
      </c>
      <c r="V23" s="195" t="s">
        <v>23</v>
      </c>
      <c r="W23" s="193">
        <v>8</v>
      </c>
      <c r="X23" s="195">
        <v>0</v>
      </c>
      <c r="Y23" s="195">
        <v>2</v>
      </c>
      <c r="Z23" s="195">
        <v>1</v>
      </c>
      <c r="AA23" s="193" t="s">
        <v>4118</v>
      </c>
      <c r="AB23" s="2"/>
    </row>
    <row r="24" spans="1:28" ht="15" customHeight="1">
      <c r="A24" s="16">
        <v>23</v>
      </c>
      <c r="B24" s="14" t="s">
        <v>162</v>
      </c>
      <c r="C24" s="14" t="str">
        <f>_xlfn.CONCAT(B24&amp;" "&amp;W24&amp;X24&amp;Y24&amp;Z24)</f>
        <v>Hical Technologies Pvt Ltd 8011</v>
      </c>
      <c r="D24" s="16">
        <v>216</v>
      </c>
      <c r="E24" s="14" t="s">
        <v>42</v>
      </c>
      <c r="F24" s="14"/>
      <c r="G24" s="14"/>
      <c r="H24" s="14"/>
      <c r="I24" s="14"/>
      <c r="J24" s="24">
        <v>44586</v>
      </c>
      <c r="K24" s="24">
        <v>44767</v>
      </c>
      <c r="L24" s="32">
        <v>3</v>
      </c>
      <c r="M24" s="14" t="s">
        <v>163</v>
      </c>
      <c r="N24" s="14" t="s">
        <v>164</v>
      </c>
      <c r="O24" s="18" t="s">
        <v>165</v>
      </c>
      <c r="P24" s="195" t="s">
        <v>167</v>
      </c>
      <c r="Q24" s="195" t="s">
        <v>4175</v>
      </c>
      <c r="R24" s="193"/>
      <c r="S24" s="195" t="s">
        <v>21</v>
      </c>
      <c r="T24" s="195">
        <v>560100</v>
      </c>
      <c r="U24" s="195" t="s">
        <v>22</v>
      </c>
      <c r="V24" s="195" t="s">
        <v>23</v>
      </c>
      <c r="W24" s="193">
        <v>8</v>
      </c>
      <c r="X24" s="195">
        <v>0</v>
      </c>
      <c r="Y24" s="195">
        <v>1</v>
      </c>
      <c r="Z24" s="195">
        <v>1</v>
      </c>
      <c r="AA24" s="193" t="s">
        <v>4118</v>
      </c>
      <c r="AB24" s="2"/>
    </row>
    <row r="25" spans="1:28" ht="15" customHeight="1">
      <c r="A25" s="16">
        <v>24</v>
      </c>
      <c r="B25" s="14" t="s">
        <v>168</v>
      </c>
      <c r="C25" s="14" t="str">
        <f>_xlfn.CONCAT(B25&amp;" "&amp;W25&amp;X25&amp;Y25&amp;Z25)</f>
        <v>Dagger Master Tools (P) Ltd. 2021</v>
      </c>
      <c r="D25" s="16">
        <v>28</v>
      </c>
      <c r="E25" s="14" t="s">
        <v>49</v>
      </c>
      <c r="F25" s="14"/>
      <c r="G25" s="30">
        <v>38871</v>
      </c>
      <c r="H25" s="30"/>
      <c r="I25" s="30"/>
      <c r="J25" s="24"/>
      <c r="K25" s="24"/>
      <c r="L25" s="32">
        <v>3</v>
      </c>
      <c r="M25" s="14" t="s">
        <v>169</v>
      </c>
      <c r="N25" s="14" t="s">
        <v>92</v>
      </c>
      <c r="O25" s="18" t="s">
        <v>170</v>
      </c>
      <c r="P25" s="193"/>
      <c r="Q25" s="193" t="s">
        <v>4176</v>
      </c>
      <c r="R25" s="193"/>
      <c r="S25" s="195" t="s">
        <v>171</v>
      </c>
      <c r="T25" s="195">
        <v>431210</v>
      </c>
      <c r="U25" s="195" t="s">
        <v>172</v>
      </c>
      <c r="V25" s="195" t="s">
        <v>23</v>
      </c>
      <c r="W25" s="193">
        <v>2</v>
      </c>
      <c r="X25" s="195">
        <v>0</v>
      </c>
      <c r="Y25" s="195">
        <v>2</v>
      </c>
      <c r="Z25" s="195">
        <v>1</v>
      </c>
      <c r="AA25" s="193" t="s">
        <v>4118</v>
      </c>
      <c r="AB25" s="2"/>
    </row>
    <row r="26" spans="1:28" ht="15" customHeight="1">
      <c r="A26" s="16">
        <v>25</v>
      </c>
      <c r="B26" s="14" t="s">
        <v>173</v>
      </c>
      <c r="C26" s="14" t="str">
        <f>_xlfn.CONCAT(B26&amp;" "&amp;W26&amp;X26&amp;Y26&amp;Z26)</f>
        <v>SVP Packaging (P) Ltd. 2112</v>
      </c>
      <c r="D26" s="16">
        <v>204</v>
      </c>
      <c r="E26" s="14" t="s">
        <v>42</v>
      </c>
      <c r="F26" s="14"/>
      <c r="G26" s="14"/>
      <c r="H26" s="14"/>
      <c r="I26" s="14"/>
      <c r="J26" s="24">
        <v>44525</v>
      </c>
      <c r="K26" s="24">
        <v>44889</v>
      </c>
      <c r="L26" s="32">
        <v>3</v>
      </c>
      <c r="M26" s="14" t="s">
        <v>174</v>
      </c>
      <c r="N26" s="14" t="s">
        <v>28</v>
      </c>
      <c r="O26" s="18" t="s">
        <v>175</v>
      </c>
      <c r="P26" s="195" t="s">
        <v>45</v>
      </c>
      <c r="Q26" s="195" t="s">
        <v>4177</v>
      </c>
      <c r="R26" s="195" t="s">
        <v>176</v>
      </c>
      <c r="S26" s="195" t="s">
        <v>177</v>
      </c>
      <c r="T26" s="195">
        <v>401208</v>
      </c>
      <c r="U26" s="195" t="s">
        <v>172</v>
      </c>
      <c r="V26" s="195" t="s">
        <v>23</v>
      </c>
      <c r="W26" s="193">
        <v>2</v>
      </c>
      <c r="X26" s="195">
        <v>1</v>
      </c>
      <c r="Y26" s="195">
        <v>1</v>
      </c>
      <c r="Z26" s="195">
        <v>2</v>
      </c>
      <c r="AA26" s="193" t="s">
        <v>4118</v>
      </c>
      <c r="AB26" s="2"/>
    </row>
    <row r="27" spans="1:28" ht="15" customHeight="1">
      <c r="A27" s="16">
        <v>26</v>
      </c>
      <c r="B27" s="14" t="s">
        <v>179</v>
      </c>
      <c r="C27" s="14" t="str">
        <f>_xlfn.CONCAT(B27&amp;" "&amp;W27&amp;X27&amp;Y27&amp;Z27)</f>
        <v>Quality Needles (P) Ltd 1151</v>
      </c>
      <c r="D27" s="16">
        <v>32</v>
      </c>
      <c r="E27" s="14" t="s">
        <v>156</v>
      </c>
      <c r="F27" s="14"/>
      <c r="G27" s="14"/>
      <c r="H27" s="14"/>
      <c r="I27" s="14"/>
      <c r="J27" s="24"/>
      <c r="K27" s="24"/>
      <c r="L27" s="32">
        <v>3</v>
      </c>
      <c r="M27" s="14" t="s">
        <v>180</v>
      </c>
      <c r="N27" s="14" t="s">
        <v>71</v>
      </c>
      <c r="O27" s="18" t="s">
        <v>181</v>
      </c>
      <c r="P27" s="15" t="s">
        <v>182</v>
      </c>
      <c r="Q27" s="15" t="s">
        <v>4178</v>
      </c>
      <c r="R27" s="15"/>
      <c r="S27" s="195" t="s">
        <v>183</v>
      </c>
      <c r="T27" s="195">
        <v>201307</v>
      </c>
      <c r="U27" s="195" t="s">
        <v>184</v>
      </c>
      <c r="V27" s="195" t="s">
        <v>23</v>
      </c>
      <c r="W27" s="193">
        <v>1</v>
      </c>
      <c r="X27" s="195">
        <v>1</v>
      </c>
      <c r="Y27" s="195">
        <v>5</v>
      </c>
      <c r="Z27" s="195">
        <v>1</v>
      </c>
      <c r="AA27" s="193" t="s">
        <v>4118</v>
      </c>
      <c r="AB27" s="2"/>
    </row>
    <row r="28" spans="1:28" ht="15" customHeight="1">
      <c r="A28" s="16">
        <v>27</v>
      </c>
      <c r="B28" s="14" t="s">
        <v>186</v>
      </c>
      <c r="C28" s="14" t="str">
        <f>_xlfn.CONCAT(B28&amp;" "&amp;W28&amp;X28&amp;Y28&amp;Z28)</f>
        <v>Mars Engineers &amp; Services 4041</v>
      </c>
      <c r="D28" s="16">
        <v>76</v>
      </c>
      <c r="E28" s="14" t="s">
        <v>49</v>
      </c>
      <c r="F28" s="14"/>
      <c r="G28" s="30">
        <v>38943</v>
      </c>
      <c r="H28" s="30"/>
      <c r="I28" s="30"/>
      <c r="J28" s="24"/>
      <c r="K28" s="24"/>
      <c r="L28" s="32">
        <v>3</v>
      </c>
      <c r="M28" s="14" t="s">
        <v>187</v>
      </c>
      <c r="N28" s="14" t="s">
        <v>17</v>
      </c>
      <c r="O28" s="18" t="s">
        <v>188</v>
      </c>
      <c r="P28" s="195" t="s">
        <v>189</v>
      </c>
      <c r="Q28" s="195" t="s">
        <v>4179</v>
      </c>
      <c r="R28" s="193"/>
      <c r="S28" s="195" t="s">
        <v>37</v>
      </c>
      <c r="T28" s="195">
        <v>602101</v>
      </c>
      <c r="U28" s="195" t="s">
        <v>38</v>
      </c>
      <c r="V28" s="195" t="s">
        <v>23</v>
      </c>
      <c r="W28" s="193">
        <v>4</v>
      </c>
      <c r="X28" s="195">
        <v>0</v>
      </c>
      <c r="Y28" s="195">
        <v>4</v>
      </c>
      <c r="Z28" s="195">
        <v>1</v>
      </c>
      <c r="AA28" s="193" t="s">
        <v>4148</v>
      </c>
      <c r="AB28" s="2"/>
    </row>
    <row r="29" spans="1:28" ht="15" customHeight="1">
      <c r="A29" s="16">
        <v>28</v>
      </c>
      <c r="B29" s="14" t="s">
        <v>190</v>
      </c>
      <c r="C29" s="14" t="str">
        <f>_xlfn.CONCAT(B29&amp;" "&amp;W29&amp;X29&amp;Y29&amp;Z29)</f>
        <v>Midhani (Optomech Engineers (P) Ltd) 6021</v>
      </c>
      <c r="D29" s="16">
        <v>35</v>
      </c>
      <c r="E29" s="14" t="s">
        <v>49</v>
      </c>
      <c r="F29" s="14"/>
      <c r="G29" s="30">
        <v>38948</v>
      </c>
      <c r="H29" s="30"/>
      <c r="I29" s="30"/>
      <c r="J29" s="24"/>
      <c r="K29" s="24"/>
      <c r="L29" s="32">
        <v>3</v>
      </c>
      <c r="M29" s="14" t="s">
        <v>50</v>
      </c>
      <c r="N29" s="14" t="s">
        <v>28</v>
      </c>
      <c r="O29" s="18" t="s">
        <v>191</v>
      </c>
      <c r="P29" s="195" t="s">
        <v>192</v>
      </c>
      <c r="Q29" s="195" t="s">
        <v>4180</v>
      </c>
      <c r="R29" s="193"/>
      <c r="S29" s="195" t="s">
        <v>53</v>
      </c>
      <c r="T29" s="195">
        <v>500072</v>
      </c>
      <c r="U29" s="195" t="s">
        <v>54</v>
      </c>
      <c r="V29" s="195" t="s">
        <v>23</v>
      </c>
      <c r="W29" s="193">
        <v>6</v>
      </c>
      <c r="X29" s="195">
        <v>0</v>
      </c>
      <c r="Y29" s="195">
        <v>2</v>
      </c>
      <c r="Z29" s="195">
        <v>1</v>
      </c>
      <c r="AA29" s="193" t="s">
        <v>4148</v>
      </c>
      <c r="AB29" s="2"/>
    </row>
    <row r="30" spans="1:28" ht="15" customHeight="1">
      <c r="A30" s="16">
        <v>29</v>
      </c>
      <c r="B30" s="14" t="s">
        <v>193</v>
      </c>
      <c r="C30" s="14" t="str">
        <f>_xlfn.CONCAT(B30&amp;" "&amp;W30&amp;X30&amp;Y30&amp;Z30)</f>
        <v>Technicraft 8023</v>
      </c>
      <c r="D30" s="16">
        <v>365</v>
      </c>
      <c r="E30" s="14" t="s">
        <v>42</v>
      </c>
      <c r="F30" s="14"/>
      <c r="G30" s="30">
        <v>38935</v>
      </c>
      <c r="H30" s="30"/>
      <c r="I30" s="30"/>
      <c r="J30" s="24"/>
      <c r="K30" s="24"/>
      <c r="L30" s="32">
        <v>3</v>
      </c>
      <c r="M30" s="14" t="s">
        <v>194</v>
      </c>
      <c r="N30" s="14" t="s">
        <v>17</v>
      </c>
      <c r="O30" s="18" t="s">
        <v>195</v>
      </c>
      <c r="P30" s="195" t="s">
        <v>196</v>
      </c>
      <c r="Q30" s="195" t="s">
        <v>4181</v>
      </c>
      <c r="R30" s="195" t="s">
        <v>197</v>
      </c>
      <c r="S30" s="195" t="s">
        <v>21</v>
      </c>
      <c r="T30" s="195">
        <v>560062</v>
      </c>
      <c r="U30" s="195" t="s">
        <v>22</v>
      </c>
      <c r="V30" s="195" t="s">
        <v>23</v>
      </c>
      <c r="W30" s="193">
        <v>8</v>
      </c>
      <c r="X30" s="195">
        <v>0</v>
      </c>
      <c r="Y30" s="195">
        <v>2</v>
      </c>
      <c r="Z30" s="195">
        <v>3</v>
      </c>
      <c r="AA30" s="193" t="s">
        <v>4118</v>
      </c>
      <c r="AB30" s="2"/>
    </row>
    <row r="31" spans="1:28" ht="15" customHeight="1">
      <c r="A31" s="16">
        <v>30</v>
      </c>
      <c r="B31" s="14" t="s">
        <v>199</v>
      </c>
      <c r="C31" s="14" t="str">
        <f>_xlfn.CONCAT(B31&amp;" "&amp;W31&amp;X31&amp;Y31&amp;Z31)</f>
        <v>Athereya Enterprises 8011</v>
      </c>
      <c r="D31" s="16">
        <v>166</v>
      </c>
      <c r="E31" s="14" t="s">
        <v>42</v>
      </c>
      <c r="F31" s="14"/>
      <c r="G31" s="14"/>
      <c r="H31" s="14"/>
      <c r="I31" s="14"/>
      <c r="J31" s="24"/>
      <c r="K31" s="24"/>
      <c r="L31" s="32">
        <v>3</v>
      </c>
      <c r="M31" s="14" t="s">
        <v>200</v>
      </c>
      <c r="N31" s="14" t="s">
        <v>92</v>
      </c>
      <c r="O31" s="18" t="s">
        <v>201</v>
      </c>
      <c r="P31" s="195" t="s">
        <v>202</v>
      </c>
      <c r="Q31" s="195" t="s">
        <v>4182</v>
      </c>
      <c r="R31" s="195" t="s">
        <v>203</v>
      </c>
      <c r="S31" s="195" t="s">
        <v>37</v>
      </c>
      <c r="T31" s="195">
        <v>600116</v>
      </c>
      <c r="U31" s="195" t="s">
        <v>38</v>
      </c>
      <c r="V31" s="195" t="s">
        <v>23</v>
      </c>
      <c r="W31" s="193">
        <v>8</v>
      </c>
      <c r="X31" s="195">
        <v>0</v>
      </c>
      <c r="Y31" s="195">
        <v>1</v>
      </c>
      <c r="Z31" s="195">
        <v>1</v>
      </c>
      <c r="AA31" s="195" t="s">
        <v>4118</v>
      </c>
      <c r="AB31" s="2"/>
    </row>
    <row r="32" spans="1:28" ht="15" customHeight="1">
      <c r="A32" s="16">
        <v>31</v>
      </c>
      <c r="B32" s="14" t="s">
        <v>204</v>
      </c>
      <c r="C32" s="14" t="str">
        <f>_xlfn.CONCAT(B32&amp;" "&amp;W32&amp;X32&amp;Y32&amp;Z32)</f>
        <v>Centum Industries P Ltd. 8071</v>
      </c>
      <c r="D32" s="16">
        <v>390</v>
      </c>
      <c r="E32" s="14" t="s">
        <v>42</v>
      </c>
      <c r="F32" s="14"/>
      <c r="G32" s="14"/>
      <c r="H32" s="14"/>
      <c r="I32" s="14"/>
      <c r="J32" s="24">
        <v>43476</v>
      </c>
      <c r="K32" s="24">
        <v>43840</v>
      </c>
      <c r="L32" s="32">
        <v>3</v>
      </c>
      <c r="M32" s="14" t="s">
        <v>205</v>
      </c>
      <c r="N32" s="14" t="s">
        <v>206</v>
      </c>
      <c r="O32" s="18" t="s">
        <v>207</v>
      </c>
      <c r="P32" s="195" t="s">
        <v>208</v>
      </c>
      <c r="Q32" s="195" t="s">
        <v>4183</v>
      </c>
      <c r="R32" s="193"/>
      <c r="S32" s="195" t="s">
        <v>21</v>
      </c>
      <c r="T32" s="195">
        <v>560064</v>
      </c>
      <c r="U32" s="195" t="s">
        <v>22</v>
      </c>
      <c r="V32" s="195" t="s">
        <v>23</v>
      </c>
      <c r="W32" s="193">
        <v>8</v>
      </c>
      <c r="X32" s="195">
        <v>0</v>
      </c>
      <c r="Y32" s="195">
        <v>7</v>
      </c>
      <c r="Z32" s="195">
        <v>1</v>
      </c>
      <c r="AA32" s="193" t="s">
        <v>4118</v>
      </c>
      <c r="AB32" s="2"/>
    </row>
    <row r="33" spans="1:28" ht="15" customHeight="1">
      <c r="A33" s="16">
        <v>32</v>
      </c>
      <c r="B33" s="14" t="s">
        <v>210</v>
      </c>
      <c r="C33" s="14" t="str">
        <f>_xlfn.CONCAT(B33&amp;" "&amp;W33&amp;X33&amp;Y33&amp;Z33)</f>
        <v>General Industrial Controls (P) Ltd 2411</v>
      </c>
      <c r="D33" s="16">
        <v>172</v>
      </c>
      <c r="E33" s="14" t="s">
        <v>42</v>
      </c>
      <c r="F33" s="14"/>
      <c r="G33" s="14"/>
      <c r="H33" s="14"/>
      <c r="I33" s="14"/>
      <c r="J33" s="24">
        <v>44409</v>
      </c>
      <c r="K33" s="24">
        <v>44773</v>
      </c>
      <c r="L33" s="32">
        <v>3</v>
      </c>
      <c r="M33" s="14" t="s">
        <v>211</v>
      </c>
      <c r="N33" s="14" t="s">
        <v>212</v>
      </c>
      <c r="O33" s="18" t="s">
        <v>213</v>
      </c>
      <c r="P33" s="195" t="s">
        <v>214</v>
      </c>
      <c r="Q33" s="195" t="s">
        <v>4184</v>
      </c>
      <c r="R33" s="193"/>
      <c r="S33" s="195" t="s">
        <v>215</v>
      </c>
      <c r="T33" s="195">
        <v>411026</v>
      </c>
      <c r="U33" s="195" t="s">
        <v>172</v>
      </c>
      <c r="V33" s="195" t="s">
        <v>23</v>
      </c>
      <c r="W33" s="193">
        <v>2</v>
      </c>
      <c r="X33" s="195">
        <v>4</v>
      </c>
      <c r="Y33" s="195">
        <v>1</v>
      </c>
      <c r="Z33" s="195">
        <v>1</v>
      </c>
      <c r="AA33" s="193" t="s">
        <v>4150</v>
      </c>
      <c r="AB33" s="2"/>
    </row>
    <row r="34" spans="1:28" ht="15" customHeight="1">
      <c r="A34" s="16">
        <v>33</v>
      </c>
      <c r="B34" s="14" t="s">
        <v>216</v>
      </c>
      <c r="C34" s="14" t="str">
        <f>_xlfn.CONCAT(B34&amp;" "&amp;W34&amp;X34&amp;Y34&amp;Z34)</f>
        <v>Nicholas Piramal India Limited 2115</v>
      </c>
      <c r="D34" s="16">
        <v>36</v>
      </c>
      <c r="E34" s="14" t="s">
        <v>49</v>
      </c>
      <c r="F34" s="14"/>
      <c r="G34" s="14"/>
      <c r="H34" s="14"/>
      <c r="I34" s="14"/>
      <c r="J34" s="24"/>
      <c r="K34" s="24"/>
      <c r="L34" s="32">
        <v>3</v>
      </c>
      <c r="M34" s="14" t="s">
        <v>217</v>
      </c>
      <c r="N34" s="14" t="s">
        <v>218</v>
      </c>
      <c r="O34" s="18" t="s">
        <v>219</v>
      </c>
      <c r="P34" s="195" t="s">
        <v>220</v>
      </c>
      <c r="Q34" s="195" t="s">
        <v>4185</v>
      </c>
      <c r="R34" s="193"/>
      <c r="S34" s="195" t="s">
        <v>221</v>
      </c>
      <c r="T34" s="195">
        <v>400013</v>
      </c>
      <c r="U34" s="195" t="s">
        <v>172</v>
      </c>
      <c r="V34" s="195" t="s">
        <v>23</v>
      </c>
      <c r="W34" s="193">
        <v>2</v>
      </c>
      <c r="X34" s="195">
        <v>1</v>
      </c>
      <c r="Y34" s="195">
        <v>1</v>
      </c>
      <c r="Z34" s="195">
        <v>5</v>
      </c>
      <c r="AA34" s="193" t="s">
        <v>4118</v>
      </c>
      <c r="AB34" s="2"/>
    </row>
    <row r="35" spans="1:28" ht="15" customHeight="1">
      <c r="A35" s="16">
        <v>34</v>
      </c>
      <c r="B35" s="14" t="s">
        <v>223</v>
      </c>
      <c r="C35" s="14" t="str">
        <f>_xlfn.CONCAT(B35&amp;" "&amp;W35&amp;X35&amp;Y35&amp;Z35)</f>
        <v>Maini Precision Products (P) Ltd. 8012</v>
      </c>
      <c r="D35" s="16">
        <v>209</v>
      </c>
      <c r="E35" s="14" t="s">
        <v>42</v>
      </c>
      <c r="F35" s="14"/>
      <c r="G35" s="30">
        <v>40462</v>
      </c>
      <c r="H35" s="30"/>
      <c r="I35" s="30"/>
      <c r="J35" s="24">
        <v>44289</v>
      </c>
      <c r="K35" s="24">
        <v>44653</v>
      </c>
      <c r="L35" s="32">
        <v>3</v>
      </c>
      <c r="M35" s="14" t="s">
        <v>224</v>
      </c>
      <c r="N35" s="14" t="s">
        <v>225</v>
      </c>
      <c r="O35" s="18" t="s">
        <v>226</v>
      </c>
      <c r="P35" s="195" t="s">
        <v>68</v>
      </c>
      <c r="Q35" s="195" t="s">
        <v>4186</v>
      </c>
      <c r="R35" s="193"/>
      <c r="S35" s="195" t="s">
        <v>21</v>
      </c>
      <c r="T35" s="195">
        <v>560099</v>
      </c>
      <c r="U35" s="195" t="s">
        <v>22</v>
      </c>
      <c r="V35" s="195" t="s">
        <v>23</v>
      </c>
      <c r="W35" s="193">
        <v>8</v>
      </c>
      <c r="X35" s="195">
        <v>0</v>
      </c>
      <c r="Y35" s="195">
        <v>1</v>
      </c>
      <c r="Z35" s="195">
        <v>2</v>
      </c>
      <c r="AA35" s="193" t="s">
        <v>4118</v>
      </c>
      <c r="AB35" s="2"/>
    </row>
    <row r="36" spans="1:28" ht="15" customHeight="1">
      <c r="A36" s="16">
        <v>35</v>
      </c>
      <c r="B36" s="14" t="s">
        <v>227</v>
      </c>
      <c r="C36" s="14" t="str">
        <f>_xlfn.CONCAT(B36&amp;" "&amp;W36&amp;X36&amp;Y36&amp;Z36)</f>
        <v>MTL Instruments Pvt. Ltd. 4011</v>
      </c>
      <c r="D36" s="16">
        <v>44</v>
      </c>
      <c r="E36" s="14" t="s">
        <v>49</v>
      </c>
      <c r="F36" s="14"/>
      <c r="G36" s="14"/>
      <c r="H36" s="14"/>
      <c r="I36" s="14"/>
      <c r="J36" s="24"/>
      <c r="K36" s="24"/>
      <c r="L36" s="32">
        <v>3</v>
      </c>
      <c r="M36" s="14" t="s">
        <v>228</v>
      </c>
      <c r="N36" s="14" t="s">
        <v>225</v>
      </c>
      <c r="O36" s="18" t="s">
        <v>229</v>
      </c>
      <c r="P36" s="195" t="s">
        <v>230</v>
      </c>
      <c r="Q36" s="195" t="s">
        <v>4187</v>
      </c>
      <c r="R36" s="193"/>
      <c r="S36" s="195" t="s">
        <v>37</v>
      </c>
      <c r="T36" s="195">
        <v>600119</v>
      </c>
      <c r="U36" s="195" t="s">
        <v>38</v>
      </c>
      <c r="V36" s="195" t="s">
        <v>23</v>
      </c>
      <c r="W36" s="193">
        <v>4</v>
      </c>
      <c r="X36" s="195">
        <v>0</v>
      </c>
      <c r="Y36" s="195">
        <v>1</v>
      </c>
      <c r="Z36" s="195">
        <v>1</v>
      </c>
      <c r="AA36" s="193" t="s">
        <v>4148</v>
      </c>
      <c r="AB36" s="2"/>
    </row>
    <row r="37" spans="1:28" ht="15" customHeight="1">
      <c r="A37" s="16">
        <v>36</v>
      </c>
      <c r="B37" s="14" t="s">
        <v>232</v>
      </c>
      <c r="C37" s="14" t="str">
        <f>_xlfn.CONCAT(B37&amp;" "&amp;W37&amp;X37&amp;Y37&amp;Z37)</f>
        <v>Alagappa Chettiar College of Engg 4013</v>
      </c>
      <c r="D37" s="16" t="s">
        <v>5222</v>
      </c>
      <c r="E37" s="14"/>
      <c r="F37" s="14"/>
      <c r="G37" s="14"/>
      <c r="H37" s="14"/>
      <c r="I37" s="14"/>
      <c r="J37" s="24"/>
      <c r="K37" s="24"/>
      <c r="L37" s="32">
        <v>3</v>
      </c>
      <c r="M37" s="14" t="s">
        <v>105</v>
      </c>
      <c r="N37" s="9" t="s">
        <v>233</v>
      </c>
      <c r="O37" s="18"/>
      <c r="P37" s="193"/>
      <c r="Q37" s="193" t="s">
        <v>3838</v>
      </c>
      <c r="R37" s="193"/>
      <c r="S37" s="195" t="s">
        <v>234</v>
      </c>
      <c r="T37" s="195">
        <v>630004</v>
      </c>
      <c r="U37" s="195" t="s">
        <v>38</v>
      </c>
      <c r="V37" s="195" t="s">
        <v>23</v>
      </c>
      <c r="W37" s="193">
        <v>4</v>
      </c>
      <c r="X37" s="195">
        <v>0</v>
      </c>
      <c r="Y37" s="195">
        <v>1</v>
      </c>
      <c r="Z37" s="195">
        <v>3</v>
      </c>
      <c r="AA37" s="193" t="s">
        <v>4148</v>
      </c>
      <c r="AB37" s="2"/>
    </row>
    <row r="38" spans="1:28" ht="15" customHeight="1">
      <c r="A38" s="16">
        <v>37</v>
      </c>
      <c r="B38" s="14" t="s">
        <v>236</v>
      </c>
      <c r="C38" s="14" t="str">
        <f>_xlfn.CONCAT(B38&amp;" "&amp;W38&amp;X38&amp;Y38&amp;Z38)</f>
        <v>Trishul Machine Tools (P) Ltd. 8012</v>
      </c>
      <c r="D38" s="16">
        <v>158</v>
      </c>
      <c r="E38" s="14" t="s">
        <v>42</v>
      </c>
      <c r="F38" s="14"/>
      <c r="G38" s="30">
        <v>39078</v>
      </c>
      <c r="H38" s="30"/>
      <c r="I38" s="30"/>
      <c r="J38" s="24"/>
      <c r="K38" s="24"/>
      <c r="L38" s="32">
        <v>3</v>
      </c>
      <c r="M38" s="14" t="s">
        <v>237</v>
      </c>
      <c r="N38" s="14" t="s">
        <v>28</v>
      </c>
      <c r="O38" s="18" t="s">
        <v>238</v>
      </c>
      <c r="P38" s="195" t="s">
        <v>68</v>
      </c>
      <c r="Q38" s="195" t="s">
        <v>4188</v>
      </c>
      <c r="R38" s="195" t="s">
        <v>166</v>
      </c>
      <c r="S38" s="195" t="s">
        <v>21</v>
      </c>
      <c r="T38" s="195">
        <v>560099</v>
      </c>
      <c r="U38" s="195" t="s">
        <v>22</v>
      </c>
      <c r="V38" s="195" t="s">
        <v>23</v>
      </c>
      <c r="W38" s="193">
        <v>8</v>
      </c>
      <c r="X38" s="195">
        <v>0</v>
      </c>
      <c r="Y38" s="195">
        <v>1</v>
      </c>
      <c r="Z38" s="195">
        <v>2</v>
      </c>
      <c r="AA38" s="193" t="s">
        <v>4118</v>
      </c>
      <c r="AB38" s="2"/>
    </row>
    <row r="39" spans="1:28" ht="15" customHeight="1">
      <c r="A39" s="16">
        <v>38</v>
      </c>
      <c r="B39" s="14" t="s">
        <v>239</v>
      </c>
      <c r="C39" s="14" t="str">
        <f>_xlfn.CONCAT(B39&amp;" "&amp;W39&amp;X39&amp;Y39&amp;Z39)</f>
        <v>JBJ Machine Technologies (P) Ltd. 1151</v>
      </c>
      <c r="D39" s="16">
        <v>197</v>
      </c>
      <c r="E39" s="14" t="s">
        <v>42</v>
      </c>
      <c r="F39" s="14"/>
      <c r="G39" s="14"/>
      <c r="H39" s="14"/>
      <c r="I39" s="14"/>
      <c r="J39" s="24">
        <v>44386</v>
      </c>
      <c r="K39" s="24">
        <v>44750</v>
      </c>
      <c r="L39" s="32">
        <v>3</v>
      </c>
      <c r="M39" s="14" t="s">
        <v>240</v>
      </c>
      <c r="N39" s="14" t="s">
        <v>241</v>
      </c>
      <c r="O39" s="18" t="s">
        <v>242</v>
      </c>
      <c r="P39" s="193"/>
      <c r="Q39" s="193" t="s">
        <v>4189</v>
      </c>
      <c r="R39" s="193"/>
      <c r="S39" s="195" t="s">
        <v>185</v>
      </c>
      <c r="T39" s="195">
        <v>201301</v>
      </c>
      <c r="U39" s="195" t="s">
        <v>184</v>
      </c>
      <c r="V39" s="195" t="s">
        <v>23</v>
      </c>
      <c r="W39" s="193">
        <v>1</v>
      </c>
      <c r="X39" s="195">
        <v>1</v>
      </c>
      <c r="Y39" s="195">
        <v>5</v>
      </c>
      <c r="Z39" s="195">
        <v>1</v>
      </c>
      <c r="AA39" s="193" t="s">
        <v>4118</v>
      </c>
      <c r="AB39" s="2"/>
    </row>
    <row r="40" spans="1:28" ht="15" customHeight="1">
      <c r="A40" s="16">
        <v>39</v>
      </c>
      <c r="B40" s="14" t="s">
        <v>223</v>
      </c>
      <c r="C40" s="14" t="str">
        <f>_xlfn.CONCAT(B40&amp;" "&amp;W40&amp;X40&amp;Y40&amp;Z40)</f>
        <v>Maini Precision Products (P) Ltd. 8051</v>
      </c>
      <c r="D40" s="16">
        <v>280</v>
      </c>
      <c r="E40" s="14" t="s">
        <v>42</v>
      </c>
      <c r="F40" s="14"/>
      <c r="G40" s="30">
        <v>41195</v>
      </c>
      <c r="H40" s="30"/>
      <c r="I40" s="30"/>
      <c r="J40" s="24">
        <v>44613</v>
      </c>
      <c r="K40" s="24">
        <v>44977</v>
      </c>
      <c r="L40" s="32">
        <v>3</v>
      </c>
      <c r="M40" s="14" t="s">
        <v>244</v>
      </c>
      <c r="N40" s="14" t="s">
        <v>245</v>
      </c>
      <c r="O40" s="18" t="s">
        <v>246</v>
      </c>
      <c r="P40" s="193"/>
      <c r="Q40" s="193" t="s">
        <v>4190</v>
      </c>
      <c r="R40" s="193"/>
      <c r="S40" s="195" t="s">
        <v>21</v>
      </c>
      <c r="T40" s="195">
        <v>560058</v>
      </c>
      <c r="U40" s="195" t="s">
        <v>22</v>
      </c>
      <c r="V40" s="195" t="s">
        <v>23</v>
      </c>
      <c r="W40" s="193">
        <v>8</v>
      </c>
      <c r="X40" s="195">
        <v>0</v>
      </c>
      <c r="Y40" s="195">
        <v>5</v>
      </c>
      <c r="Z40" s="195">
        <v>1</v>
      </c>
      <c r="AA40" s="193" t="s">
        <v>4118</v>
      </c>
      <c r="AB40" s="2"/>
    </row>
    <row r="41" spans="1:28" ht="15" customHeight="1">
      <c r="A41" s="16">
        <v>40</v>
      </c>
      <c r="B41" s="14" t="s">
        <v>247</v>
      </c>
      <c r="C41" s="14" t="str">
        <f>_xlfn.CONCAT(B41&amp;" "&amp;W41&amp;X41&amp;Y41&amp;Z41)</f>
        <v>Shree Athreya Industries 8011</v>
      </c>
      <c r="D41" s="16">
        <v>166</v>
      </c>
      <c r="E41" s="14" t="s">
        <v>42</v>
      </c>
      <c r="F41" s="14"/>
      <c r="G41" s="30">
        <v>42682</v>
      </c>
      <c r="H41" s="30"/>
      <c r="I41" s="30"/>
      <c r="J41" s="24"/>
      <c r="K41" s="24"/>
      <c r="L41" s="32">
        <v>3</v>
      </c>
      <c r="M41" s="14" t="s">
        <v>248</v>
      </c>
      <c r="N41" s="14" t="s">
        <v>17</v>
      </c>
      <c r="O41" s="18" t="s">
        <v>249</v>
      </c>
      <c r="P41" s="195" t="s">
        <v>250</v>
      </c>
      <c r="Q41" s="195" t="s">
        <v>4191</v>
      </c>
      <c r="R41" s="195" t="s">
        <v>251</v>
      </c>
      <c r="S41" s="195" t="s">
        <v>21</v>
      </c>
      <c r="T41" s="195">
        <v>560100</v>
      </c>
      <c r="U41" s="195" t="s">
        <v>22</v>
      </c>
      <c r="V41" s="195" t="s">
        <v>23</v>
      </c>
      <c r="W41" s="193">
        <v>8</v>
      </c>
      <c r="X41" s="195">
        <v>0</v>
      </c>
      <c r="Y41" s="195">
        <v>1</v>
      </c>
      <c r="Z41" s="195">
        <v>1</v>
      </c>
      <c r="AA41" s="193" t="s">
        <v>4118</v>
      </c>
      <c r="AB41" s="2"/>
    </row>
    <row r="42" spans="1:28" ht="15" customHeight="1">
      <c r="A42" s="16">
        <v>41</v>
      </c>
      <c r="B42" s="14" t="s">
        <v>252</v>
      </c>
      <c r="C42" s="14" t="str">
        <f>_xlfn.CONCAT(B42&amp;" "&amp;W42&amp;X42&amp;Y42&amp;Z42)</f>
        <v>Dalal Plastic Corporation 2224</v>
      </c>
      <c r="D42" s="16">
        <v>164</v>
      </c>
      <c r="E42" s="14" t="s">
        <v>42</v>
      </c>
      <c r="F42" s="14"/>
      <c r="G42" s="30">
        <v>40176</v>
      </c>
      <c r="H42" s="30"/>
      <c r="I42" s="30"/>
      <c r="J42" s="24">
        <v>44373</v>
      </c>
      <c r="K42" s="24">
        <v>44737</v>
      </c>
      <c r="L42" s="32">
        <v>3</v>
      </c>
      <c r="M42" s="14" t="s">
        <v>253</v>
      </c>
      <c r="N42" s="14" t="s">
        <v>254</v>
      </c>
      <c r="O42" s="18" t="s">
        <v>255</v>
      </c>
      <c r="P42" s="195" t="s">
        <v>256</v>
      </c>
      <c r="Q42" s="195" t="s">
        <v>4192</v>
      </c>
      <c r="R42" s="195" t="s">
        <v>257</v>
      </c>
      <c r="S42" s="195" t="s">
        <v>258</v>
      </c>
      <c r="T42" s="195">
        <v>400708</v>
      </c>
      <c r="U42" s="195" t="s">
        <v>172</v>
      </c>
      <c r="V42" s="195" t="s">
        <v>23</v>
      </c>
      <c r="W42" s="193">
        <v>2</v>
      </c>
      <c r="X42" s="195">
        <v>2</v>
      </c>
      <c r="Y42" s="195">
        <v>2</v>
      </c>
      <c r="Z42" s="195">
        <v>4</v>
      </c>
      <c r="AA42" s="193" t="s">
        <v>4148</v>
      </c>
      <c r="AB42" s="2"/>
    </row>
    <row r="43" spans="1:28" ht="15" customHeight="1">
      <c r="A43" s="16">
        <v>42</v>
      </c>
      <c r="B43" s="14" t="s">
        <v>260</v>
      </c>
      <c r="C43" s="14" t="str">
        <f>_xlfn.CONCAT(B43&amp;" "&amp;W43&amp;X43&amp;Y43&amp;Z43)</f>
        <v>Positronic Interconnects Pvt. Ltd., 0000</v>
      </c>
      <c r="D43" s="16">
        <v>227</v>
      </c>
      <c r="E43" s="14" t="s">
        <v>42</v>
      </c>
      <c r="F43" s="14"/>
      <c r="G43" s="14"/>
      <c r="H43" s="14"/>
      <c r="I43" s="14"/>
      <c r="J43" s="24"/>
      <c r="K43" s="24"/>
      <c r="L43" s="32">
        <v>3</v>
      </c>
      <c r="M43" s="14" t="s">
        <v>261</v>
      </c>
      <c r="N43" s="14" t="s">
        <v>71</v>
      </c>
      <c r="O43" s="18" t="s">
        <v>262</v>
      </c>
      <c r="P43" s="195" t="s">
        <v>263</v>
      </c>
      <c r="Q43" s="195" t="s">
        <v>4193</v>
      </c>
      <c r="R43" s="195" t="s">
        <v>264</v>
      </c>
      <c r="S43" s="195" t="s">
        <v>215</v>
      </c>
      <c r="T43" s="195">
        <v>411041</v>
      </c>
      <c r="U43" s="195" t="s">
        <v>172</v>
      </c>
      <c r="V43" s="195" t="s">
        <v>23</v>
      </c>
      <c r="W43" s="193">
        <v>0</v>
      </c>
      <c r="X43" s="195">
        <v>0</v>
      </c>
      <c r="Y43" s="195">
        <v>0</v>
      </c>
      <c r="Z43" s="195">
        <v>0</v>
      </c>
      <c r="AA43" s="193">
        <v>0</v>
      </c>
      <c r="AB43" s="2"/>
    </row>
    <row r="44" spans="1:28" ht="15" customHeight="1">
      <c r="A44" s="16">
        <v>43</v>
      </c>
      <c r="B44" s="14" t="s">
        <v>265</v>
      </c>
      <c r="C44" s="14" t="str">
        <f>_xlfn.CONCAT(B44&amp;" "&amp;W44&amp;X44&amp;Y44&amp;Z44)</f>
        <v>SJS Enterprises (P) Ltd 8023</v>
      </c>
      <c r="D44" s="16">
        <v>240</v>
      </c>
      <c r="E44" s="14" t="s">
        <v>90</v>
      </c>
      <c r="F44" s="14"/>
      <c r="G44" s="14"/>
      <c r="H44" s="14"/>
      <c r="I44" s="14"/>
      <c r="J44" s="24">
        <v>44629</v>
      </c>
      <c r="K44" s="24">
        <v>44993</v>
      </c>
      <c r="L44" s="32">
        <v>3</v>
      </c>
      <c r="M44" s="14" t="s">
        <v>266</v>
      </c>
      <c r="N44" s="8"/>
      <c r="O44" s="18" t="s">
        <v>267</v>
      </c>
      <c r="P44" s="195" t="s">
        <v>268</v>
      </c>
      <c r="Q44" s="195" t="s">
        <v>4194</v>
      </c>
      <c r="R44" s="193"/>
      <c r="S44" s="195" t="s">
        <v>21</v>
      </c>
      <c r="T44" s="195">
        <v>560060</v>
      </c>
      <c r="U44" s="195" t="s">
        <v>22</v>
      </c>
      <c r="V44" s="195" t="s">
        <v>23</v>
      </c>
      <c r="W44" s="193">
        <v>8</v>
      </c>
      <c r="X44" s="195">
        <v>0</v>
      </c>
      <c r="Y44" s="195">
        <v>2</v>
      </c>
      <c r="Z44" s="195">
        <v>3</v>
      </c>
      <c r="AA44" s="193" t="s">
        <v>4118</v>
      </c>
      <c r="AB44" s="2"/>
    </row>
    <row r="45" spans="1:28" ht="15" customHeight="1">
      <c r="A45" s="16">
        <v>44</v>
      </c>
      <c r="B45" s="14" t="s">
        <v>269</v>
      </c>
      <c r="C45" s="14" t="str">
        <f>_xlfn.CONCAT(B45&amp;" "&amp;W45&amp;X45&amp;Y45&amp;Z45)</f>
        <v>AT &amp; S India (P) Ltd 8033</v>
      </c>
      <c r="D45" s="16">
        <v>51</v>
      </c>
      <c r="E45" s="14" t="s">
        <v>42</v>
      </c>
      <c r="F45" s="14"/>
      <c r="G45" s="14"/>
      <c r="H45" s="14"/>
      <c r="I45" s="14"/>
      <c r="J45" s="24"/>
      <c r="K45" s="24"/>
      <c r="L45" s="32">
        <v>3</v>
      </c>
      <c r="M45" s="14" t="s">
        <v>270</v>
      </c>
      <c r="N45" s="14" t="s">
        <v>271</v>
      </c>
      <c r="O45" s="18" t="s">
        <v>272</v>
      </c>
      <c r="P45" s="195" t="s">
        <v>274</v>
      </c>
      <c r="Q45" s="195" t="s">
        <v>4195</v>
      </c>
      <c r="R45" s="193"/>
      <c r="S45" s="195" t="s">
        <v>275</v>
      </c>
      <c r="T45" s="195">
        <v>571301</v>
      </c>
      <c r="U45" s="195" t="s">
        <v>22</v>
      </c>
      <c r="V45" s="195" t="s">
        <v>23</v>
      </c>
      <c r="W45" s="193">
        <v>8</v>
      </c>
      <c r="X45" s="195">
        <v>0</v>
      </c>
      <c r="Y45" s="195">
        <v>3</v>
      </c>
      <c r="Z45" s="195">
        <v>3</v>
      </c>
      <c r="AA45" s="193" t="s">
        <v>4118</v>
      </c>
      <c r="AB45" s="2"/>
    </row>
    <row r="46" spans="1:28" ht="15" customHeight="1">
      <c r="A46" s="16">
        <v>45</v>
      </c>
      <c r="B46" s="14" t="s">
        <v>276</v>
      </c>
      <c r="C46" s="14" t="str">
        <f>_xlfn.CONCAT(B46&amp;" "&amp;W46&amp;X46&amp;Y46&amp;Z46)</f>
        <v>Motherson Innovative Engg Solutions P Ltd 4032</v>
      </c>
      <c r="D46" s="16" t="s">
        <v>5222</v>
      </c>
      <c r="E46" s="14"/>
      <c r="F46" s="14"/>
      <c r="G46" s="14"/>
      <c r="H46" s="14"/>
      <c r="I46" s="14"/>
      <c r="J46" s="24"/>
      <c r="K46" s="24"/>
      <c r="L46" s="32">
        <v>3</v>
      </c>
      <c r="M46" s="14" t="s">
        <v>277</v>
      </c>
      <c r="N46" s="14" t="s">
        <v>278</v>
      </c>
      <c r="O46" s="18" t="s">
        <v>279</v>
      </c>
      <c r="P46" s="195" t="s">
        <v>280</v>
      </c>
      <c r="Q46" s="195" t="s">
        <v>4196</v>
      </c>
      <c r="R46" s="195" t="s">
        <v>281</v>
      </c>
      <c r="S46" s="195" t="s">
        <v>37</v>
      </c>
      <c r="T46" s="195">
        <v>602105</v>
      </c>
      <c r="U46" s="195" t="s">
        <v>38</v>
      </c>
      <c r="V46" s="195" t="s">
        <v>23</v>
      </c>
      <c r="W46" s="193">
        <v>4</v>
      </c>
      <c r="X46" s="195">
        <v>0</v>
      </c>
      <c r="Y46" s="195">
        <v>3</v>
      </c>
      <c r="Z46" s="195">
        <v>2</v>
      </c>
      <c r="AA46" s="193" t="s">
        <v>4148</v>
      </c>
      <c r="AB46" s="2"/>
    </row>
    <row r="47" spans="1:28" ht="15" customHeight="1">
      <c r="A47" s="16">
        <v>46</v>
      </c>
      <c r="B47" s="14" t="s">
        <v>282</v>
      </c>
      <c r="C47" s="14" t="str">
        <f>_xlfn.CONCAT(B47&amp;" "&amp;W47&amp;X47&amp;Y47&amp;Z47)</f>
        <v>Stumpp Schuele &amp; Somappa Springs Pvt Ltd 8012</v>
      </c>
      <c r="D47" s="16" t="s">
        <v>5222</v>
      </c>
      <c r="E47" s="14"/>
      <c r="F47" s="14"/>
      <c r="G47" s="14"/>
      <c r="H47" s="14"/>
      <c r="I47" s="14"/>
      <c r="J47" s="24"/>
      <c r="K47" s="24"/>
      <c r="L47" s="32">
        <v>3</v>
      </c>
      <c r="M47" s="14" t="s">
        <v>283</v>
      </c>
      <c r="N47" s="14" t="s">
        <v>284</v>
      </c>
      <c r="O47" s="18" t="s">
        <v>285</v>
      </c>
      <c r="P47" s="195" t="s">
        <v>160</v>
      </c>
      <c r="Q47" s="195" t="s">
        <v>4197</v>
      </c>
      <c r="R47" s="193"/>
      <c r="S47" s="195" t="s">
        <v>21</v>
      </c>
      <c r="T47" s="195">
        <v>560095</v>
      </c>
      <c r="U47" s="195" t="s">
        <v>22</v>
      </c>
      <c r="V47" s="195" t="s">
        <v>23</v>
      </c>
      <c r="W47" s="193">
        <v>8</v>
      </c>
      <c r="X47" s="195">
        <v>0</v>
      </c>
      <c r="Y47" s="195">
        <v>1</v>
      </c>
      <c r="Z47" s="195">
        <v>2</v>
      </c>
      <c r="AA47" s="193" t="s">
        <v>4118</v>
      </c>
      <c r="AB47" s="2"/>
    </row>
    <row r="48" spans="1:28" ht="15" customHeight="1">
      <c r="A48" s="16">
        <v>47</v>
      </c>
      <c r="B48" s="14" t="s">
        <v>286</v>
      </c>
      <c r="C48" s="14" t="str">
        <f>_xlfn.CONCAT(B48&amp;" "&amp;W48&amp;X48&amp;Y48&amp;Z48)</f>
        <v>Jakap Metind Pvt Ltd 2461</v>
      </c>
      <c r="D48" s="16">
        <v>413</v>
      </c>
      <c r="E48" s="14" t="s">
        <v>42</v>
      </c>
      <c r="F48" s="14"/>
      <c r="G48" s="14"/>
      <c r="H48" s="14"/>
      <c r="I48" s="14"/>
      <c r="J48" s="24">
        <v>44639</v>
      </c>
      <c r="K48" s="24">
        <v>45003</v>
      </c>
      <c r="L48" s="32">
        <v>3</v>
      </c>
      <c r="M48" s="14" t="s">
        <v>287</v>
      </c>
      <c r="N48" s="14" t="s">
        <v>288</v>
      </c>
      <c r="O48" s="18" t="s">
        <v>289</v>
      </c>
      <c r="P48" s="195" t="s">
        <v>290</v>
      </c>
      <c r="Q48" s="195" t="s">
        <v>4198</v>
      </c>
      <c r="R48" s="195" t="s">
        <v>291</v>
      </c>
      <c r="S48" s="195" t="s">
        <v>215</v>
      </c>
      <c r="T48" s="195">
        <v>412108</v>
      </c>
      <c r="U48" s="195" t="s">
        <v>172</v>
      </c>
      <c r="V48" s="195" t="s">
        <v>23</v>
      </c>
      <c r="W48" s="193">
        <v>2</v>
      </c>
      <c r="X48" s="195">
        <v>4</v>
      </c>
      <c r="Y48" s="195">
        <v>6</v>
      </c>
      <c r="Z48" s="195">
        <v>1</v>
      </c>
      <c r="AA48" s="193" t="s">
        <v>4151</v>
      </c>
      <c r="AB48" s="2"/>
    </row>
    <row r="49" spans="1:28" ht="15" customHeight="1">
      <c r="A49" s="16">
        <v>48</v>
      </c>
      <c r="B49" s="14" t="s">
        <v>292</v>
      </c>
      <c r="C49" s="14" t="str">
        <f>_xlfn.CONCAT(B49&amp;" "&amp;W49&amp;X49&amp;Y49&amp;Z49)</f>
        <v>Central Electrochemical Research Institute 4013</v>
      </c>
      <c r="D49" s="16" t="s">
        <v>5222</v>
      </c>
      <c r="E49" s="14"/>
      <c r="F49" s="14"/>
      <c r="G49" s="14"/>
      <c r="H49" s="14"/>
      <c r="I49" s="14"/>
      <c r="J49" s="24"/>
      <c r="K49" s="24"/>
      <c r="L49" s="32">
        <v>3</v>
      </c>
      <c r="M49" s="14" t="s">
        <v>293</v>
      </c>
      <c r="N49" s="14" t="s">
        <v>294</v>
      </c>
      <c r="O49" s="18" t="s">
        <v>295</v>
      </c>
      <c r="P49" s="193"/>
      <c r="Q49" s="193" t="s">
        <v>3838</v>
      </c>
      <c r="R49" s="193"/>
      <c r="S49" s="195" t="s">
        <v>234</v>
      </c>
      <c r="T49" s="195">
        <v>630006</v>
      </c>
      <c r="U49" s="195" t="s">
        <v>38</v>
      </c>
      <c r="V49" s="195" t="s">
        <v>23</v>
      </c>
      <c r="W49" s="193">
        <v>4</v>
      </c>
      <c r="X49" s="195">
        <v>0</v>
      </c>
      <c r="Y49" s="195">
        <v>1</v>
      </c>
      <c r="Z49" s="195">
        <v>3</v>
      </c>
      <c r="AA49" s="193" t="s">
        <v>4148</v>
      </c>
      <c r="AB49" s="2"/>
    </row>
    <row r="50" spans="1:28" ht="15" customHeight="1">
      <c r="A50" s="16">
        <v>49</v>
      </c>
      <c r="B50" s="14" t="s">
        <v>296</v>
      </c>
      <c r="C50" s="14" t="str">
        <f>_xlfn.CONCAT(B50&amp;" "&amp;W50&amp;X50&amp;Y50&amp;Z50)</f>
        <v>Microtech Engineers 4021</v>
      </c>
      <c r="D50" s="16">
        <v>59</v>
      </c>
      <c r="E50" s="14" t="s">
        <v>297</v>
      </c>
      <c r="F50" s="14"/>
      <c r="G50" s="14"/>
      <c r="H50" s="14"/>
      <c r="I50" s="14"/>
      <c r="J50" s="24"/>
      <c r="K50" s="24"/>
      <c r="L50" s="32">
        <v>3</v>
      </c>
      <c r="M50" s="14" t="s">
        <v>298</v>
      </c>
      <c r="N50" s="14" t="s">
        <v>254</v>
      </c>
      <c r="O50" s="19"/>
      <c r="P50" s="195" t="s">
        <v>299</v>
      </c>
      <c r="Q50" s="195" t="s">
        <v>4199</v>
      </c>
      <c r="R50" s="193"/>
      <c r="S50" s="195" t="s">
        <v>37</v>
      </c>
      <c r="T50" s="195">
        <v>600000</v>
      </c>
      <c r="U50" s="195" t="s">
        <v>38</v>
      </c>
      <c r="V50" s="195" t="s">
        <v>23</v>
      </c>
      <c r="W50" s="193">
        <v>4</v>
      </c>
      <c r="X50" s="195">
        <v>0</v>
      </c>
      <c r="Y50" s="195">
        <v>2</v>
      </c>
      <c r="Z50" s="195">
        <v>1</v>
      </c>
      <c r="AA50" s="193" t="s">
        <v>4148</v>
      </c>
      <c r="AB50" s="2"/>
    </row>
    <row r="51" spans="1:28" ht="15" customHeight="1">
      <c r="A51" s="16">
        <v>50</v>
      </c>
      <c r="B51" s="14" t="s">
        <v>301</v>
      </c>
      <c r="C51" s="14" t="str">
        <f>_xlfn.CONCAT(B51&amp;" "&amp;W51&amp;X51&amp;Y51&amp;Z51)</f>
        <v>Abhi burnishing Tools 4111</v>
      </c>
      <c r="D51" s="16">
        <v>67</v>
      </c>
      <c r="E51" s="14" t="s">
        <v>302</v>
      </c>
      <c r="F51" s="14"/>
      <c r="G51" s="14"/>
      <c r="H51" s="14"/>
      <c r="I51" s="14"/>
      <c r="J51" s="24">
        <v>44275</v>
      </c>
      <c r="K51" s="24">
        <v>44639</v>
      </c>
      <c r="L51" s="32">
        <v>3</v>
      </c>
      <c r="M51" s="14" t="s">
        <v>303</v>
      </c>
      <c r="N51" s="14" t="s">
        <v>17</v>
      </c>
      <c r="O51" s="18" t="s">
        <v>304</v>
      </c>
      <c r="P51" s="195" t="s">
        <v>305</v>
      </c>
      <c r="Q51" s="195" t="s">
        <v>4200</v>
      </c>
      <c r="R51" s="193"/>
      <c r="S51" s="195" t="s">
        <v>101</v>
      </c>
      <c r="T51" s="195">
        <v>641006</v>
      </c>
      <c r="U51" s="195" t="s">
        <v>38</v>
      </c>
      <c r="V51" s="195" t="s">
        <v>23</v>
      </c>
      <c r="W51" s="193">
        <v>4</v>
      </c>
      <c r="X51" s="195">
        <v>1</v>
      </c>
      <c r="Y51" s="195">
        <v>1</v>
      </c>
      <c r="Z51" s="195">
        <v>1</v>
      </c>
      <c r="AA51" s="193" t="s">
        <v>4148</v>
      </c>
      <c r="AB51" s="2"/>
    </row>
    <row r="52" spans="1:28" ht="15" customHeight="1">
      <c r="A52" s="16">
        <v>51</v>
      </c>
      <c r="B52" s="14" t="s">
        <v>306</v>
      </c>
      <c r="C52" s="14" t="str">
        <f>_xlfn.CONCAT(B52&amp;" "&amp;W52&amp;X52&amp;Y52&amp;Z52)</f>
        <v>EssKay Corporation 0000</v>
      </c>
      <c r="D52" s="16" t="s">
        <v>5222</v>
      </c>
      <c r="E52" s="14"/>
      <c r="F52" s="14"/>
      <c r="G52" s="14"/>
      <c r="H52" s="14"/>
      <c r="I52" s="14"/>
      <c r="J52" s="24"/>
      <c r="K52" s="24"/>
      <c r="L52" s="32">
        <v>3</v>
      </c>
      <c r="M52" s="14" t="s">
        <v>307</v>
      </c>
      <c r="N52" s="14" t="s">
        <v>254</v>
      </c>
      <c r="O52" s="18" t="s">
        <v>308</v>
      </c>
      <c r="P52" s="195" t="s">
        <v>309</v>
      </c>
      <c r="Q52" s="195" t="s">
        <v>4201</v>
      </c>
      <c r="R52" s="195" t="s">
        <v>310</v>
      </c>
      <c r="S52" s="195" t="s">
        <v>21</v>
      </c>
      <c r="T52" s="195">
        <v>560000</v>
      </c>
      <c r="U52" s="195" t="s">
        <v>22</v>
      </c>
      <c r="V52" s="195" t="s">
        <v>23</v>
      </c>
      <c r="W52" s="193">
        <v>0</v>
      </c>
      <c r="X52" s="195">
        <v>0</v>
      </c>
      <c r="Y52" s="195">
        <v>0</v>
      </c>
      <c r="Z52" s="195">
        <v>0</v>
      </c>
      <c r="AA52" s="193">
        <v>0</v>
      </c>
      <c r="AB52" s="2"/>
    </row>
    <row r="53" spans="1:28" ht="15" customHeight="1">
      <c r="A53" s="16">
        <v>52</v>
      </c>
      <c r="B53" s="14" t="s">
        <v>311</v>
      </c>
      <c r="C53" s="14" t="str">
        <f>_xlfn.CONCAT(B53&amp;" "&amp;W53&amp;X53&amp;Y53&amp;Z53)</f>
        <v>Accusharp 2411</v>
      </c>
      <c r="D53" s="16" t="s">
        <v>312</v>
      </c>
      <c r="E53" s="14" t="s">
        <v>313</v>
      </c>
      <c r="F53" s="14"/>
      <c r="G53" s="14"/>
      <c r="H53" s="14"/>
      <c r="I53" s="14"/>
      <c r="J53" s="24"/>
      <c r="K53" s="24"/>
      <c r="L53" s="32">
        <v>3</v>
      </c>
      <c r="M53" s="14" t="s">
        <v>314</v>
      </c>
      <c r="N53" s="14" t="s">
        <v>254</v>
      </c>
      <c r="O53" s="18" t="s">
        <v>315</v>
      </c>
      <c r="P53" s="195" t="s">
        <v>316</v>
      </c>
      <c r="Q53" s="195" t="s">
        <v>4202</v>
      </c>
      <c r="R53" s="195" t="s">
        <v>214</v>
      </c>
      <c r="S53" s="195" t="s">
        <v>215</v>
      </c>
      <c r="T53" s="195">
        <v>411026</v>
      </c>
      <c r="U53" s="195" t="s">
        <v>172</v>
      </c>
      <c r="V53" s="195" t="s">
        <v>23</v>
      </c>
      <c r="W53" s="193">
        <v>2</v>
      </c>
      <c r="X53" s="195">
        <v>4</v>
      </c>
      <c r="Y53" s="195">
        <v>1</v>
      </c>
      <c r="Z53" s="195">
        <v>1</v>
      </c>
      <c r="AA53" s="193" t="s">
        <v>4150</v>
      </c>
      <c r="AB53" s="2"/>
    </row>
    <row r="54" spans="1:28" ht="15" customHeight="1">
      <c r="A54" s="16">
        <v>53</v>
      </c>
      <c r="B54" s="14" t="s">
        <v>317</v>
      </c>
      <c r="C54" s="14" t="str">
        <f>_xlfn.CONCAT(B54&amp;" "&amp;W54&amp;X54&amp;Y54&amp;Z54)</f>
        <v>Harkesh Rubber Industries 2301</v>
      </c>
      <c r="D54" s="16">
        <v>340</v>
      </c>
      <c r="E54" s="14">
        <v>2015</v>
      </c>
      <c r="F54" s="14"/>
      <c r="G54" s="14"/>
      <c r="H54" s="14"/>
      <c r="I54" s="14"/>
      <c r="J54" s="24">
        <v>45565</v>
      </c>
      <c r="K54" s="24">
        <v>45929</v>
      </c>
      <c r="L54" s="32">
        <v>3</v>
      </c>
      <c r="M54" s="14" t="s">
        <v>318</v>
      </c>
      <c r="N54" s="14" t="s">
        <v>254</v>
      </c>
      <c r="O54" s="18" t="s">
        <v>319</v>
      </c>
      <c r="P54" s="195" t="s">
        <v>45</v>
      </c>
      <c r="Q54" s="195" t="s">
        <v>4203</v>
      </c>
      <c r="R54" s="195" t="s">
        <v>320</v>
      </c>
      <c r="S54" s="195" t="s">
        <v>221</v>
      </c>
      <c r="T54" s="195">
        <v>400069</v>
      </c>
      <c r="U54" s="195" t="s">
        <v>172</v>
      </c>
      <c r="V54" s="195" t="s">
        <v>23</v>
      </c>
      <c r="W54" s="193">
        <v>2</v>
      </c>
      <c r="X54" s="195">
        <v>3</v>
      </c>
      <c r="Y54" s="195">
        <v>0</v>
      </c>
      <c r="Z54" s="195">
        <v>1</v>
      </c>
      <c r="AA54" s="193" t="s">
        <v>5221</v>
      </c>
      <c r="AB54" s="2"/>
    </row>
    <row r="55" spans="1:28" ht="15" customHeight="1">
      <c r="A55" s="16">
        <v>54</v>
      </c>
      <c r="B55" s="14" t="s">
        <v>322</v>
      </c>
      <c r="C55" s="14" t="str">
        <f>_xlfn.CONCAT(B55&amp;" "&amp;W55&amp;X55&amp;Y55&amp;Z55)</f>
        <v>Maraica Industries 8005</v>
      </c>
      <c r="D55" s="16">
        <v>290</v>
      </c>
      <c r="E55" s="14" t="s">
        <v>323</v>
      </c>
      <c r="F55" s="14"/>
      <c r="G55" s="30">
        <v>40985</v>
      </c>
      <c r="H55" s="30"/>
      <c r="I55" s="30"/>
      <c r="J55" s="24"/>
      <c r="K55" s="24"/>
      <c r="L55" s="32">
        <v>3</v>
      </c>
      <c r="M55" s="14" t="s">
        <v>324</v>
      </c>
      <c r="N55" s="14" t="s">
        <v>325</v>
      </c>
      <c r="O55" s="18" t="s">
        <v>326</v>
      </c>
      <c r="P55" s="193"/>
      <c r="Q55" s="193" t="s">
        <v>4204</v>
      </c>
      <c r="R55" s="193"/>
      <c r="S55" s="195" t="s">
        <v>327</v>
      </c>
      <c r="T55" s="195">
        <v>700072</v>
      </c>
      <c r="U55" s="195" t="s">
        <v>328</v>
      </c>
      <c r="V55" s="195" t="s">
        <v>23</v>
      </c>
      <c r="W55" s="193">
        <v>8</v>
      </c>
      <c r="X55" s="195">
        <v>0</v>
      </c>
      <c r="Y55" s="195">
        <v>0</v>
      </c>
      <c r="Z55" s="195">
        <v>5</v>
      </c>
      <c r="AA55" s="193" t="s">
        <v>4118</v>
      </c>
      <c r="AB55" s="2"/>
    </row>
    <row r="56" spans="1:28" ht="15" customHeight="1">
      <c r="A56" s="16">
        <v>55</v>
      </c>
      <c r="B56" s="14" t="s">
        <v>329</v>
      </c>
      <c r="C56" s="14" t="str">
        <f>_xlfn.CONCAT(B56&amp;" "&amp;W56&amp;X56&amp;Y56&amp;Z56)</f>
        <v>Federal Mogul Bearings India Limited 1312</v>
      </c>
      <c r="D56" s="16" t="s">
        <v>330</v>
      </c>
      <c r="E56" s="14" t="s">
        <v>90</v>
      </c>
      <c r="F56" s="14"/>
      <c r="G56" s="14"/>
      <c r="H56" s="14"/>
      <c r="I56" s="14"/>
      <c r="J56" s="24">
        <v>44501</v>
      </c>
      <c r="K56" s="24">
        <v>44865</v>
      </c>
      <c r="L56" s="32">
        <v>3</v>
      </c>
      <c r="M56" s="14" t="s">
        <v>331</v>
      </c>
      <c r="N56" s="14" t="s">
        <v>332</v>
      </c>
      <c r="O56" s="18" t="s">
        <v>333</v>
      </c>
      <c r="P56" s="195" t="s">
        <v>334</v>
      </c>
      <c r="Q56" s="195" t="s">
        <v>4205</v>
      </c>
      <c r="R56" s="193"/>
      <c r="S56" s="195" t="s">
        <v>335</v>
      </c>
      <c r="T56" s="195">
        <v>173220</v>
      </c>
      <c r="U56" s="195" t="s">
        <v>336</v>
      </c>
      <c r="V56" s="195" t="s">
        <v>23</v>
      </c>
      <c r="W56" s="193">
        <v>1</v>
      </c>
      <c r="X56" s="195">
        <v>3</v>
      </c>
      <c r="Y56" s="195">
        <v>1</v>
      </c>
      <c r="Z56" s="195">
        <v>2</v>
      </c>
      <c r="AA56" s="193" t="s">
        <v>4118</v>
      </c>
      <c r="AB56" s="2"/>
    </row>
    <row r="57" spans="1:28" ht="15" customHeight="1">
      <c r="A57" s="16">
        <v>56</v>
      </c>
      <c r="B57" s="14" t="s">
        <v>337</v>
      </c>
      <c r="C57" s="14" t="str">
        <f>_xlfn.CONCAT(B57&amp;" "&amp;W57&amp;X57&amp;Y57&amp;Z57)</f>
        <v>Spectrum Tool Engineers (P) Ltd 8041</v>
      </c>
      <c r="D57" s="16">
        <v>327</v>
      </c>
      <c r="E57" s="14" t="s">
        <v>42</v>
      </c>
      <c r="F57" s="14"/>
      <c r="G57" s="14"/>
      <c r="H57" s="14"/>
      <c r="I57" s="14"/>
      <c r="J57" s="24">
        <v>44554</v>
      </c>
      <c r="K57" s="24">
        <v>44918</v>
      </c>
      <c r="L57" s="32">
        <v>3</v>
      </c>
      <c r="M57" s="14" t="s">
        <v>338</v>
      </c>
      <c r="N57" s="14" t="s">
        <v>339</v>
      </c>
      <c r="O57" s="18" t="s">
        <v>340</v>
      </c>
      <c r="P57" s="195" t="s">
        <v>341</v>
      </c>
      <c r="Q57" s="195" t="s">
        <v>4206</v>
      </c>
      <c r="R57" s="195" t="s">
        <v>342</v>
      </c>
      <c r="S57" s="195" t="s">
        <v>21</v>
      </c>
      <c r="T57" s="195">
        <v>560079</v>
      </c>
      <c r="U57" s="195" t="s">
        <v>22</v>
      </c>
      <c r="V57" s="195" t="s">
        <v>23</v>
      </c>
      <c r="W57" s="193">
        <v>8</v>
      </c>
      <c r="X57" s="195">
        <v>0</v>
      </c>
      <c r="Y57" s="195">
        <v>4</v>
      </c>
      <c r="Z57" s="195">
        <v>1</v>
      </c>
      <c r="AA57" s="193" t="s">
        <v>4118</v>
      </c>
      <c r="AB57" s="2"/>
    </row>
    <row r="58" spans="1:28" ht="15" customHeight="1">
      <c r="A58" s="16">
        <v>57</v>
      </c>
      <c r="B58" s="14" t="s">
        <v>344</v>
      </c>
      <c r="C58" s="14" t="str">
        <f>_xlfn.CONCAT(B58&amp;" "&amp;W58&amp;X58&amp;Y58&amp;Z58)</f>
        <v>JP Tools &amp; Technologies (P) Ltd 8011</v>
      </c>
      <c r="D58" s="16">
        <v>61</v>
      </c>
      <c r="E58" s="14" t="s">
        <v>49</v>
      </c>
      <c r="F58" s="14"/>
      <c r="G58" s="14"/>
      <c r="H58" s="14"/>
      <c r="I58" s="14"/>
      <c r="J58" s="24"/>
      <c r="K58" s="24"/>
      <c r="L58" s="32">
        <v>3</v>
      </c>
      <c r="M58" s="14" t="s">
        <v>345</v>
      </c>
      <c r="N58" s="14" t="s">
        <v>254</v>
      </c>
      <c r="O58" s="18" t="s">
        <v>346</v>
      </c>
      <c r="P58" s="195" t="s">
        <v>160</v>
      </c>
      <c r="Q58" s="195" t="s">
        <v>4207</v>
      </c>
      <c r="R58" s="193"/>
      <c r="S58" s="195" t="s">
        <v>21</v>
      </c>
      <c r="T58" s="195">
        <v>560034</v>
      </c>
      <c r="U58" s="195" t="s">
        <v>22</v>
      </c>
      <c r="V58" s="195" t="s">
        <v>23</v>
      </c>
      <c r="W58" s="193">
        <v>8</v>
      </c>
      <c r="X58" s="195">
        <v>0</v>
      </c>
      <c r="Y58" s="195">
        <v>1</v>
      </c>
      <c r="Z58" s="195">
        <v>1</v>
      </c>
      <c r="AA58" s="193" t="s">
        <v>4118</v>
      </c>
      <c r="AB58" s="2"/>
    </row>
    <row r="59" spans="1:28" ht="15" customHeight="1">
      <c r="A59" s="16">
        <v>58</v>
      </c>
      <c r="B59" s="14" t="s">
        <v>347</v>
      </c>
      <c r="C59" s="14" t="str">
        <f>_xlfn.CONCAT(B59&amp;" "&amp;W59&amp;X59&amp;Y59&amp;Z59)</f>
        <v>Caparo Engg India Pvt. Ltd 4031</v>
      </c>
      <c r="D59" s="16">
        <v>71</v>
      </c>
      <c r="E59" s="14" t="s">
        <v>348</v>
      </c>
      <c r="F59" s="14"/>
      <c r="G59" s="14"/>
      <c r="H59" s="14"/>
      <c r="I59" s="14"/>
      <c r="J59" s="24"/>
      <c r="K59" s="24"/>
      <c r="L59" s="32">
        <v>3</v>
      </c>
      <c r="M59" s="14" t="s">
        <v>349</v>
      </c>
      <c r="N59" s="14" t="s">
        <v>350</v>
      </c>
      <c r="O59" s="18" t="s">
        <v>351</v>
      </c>
      <c r="P59" s="195" t="s">
        <v>352</v>
      </c>
      <c r="Q59" s="195" t="s">
        <v>4208</v>
      </c>
      <c r="R59" s="195" t="s">
        <v>353</v>
      </c>
      <c r="S59" s="195" t="s">
        <v>354</v>
      </c>
      <c r="T59" s="195">
        <v>602105</v>
      </c>
      <c r="U59" s="195" t="s">
        <v>38</v>
      </c>
      <c r="V59" s="195" t="s">
        <v>23</v>
      </c>
      <c r="W59" s="193">
        <v>4</v>
      </c>
      <c r="X59" s="195">
        <v>0</v>
      </c>
      <c r="Y59" s="195">
        <v>3</v>
      </c>
      <c r="Z59" s="195">
        <v>1</v>
      </c>
      <c r="AA59" s="193" t="s">
        <v>4148</v>
      </c>
      <c r="AB59" s="2"/>
    </row>
    <row r="60" spans="1:28" ht="15" customHeight="1">
      <c r="A60" s="16">
        <v>59</v>
      </c>
      <c r="B60" s="14" t="s">
        <v>355</v>
      </c>
      <c r="C60" s="14" t="str">
        <f>_xlfn.CONCAT(B60&amp;" "&amp;W60&amp;X60&amp;Y60&amp;Z60)</f>
        <v>KJK Polydiamonds P Ltd 0000</v>
      </c>
      <c r="D60" s="16">
        <v>74</v>
      </c>
      <c r="E60" s="14" t="s">
        <v>348</v>
      </c>
      <c r="F60" s="14"/>
      <c r="G60" s="30">
        <v>39343</v>
      </c>
      <c r="H60" s="30"/>
      <c r="I60" s="30"/>
      <c r="J60" s="24"/>
      <c r="K60" s="24"/>
      <c r="L60" s="32">
        <v>3</v>
      </c>
      <c r="M60" s="14" t="s">
        <v>356</v>
      </c>
      <c r="N60" s="14" t="s">
        <v>357</v>
      </c>
      <c r="O60" s="18">
        <v>9840856572</v>
      </c>
      <c r="P60" s="195" t="s">
        <v>358</v>
      </c>
      <c r="Q60" s="195" t="s">
        <v>4209</v>
      </c>
      <c r="R60" s="193"/>
      <c r="S60" s="195" t="s">
        <v>37</v>
      </c>
      <c r="T60" s="195">
        <v>600096</v>
      </c>
      <c r="U60" s="195" t="s">
        <v>38</v>
      </c>
      <c r="V60" s="195" t="s">
        <v>23</v>
      </c>
      <c r="W60" s="193">
        <v>0</v>
      </c>
      <c r="X60" s="195">
        <v>0</v>
      </c>
      <c r="Y60" s="195">
        <v>0</v>
      </c>
      <c r="Z60" s="195">
        <v>0</v>
      </c>
      <c r="AA60" s="193">
        <v>0</v>
      </c>
      <c r="AB60" s="2"/>
    </row>
    <row r="61" spans="1:28" ht="15" customHeight="1">
      <c r="A61" s="16">
        <v>60</v>
      </c>
      <c r="B61" s="14" t="s">
        <v>359</v>
      </c>
      <c r="C61" s="14" t="str">
        <f>_xlfn.CONCAT(B61&amp;" "&amp;W61&amp;X61&amp;Y61&amp;Z61)</f>
        <v>IP Rings Ltd (IP Pins Ltd) 4024</v>
      </c>
      <c r="D61" s="16">
        <v>62</v>
      </c>
      <c r="E61" s="14" t="s">
        <v>49</v>
      </c>
      <c r="F61" s="14"/>
      <c r="G61" s="14"/>
      <c r="H61" s="14"/>
      <c r="I61" s="14"/>
      <c r="J61" s="24">
        <v>44496</v>
      </c>
      <c r="K61" s="24">
        <v>44860</v>
      </c>
      <c r="L61" s="32">
        <v>3</v>
      </c>
      <c r="M61" s="14" t="s">
        <v>360</v>
      </c>
      <c r="N61" s="14" t="s">
        <v>361</v>
      </c>
      <c r="O61" s="18" t="s">
        <v>362</v>
      </c>
      <c r="P61" s="195" t="s">
        <v>364</v>
      </c>
      <c r="Q61" s="195" t="s">
        <v>4210</v>
      </c>
      <c r="R61" s="193"/>
      <c r="S61" s="195" t="s">
        <v>365</v>
      </c>
      <c r="T61" s="195">
        <v>603209</v>
      </c>
      <c r="U61" s="195" t="s">
        <v>38</v>
      </c>
      <c r="V61" s="195" t="s">
        <v>23</v>
      </c>
      <c r="W61" s="193">
        <v>4</v>
      </c>
      <c r="X61" s="195">
        <v>0</v>
      </c>
      <c r="Y61" s="195">
        <v>2</v>
      </c>
      <c r="Z61" s="195">
        <v>4</v>
      </c>
      <c r="AA61" s="193" t="s">
        <v>4148</v>
      </c>
      <c r="AB61" s="2"/>
    </row>
    <row r="62" spans="1:28" ht="15" customHeight="1">
      <c r="A62" s="16">
        <v>61</v>
      </c>
      <c r="B62" s="14" t="s">
        <v>367</v>
      </c>
      <c r="C62" s="14" t="str">
        <f>_xlfn.CONCAT(B62&amp;" "&amp;W62&amp;X62&amp;Y62&amp;Z62)</f>
        <v>Mudra Pressings P Ltd 4021</v>
      </c>
      <c r="D62" s="16">
        <v>78</v>
      </c>
      <c r="E62" s="14" t="s">
        <v>49</v>
      </c>
      <c r="F62" s="14"/>
      <c r="G62" s="14"/>
      <c r="H62" s="14"/>
      <c r="I62" s="14"/>
      <c r="J62" s="24"/>
      <c r="K62" s="24"/>
      <c r="L62" s="32">
        <v>3</v>
      </c>
      <c r="M62" s="14" t="s">
        <v>368</v>
      </c>
      <c r="N62" s="14" t="s">
        <v>339</v>
      </c>
      <c r="O62" s="18" t="s">
        <v>369</v>
      </c>
      <c r="P62" s="195" t="s">
        <v>370</v>
      </c>
      <c r="Q62" s="195" t="s">
        <v>4211</v>
      </c>
      <c r="R62" s="193"/>
      <c r="S62" s="195" t="s">
        <v>37</v>
      </c>
      <c r="T62" s="195">
        <v>602107</v>
      </c>
      <c r="U62" s="195" t="s">
        <v>38</v>
      </c>
      <c r="V62" s="195" t="s">
        <v>23</v>
      </c>
      <c r="W62" s="193">
        <v>4</v>
      </c>
      <c r="X62" s="195">
        <v>0</v>
      </c>
      <c r="Y62" s="195">
        <v>2</v>
      </c>
      <c r="Z62" s="195">
        <v>1</v>
      </c>
      <c r="AA62" s="193" t="s">
        <v>4148</v>
      </c>
      <c r="AB62" s="2"/>
    </row>
    <row r="63" spans="1:28" ht="15" customHeight="1">
      <c r="A63" s="16">
        <v>62</v>
      </c>
      <c r="B63" s="14" t="s">
        <v>371</v>
      </c>
      <c r="C63" s="14" t="str">
        <f>_xlfn.CONCAT(B63&amp;" "&amp;W63&amp;X63&amp;Y63&amp;Z63)</f>
        <v>Rimtex Engg P Ltd. 5011</v>
      </c>
      <c r="D63" s="16">
        <v>72</v>
      </c>
      <c r="E63" s="14" t="s">
        <v>49</v>
      </c>
      <c r="F63" s="14"/>
      <c r="G63" s="14"/>
      <c r="H63" s="14"/>
      <c r="I63" s="14"/>
      <c r="J63" s="24"/>
      <c r="K63" s="24"/>
      <c r="L63" s="32">
        <v>3</v>
      </c>
      <c r="M63" s="14" t="s">
        <v>372</v>
      </c>
      <c r="N63" s="14" t="s">
        <v>373</v>
      </c>
      <c r="O63" s="18" t="s">
        <v>374</v>
      </c>
      <c r="P63" s="195" t="s">
        <v>375</v>
      </c>
      <c r="Q63" s="195" t="s">
        <v>4212</v>
      </c>
      <c r="R63" s="195" t="s">
        <v>376</v>
      </c>
      <c r="S63" s="195" t="s">
        <v>377</v>
      </c>
      <c r="T63" s="195">
        <v>363035</v>
      </c>
      <c r="U63" s="195" t="s">
        <v>144</v>
      </c>
      <c r="V63" s="195" t="s">
        <v>23</v>
      </c>
      <c r="W63" s="193">
        <v>5</v>
      </c>
      <c r="X63" s="195">
        <v>0</v>
      </c>
      <c r="Y63" s="195">
        <v>1</v>
      </c>
      <c r="Z63" s="195">
        <v>1</v>
      </c>
      <c r="AA63" s="193" t="s">
        <v>4118</v>
      </c>
      <c r="AB63" s="2"/>
    </row>
    <row r="64" spans="1:28" ht="15" customHeight="1">
      <c r="A64" s="16">
        <v>63</v>
      </c>
      <c r="B64" s="14" t="s">
        <v>378</v>
      </c>
      <c r="C64" s="14" t="str">
        <f>_xlfn.CONCAT(B64&amp;" "&amp;W64&amp;X64&amp;Y64&amp;Z64)</f>
        <v>Nebula Technologies 8031</v>
      </c>
      <c r="D64" s="16">
        <v>287</v>
      </c>
      <c r="E64" s="14" t="s">
        <v>42</v>
      </c>
      <c r="F64" s="14"/>
      <c r="G64" s="30">
        <v>39354</v>
      </c>
      <c r="H64" s="30"/>
      <c r="I64" s="30"/>
      <c r="J64" s="24"/>
      <c r="K64" s="24"/>
      <c r="L64" s="32">
        <v>3</v>
      </c>
      <c r="M64" s="14" t="s">
        <v>379</v>
      </c>
      <c r="N64" s="14" t="s">
        <v>254</v>
      </c>
      <c r="O64" s="18" t="s">
        <v>380</v>
      </c>
      <c r="P64" s="195" t="s">
        <v>381</v>
      </c>
      <c r="Q64" s="195" t="s">
        <v>4213</v>
      </c>
      <c r="R64" s="195" t="s">
        <v>382</v>
      </c>
      <c r="S64" s="195" t="s">
        <v>21</v>
      </c>
      <c r="T64" s="195">
        <v>560098</v>
      </c>
      <c r="U64" s="195" t="s">
        <v>22</v>
      </c>
      <c r="V64" s="195" t="s">
        <v>23</v>
      </c>
      <c r="W64" s="193">
        <v>8</v>
      </c>
      <c r="X64" s="195">
        <v>0</v>
      </c>
      <c r="Y64" s="195">
        <v>3</v>
      </c>
      <c r="Z64" s="195">
        <v>1</v>
      </c>
      <c r="AA64" s="193" t="s">
        <v>4118</v>
      </c>
      <c r="AB64" s="2"/>
    </row>
    <row r="65" spans="1:28" ht="15" customHeight="1">
      <c r="A65" s="16">
        <v>64</v>
      </c>
      <c r="B65" s="14" t="s">
        <v>383</v>
      </c>
      <c r="C65" s="14" t="str">
        <f>_xlfn.CONCAT(B65&amp;" "&amp;W65&amp;X65&amp;Y65&amp;Z65)</f>
        <v>VMX Connectors Pvt Ltd 8022</v>
      </c>
      <c r="D65" s="16">
        <v>77</v>
      </c>
      <c r="E65" s="14" t="s">
        <v>42</v>
      </c>
      <c r="F65" s="14"/>
      <c r="G65" s="14"/>
      <c r="H65" s="14"/>
      <c r="I65" s="14"/>
      <c r="J65" s="24">
        <v>44462</v>
      </c>
      <c r="K65" s="24">
        <v>44826</v>
      </c>
      <c r="L65" s="32">
        <v>3</v>
      </c>
      <c r="M65" s="14" t="s">
        <v>384</v>
      </c>
      <c r="N65" s="14" t="s">
        <v>254</v>
      </c>
      <c r="O65" s="18" t="s">
        <v>385</v>
      </c>
      <c r="P65" s="195" t="s">
        <v>386</v>
      </c>
      <c r="Q65" s="195" t="s">
        <v>4214</v>
      </c>
      <c r="R65" s="195" t="s">
        <v>387</v>
      </c>
      <c r="S65" s="195" t="s">
        <v>21</v>
      </c>
      <c r="T65" s="195">
        <v>560099</v>
      </c>
      <c r="U65" s="195" t="s">
        <v>22</v>
      </c>
      <c r="V65" s="195" t="s">
        <v>23</v>
      </c>
      <c r="W65" s="193">
        <v>8</v>
      </c>
      <c r="X65" s="195">
        <v>0</v>
      </c>
      <c r="Y65" s="195">
        <v>2</v>
      </c>
      <c r="Z65" s="195">
        <v>2</v>
      </c>
      <c r="AA65" s="193" t="s">
        <v>4118</v>
      </c>
      <c r="AB65" s="2"/>
    </row>
    <row r="66" spans="1:28" ht="15" customHeight="1">
      <c r="A66" s="16">
        <v>65</v>
      </c>
      <c r="B66" s="14" t="s">
        <v>389</v>
      </c>
      <c r="C66" s="14" t="str">
        <f>_xlfn.CONCAT(B66&amp;" "&amp;W66&amp;X66&amp;Y66&amp;Z66)</f>
        <v>Souriau India Pvt Ltd (old Mc No.79) 4131</v>
      </c>
      <c r="D66" s="16">
        <v>856</v>
      </c>
      <c r="E66" s="14" t="s">
        <v>90</v>
      </c>
      <c r="F66" s="14"/>
      <c r="G66" s="30">
        <v>44355</v>
      </c>
      <c r="H66" s="30"/>
      <c r="I66" s="30"/>
      <c r="J66" s="24">
        <v>45442</v>
      </c>
      <c r="K66" s="24">
        <v>45806</v>
      </c>
      <c r="L66" s="32">
        <v>3</v>
      </c>
      <c r="M66" s="14" t="s">
        <v>390</v>
      </c>
      <c r="N66" s="14" t="s">
        <v>391</v>
      </c>
      <c r="O66" s="18">
        <v>9150030719</v>
      </c>
      <c r="P66" s="195" t="s">
        <v>392</v>
      </c>
      <c r="Q66" s="195" t="s">
        <v>4215</v>
      </c>
      <c r="R66" s="195"/>
      <c r="S66" s="195" t="s">
        <v>101</v>
      </c>
      <c r="T66" s="195">
        <v>641050</v>
      </c>
      <c r="U66" s="195" t="s">
        <v>38</v>
      </c>
      <c r="V66" s="195" t="s">
        <v>23</v>
      </c>
      <c r="W66" s="193">
        <v>4</v>
      </c>
      <c r="X66" s="195">
        <v>1</v>
      </c>
      <c r="Y66" s="195">
        <v>3</v>
      </c>
      <c r="Z66" s="195">
        <v>1</v>
      </c>
      <c r="AA66" s="193" t="s">
        <v>4148</v>
      </c>
      <c r="AB66" s="2"/>
    </row>
    <row r="67" spans="1:28" ht="15" customHeight="1">
      <c r="A67" s="16">
        <v>66</v>
      </c>
      <c r="B67" s="14" t="s">
        <v>394</v>
      </c>
      <c r="C67" s="14" t="str">
        <f>_xlfn.CONCAT(B67&amp;" "&amp;W67&amp;X67&amp;Y67&amp;Z67)</f>
        <v>Universal Flexible Pvt Ltd 8081</v>
      </c>
      <c r="D67" s="16">
        <v>70</v>
      </c>
      <c r="E67" s="14" t="s">
        <v>49</v>
      </c>
      <c r="F67" s="14"/>
      <c r="G67" s="14"/>
      <c r="H67" s="14"/>
      <c r="I67" s="14"/>
      <c r="J67" s="24">
        <v>44820</v>
      </c>
      <c r="K67" s="24">
        <v>45184</v>
      </c>
      <c r="L67" s="32">
        <v>3</v>
      </c>
      <c r="M67" s="14" t="s">
        <v>395</v>
      </c>
      <c r="N67" s="14" t="s">
        <v>396</v>
      </c>
      <c r="O67" s="18">
        <v>28511376</v>
      </c>
      <c r="P67" s="195" t="s">
        <v>397</v>
      </c>
      <c r="Q67" s="195" t="s">
        <v>4216</v>
      </c>
      <c r="R67" s="195" t="s">
        <v>398</v>
      </c>
      <c r="S67" s="195" t="s">
        <v>21</v>
      </c>
      <c r="T67" s="195">
        <v>560004</v>
      </c>
      <c r="U67" s="195" t="s">
        <v>22</v>
      </c>
      <c r="V67" s="195" t="s">
        <v>23</v>
      </c>
      <c r="W67" s="193">
        <v>8</v>
      </c>
      <c r="X67" s="195">
        <v>0</v>
      </c>
      <c r="Y67" s="195">
        <v>8</v>
      </c>
      <c r="Z67" s="195">
        <v>1</v>
      </c>
      <c r="AA67" s="193" t="s">
        <v>4118</v>
      </c>
      <c r="AB67" s="2"/>
    </row>
    <row r="68" spans="1:28" ht="15" customHeight="1">
      <c r="A68" s="16">
        <v>67</v>
      </c>
      <c r="B68" s="14" t="s">
        <v>400</v>
      </c>
      <c r="C68" s="14" t="str">
        <f>_xlfn.CONCAT(B68&amp;" "&amp;W68&amp;X68&amp;Y68&amp;Z68)</f>
        <v>Excelon Technologies 8051</v>
      </c>
      <c r="D68" s="16">
        <v>81</v>
      </c>
      <c r="E68" s="14" t="s">
        <v>49</v>
      </c>
      <c r="F68" s="14"/>
      <c r="G68" s="14"/>
      <c r="H68" s="14"/>
      <c r="I68" s="14"/>
      <c r="J68" s="24">
        <v>44001</v>
      </c>
      <c r="K68" s="24">
        <v>44730</v>
      </c>
      <c r="L68" s="32">
        <v>3</v>
      </c>
      <c r="M68" s="14" t="s">
        <v>401</v>
      </c>
      <c r="N68" s="14" t="s">
        <v>254</v>
      </c>
      <c r="O68" s="18" t="s">
        <v>402</v>
      </c>
      <c r="P68" s="195" t="s">
        <v>403</v>
      </c>
      <c r="Q68" s="195" t="s">
        <v>4217</v>
      </c>
      <c r="R68" s="193"/>
      <c r="S68" s="195" t="s">
        <v>21</v>
      </c>
      <c r="T68" s="195" t="s">
        <v>404</v>
      </c>
      <c r="U68" s="195" t="s">
        <v>22</v>
      </c>
      <c r="V68" s="195" t="s">
        <v>23</v>
      </c>
      <c r="W68" s="193">
        <v>8</v>
      </c>
      <c r="X68" s="195">
        <v>0</v>
      </c>
      <c r="Y68" s="195">
        <v>5</v>
      </c>
      <c r="Z68" s="195">
        <v>1</v>
      </c>
      <c r="AA68" s="193" t="s">
        <v>4118</v>
      </c>
      <c r="AB68" s="2"/>
    </row>
    <row r="69" spans="1:28" ht="15" customHeight="1">
      <c r="A69" s="16">
        <v>68</v>
      </c>
      <c r="B69" s="14" t="s">
        <v>405</v>
      </c>
      <c r="C69" s="14" t="str">
        <f>_xlfn.CONCAT(B69&amp;" "&amp;W69&amp;X69&amp;Y69&amp;Z69)</f>
        <v>Zenith Precision Pvt Ltd 8051</v>
      </c>
      <c r="D69" s="16">
        <v>82</v>
      </c>
      <c r="E69" s="14" t="s">
        <v>49</v>
      </c>
      <c r="F69" s="14"/>
      <c r="G69" s="14"/>
      <c r="H69" s="14"/>
      <c r="I69" s="14"/>
      <c r="J69" s="24"/>
      <c r="K69" s="24"/>
      <c r="L69" s="32">
        <v>3</v>
      </c>
      <c r="M69" s="14" t="s">
        <v>406</v>
      </c>
      <c r="N69" s="14" t="s">
        <v>339</v>
      </c>
      <c r="O69" s="18">
        <v>41172499</v>
      </c>
      <c r="P69" s="195" t="s">
        <v>403</v>
      </c>
      <c r="Q69" s="195" t="s">
        <v>4218</v>
      </c>
      <c r="R69" s="193"/>
      <c r="S69" s="195" t="s">
        <v>21</v>
      </c>
      <c r="T69" s="195" t="s">
        <v>404</v>
      </c>
      <c r="U69" s="195" t="s">
        <v>22</v>
      </c>
      <c r="V69" s="195" t="s">
        <v>23</v>
      </c>
      <c r="W69" s="193">
        <v>8</v>
      </c>
      <c r="X69" s="195">
        <v>0</v>
      </c>
      <c r="Y69" s="195">
        <v>5</v>
      </c>
      <c r="Z69" s="195">
        <v>1</v>
      </c>
      <c r="AA69" s="193" t="s">
        <v>4118</v>
      </c>
      <c r="AB69" s="2"/>
    </row>
    <row r="70" spans="1:28" ht="15" customHeight="1">
      <c r="A70" s="16">
        <v>69</v>
      </c>
      <c r="B70" s="14" t="s">
        <v>407</v>
      </c>
      <c r="C70" s="14" t="str">
        <f>_xlfn.CONCAT(B70&amp;" "&amp;W70&amp;X70&amp;Y70&amp;Z70)</f>
        <v>Phoenix Textile Engg Pvt Ltd 2441</v>
      </c>
      <c r="D70" s="16">
        <v>80</v>
      </c>
      <c r="E70" s="14" t="s">
        <v>49</v>
      </c>
      <c r="F70" s="14"/>
      <c r="G70" s="14"/>
      <c r="H70" s="14"/>
      <c r="I70" s="14"/>
      <c r="J70" s="24">
        <v>44639</v>
      </c>
      <c r="K70" s="24">
        <v>45003</v>
      </c>
      <c r="L70" s="32">
        <v>3</v>
      </c>
      <c r="M70" s="14" t="s">
        <v>408</v>
      </c>
      <c r="N70" s="14" t="s">
        <v>71</v>
      </c>
      <c r="O70" s="18" t="s">
        <v>409</v>
      </c>
      <c r="P70" s="195" t="s">
        <v>410</v>
      </c>
      <c r="Q70" s="195" t="s">
        <v>4219</v>
      </c>
      <c r="R70" s="193"/>
      <c r="S70" s="195" t="s">
        <v>215</v>
      </c>
      <c r="T70" s="195">
        <v>411013</v>
      </c>
      <c r="U70" s="195" t="s">
        <v>172</v>
      </c>
      <c r="V70" s="195" t="s">
        <v>23</v>
      </c>
      <c r="W70" s="193">
        <v>2</v>
      </c>
      <c r="X70" s="195">
        <v>4</v>
      </c>
      <c r="Y70" s="195">
        <v>4</v>
      </c>
      <c r="Z70" s="195">
        <v>1</v>
      </c>
      <c r="AA70" s="193" t="s">
        <v>4151</v>
      </c>
      <c r="AB70" s="2"/>
    </row>
    <row r="71" spans="1:28" ht="15" customHeight="1">
      <c r="A71" s="16">
        <v>70</v>
      </c>
      <c r="B71" s="14" t="s">
        <v>411</v>
      </c>
      <c r="C71" s="14" t="str">
        <f>_xlfn.CONCAT(B71&amp;" "&amp;W71&amp;X71&amp;Y71&amp;Z71)</f>
        <v>L G B Balakrishnan &amp; Bros Limited 4162</v>
      </c>
      <c r="D71" s="16" t="s">
        <v>5222</v>
      </c>
      <c r="E71" s="14"/>
      <c r="F71" s="14"/>
      <c r="G71" s="14"/>
      <c r="H71" s="14"/>
      <c r="I71" s="14"/>
      <c r="J71" s="24"/>
      <c r="K71" s="24"/>
      <c r="L71" s="32">
        <v>3</v>
      </c>
      <c r="M71" s="14" t="s">
        <v>412</v>
      </c>
      <c r="N71" s="14" t="s">
        <v>413</v>
      </c>
      <c r="O71" s="19"/>
      <c r="P71" s="195" t="s">
        <v>414</v>
      </c>
      <c r="Q71" s="195" t="s">
        <v>4220</v>
      </c>
      <c r="R71" s="193"/>
      <c r="S71" s="195" t="s">
        <v>101</v>
      </c>
      <c r="T71" s="195">
        <v>641653</v>
      </c>
      <c r="U71" s="195" t="s">
        <v>38</v>
      </c>
      <c r="V71" s="195" t="s">
        <v>23</v>
      </c>
      <c r="W71" s="193">
        <v>4</v>
      </c>
      <c r="X71" s="195">
        <v>1</v>
      </c>
      <c r="Y71" s="195">
        <v>6</v>
      </c>
      <c r="Z71" s="195">
        <v>2</v>
      </c>
      <c r="AA71" s="193" t="s">
        <v>4148</v>
      </c>
      <c r="AB71" s="2"/>
    </row>
    <row r="72" spans="1:28" ht="15" customHeight="1">
      <c r="A72" s="16">
        <v>71</v>
      </c>
      <c r="B72" s="14" t="s">
        <v>416</v>
      </c>
      <c r="C72" s="14" t="str">
        <f>_xlfn.CONCAT(B72&amp;" "&amp;W72&amp;X72&amp;Y72&amp;Z72)</f>
        <v>Precitherm (Do All Engg ) 8002</v>
      </c>
      <c r="D72" s="16">
        <v>73</v>
      </c>
      <c r="E72" s="14" t="s">
        <v>49</v>
      </c>
      <c r="F72" s="14"/>
      <c r="G72" s="14"/>
      <c r="H72" s="14"/>
      <c r="I72" s="14"/>
      <c r="J72" s="24"/>
      <c r="K72" s="24"/>
      <c r="L72" s="32">
        <v>3</v>
      </c>
      <c r="M72" s="14" t="s">
        <v>417</v>
      </c>
      <c r="N72" s="8"/>
      <c r="O72" s="18" t="s">
        <v>418</v>
      </c>
      <c r="P72" s="195" t="s">
        <v>419</v>
      </c>
      <c r="Q72" s="195" t="s">
        <v>4221</v>
      </c>
      <c r="R72" s="193"/>
      <c r="S72" s="195" t="s">
        <v>420</v>
      </c>
      <c r="T72" s="195">
        <v>590008</v>
      </c>
      <c r="U72" s="195" t="s">
        <v>22</v>
      </c>
      <c r="V72" s="195" t="s">
        <v>23</v>
      </c>
      <c r="W72" s="193">
        <v>8</v>
      </c>
      <c r="X72" s="195">
        <v>0</v>
      </c>
      <c r="Y72" s="195">
        <v>0</v>
      </c>
      <c r="Z72" s="195">
        <v>2</v>
      </c>
      <c r="AA72" s="193" t="s">
        <v>4118</v>
      </c>
      <c r="AB72" s="2"/>
    </row>
    <row r="73" spans="1:28" ht="15" customHeight="1">
      <c r="A73" s="16">
        <v>72</v>
      </c>
      <c r="B73" s="14" t="s">
        <v>421</v>
      </c>
      <c r="C73" s="14" t="str">
        <f>_xlfn.CONCAT(B73&amp;" "&amp;W73&amp;X73&amp;Y73&amp;Z73)</f>
        <v>Sharp Industries 1111</v>
      </c>
      <c r="D73" s="16" t="s">
        <v>422</v>
      </c>
      <c r="E73" s="14" t="s">
        <v>423</v>
      </c>
      <c r="F73" s="14"/>
      <c r="G73" s="30">
        <v>39505</v>
      </c>
      <c r="H73" s="30"/>
      <c r="I73" s="30"/>
      <c r="J73" s="24"/>
      <c r="K73" s="24"/>
      <c r="L73" s="32">
        <v>3</v>
      </c>
      <c r="M73" s="14" t="s">
        <v>424</v>
      </c>
      <c r="N73" s="14" t="s">
        <v>254</v>
      </c>
      <c r="O73" s="18" t="s">
        <v>425</v>
      </c>
      <c r="P73" s="195" t="s">
        <v>426</v>
      </c>
      <c r="Q73" s="195" t="s">
        <v>4222</v>
      </c>
      <c r="R73" s="195" t="s">
        <v>427</v>
      </c>
      <c r="S73" s="195" t="s">
        <v>428</v>
      </c>
      <c r="T73" s="195">
        <v>122015</v>
      </c>
      <c r="U73" s="195" t="s">
        <v>429</v>
      </c>
      <c r="V73" s="195" t="s">
        <v>23</v>
      </c>
      <c r="W73" s="193">
        <v>1</v>
      </c>
      <c r="X73" s="195">
        <v>1</v>
      </c>
      <c r="Y73" s="195">
        <v>1</v>
      </c>
      <c r="Z73" s="195">
        <v>1</v>
      </c>
      <c r="AA73" s="193" t="s">
        <v>4118</v>
      </c>
      <c r="AB73" s="2"/>
    </row>
    <row r="74" spans="1:28" ht="15" customHeight="1">
      <c r="A74" s="16">
        <v>73</v>
      </c>
      <c r="B74" s="14" t="s">
        <v>430</v>
      </c>
      <c r="C74" s="14" t="str">
        <f>_xlfn.CONCAT(B74&amp;" "&amp;W74&amp;X74&amp;Y74&amp;Z74)</f>
        <v>Mindarika (P) Ltd 1111</v>
      </c>
      <c r="D74" s="16">
        <v>86</v>
      </c>
      <c r="E74" s="14" t="s">
        <v>49</v>
      </c>
      <c r="F74" s="14"/>
      <c r="G74" s="14"/>
      <c r="H74" s="14"/>
      <c r="I74" s="14"/>
      <c r="J74" s="24">
        <v>44573</v>
      </c>
      <c r="K74" s="24">
        <v>44937</v>
      </c>
      <c r="L74" s="32">
        <v>3</v>
      </c>
      <c r="M74" s="14" t="s">
        <v>431</v>
      </c>
      <c r="N74" s="14" t="s">
        <v>98</v>
      </c>
      <c r="O74" s="19"/>
      <c r="P74" s="195" t="s">
        <v>432</v>
      </c>
      <c r="Q74" s="195" t="s">
        <v>4223</v>
      </c>
      <c r="R74" s="193"/>
      <c r="S74" s="195" t="s">
        <v>428</v>
      </c>
      <c r="T74" s="195">
        <v>122001</v>
      </c>
      <c r="U74" s="195" t="s">
        <v>429</v>
      </c>
      <c r="V74" s="195" t="s">
        <v>23</v>
      </c>
      <c r="W74" s="193">
        <v>1</v>
      </c>
      <c r="X74" s="195">
        <v>1</v>
      </c>
      <c r="Y74" s="195">
        <v>1</v>
      </c>
      <c r="Z74" s="195">
        <v>1</v>
      </c>
      <c r="AA74" s="193" t="s">
        <v>4118</v>
      </c>
      <c r="AB74" s="2"/>
    </row>
    <row r="75" spans="1:28" ht="15" customHeight="1">
      <c r="A75" s="16">
        <v>74</v>
      </c>
      <c r="B75" s="14" t="s">
        <v>433</v>
      </c>
      <c r="C75" s="14" t="str">
        <f>_xlfn.CONCAT(B75&amp;" "&amp;W75&amp;X75&amp;Y75&amp;Z75)</f>
        <v>AeroMech Technologies (P) Ltd 8051</v>
      </c>
      <c r="D75" s="16">
        <v>85</v>
      </c>
      <c r="E75" s="14" t="s">
        <v>348</v>
      </c>
      <c r="F75" s="14"/>
      <c r="G75" s="14"/>
      <c r="H75" s="14"/>
      <c r="I75" s="14"/>
      <c r="J75" s="24"/>
      <c r="K75" s="24"/>
      <c r="L75" s="32">
        <v>3</v>
      </c>
      <c r="M75" s="14" t="s">
        <v>434</v>
      </c>
      <c r="N75" s="14" t="s">
        <v>71</v>
      </c>
      <c r="O75" s="18" t="s">
        <v>435</v>
      </c>
      <c r="P75" s="195" t="s">
        <v>436</v>
      </c>
      <c r="Q75" s="195" t="s">
        <v>4224</v>
      </c>
      <c r="R75" s="195" t="s">
        <v>437</v>
      </c>
      <c r="S75" s="195" t="s">
        <v>21</v>
      </c>
      <c r="T75" s="195">
        <v>560090</v>
      </c>
      <c r="U75" s="195" t="s">
        <v>22</v>
      </c>
      <c r="V75" s="195" t="s">
        <v>23</v>
      </c>
      <c r="W75" s="193">
        <v>8</v>
      </c>
      <c r="X75" s="195">
        <v>0</v>
      </c>
      <c r="Y75" s="195">
        <v>5</v>
      </c>
      <c r="Z75" s="195">
        <v>1</v>
      </c>
      <c r="AA75" s="193" t="s">
        <v>4118</v>
      </c>
      <c r="AB75" s="2"/>
    </row>
    <row r="76" spans="1:28" ht="15" customHeight="1">
      <c r="A76" s="16">
        <v>75</v>
      </c>
      <c r="B76" s="14" t="s">
        <v>438</v>
      </c>
      <c r="C76" s="14" t="str">
        <f>_xlfn.CONCAT(B76&amp;" "&amp;W76&amp;X76&amp;Y76&amp;Z76)</f>
        <v>Kesaria Rubber Industries (P) Ltd 1111</v>
      </c>
      <c r="D76" s="16">
        <v>89</v>
      </c>
      <c r="E76" s="14" t="s">
        <v>297</v>
      </c>
      <c r="F76" s="14"/>
      <c r="G76" s="14"/>
      <c r="H76" s="14"/>
      <c r="I76" s="14"/>
      <c r="J76" s="24">
        <v>44501</v>
      </c>
      <c r="K76" s="24">
        <v>44865</v>
      </c>
      <c r="L76" s="32">
        <v>3</v>
      </c>
      <c r="M76" s="14" t="s">
        <v>439</v>
      </c>
      <c r="N76" s="14" t="s">
        <v>71</v>
      </c>
      <c r="O76" s="18" t="s">
        <v>440</v>
      </c>
      <c r="P76" s="195" t="s">
        <v>441</v>
      </c>
      <c r="Q76" s="195" t="s">
        <v>4225</v>
      </c>
      <c r="R76" s="195" t="s">
        <v>442</v>
      </c>
      <c r="S76" s="195" t="s">
        <v>428</v>
      </c>
      <c r="T76" s="195">
        <v>122413</v>
      </c>
      <c r="U76" s="195" t="s">
        <v>429</v>
      </c>
      <c r="V76" s="195" t="s">
        <v>23</v>
      </c>
      <c r="W76" s="193">
        <v>1</v>
      </c>
      <c r="X76" s="195">
        <v>1</v>
      </c>
      <c r="Y76" s="195">
        <v>1</v>
      </c>
      <c r="Z76" s="195">
        <v>1</v>
      </c>
      <c r="AA76" s="193" t="s">
        <v>4118</v>
      </c>
      <c r="AB76" s="2"/>
    </row>
    <row r="77" spans="1:28" ht="15" customHeight="1">
      <c r="A77" s="16">
        <v>76</v>
      </c>
      <c r="B77" s="14" t="s">
        <v>443</v>
      </c>
      <c r="C77" s="14" t="str">
        <f>_xlfn.CONCAT(B77&amp;" "&amp;W77&amp;X77&amp;Y77&amp;Z77)</f>
        <v>Best Tooling 4161</v>
      </c>
      <c r="D77" s="16">
        <v>83</v>
      </c>
      <c r="E77" s="14" t="s">
        <v>444</v>
      </c>
      <c r="F77" s="14"/>
      <c r="G77" s="30">
        <v>37709</v>
      </c>
      <c r="H77" s="30"/>
      <c r="I77" s="30"/>
      <c r="J77" s="24"/>
      <c r="K77" s="24"/>
      <c r="L77" s="32">
        <v>3</v>
      </c>
      <c r="M77" s="14" t="s">
        <v>445</v>
      </c>
      <c r="N77" s="14" t="s">
        <v>446</v>
      </c>
      <c r="O77" s="18" t="s">
        <v>447</v>
      </c>
      <c r="P77" s="195" t="s">
        <v>448</v>
      </c>
      <c r="Q77" s="195" t="s">
        <v>4226</v>
      </c>
      <c r="R77" s="193"/>
      <c r="S77" s="195" t="s">
        <v>101</v>
      </c>
      <c r="T77" s="195">
        <v>641006</v>
      </c>
      <c r="U77" s="195" t="s">
        <v>38</v>
      </c>
      <c r="V77" s="195" t="s">
        <v>23</v>
      </c>
      <c r="W77" s="193">
        <v>4</v>
      </c>
      <c r="X77" s="195">
        <v>1</v>
      </c>
      <c r="Y77" s="195">
        <v>6</v>
      </c>
      <c r="Z77" s="195">
        <v>1</v>
      </c>
      <c r="AA77" s="193" t="s">
        <v>4148</v>
      </c>
      <c r="AB77" s="2"/>
    </row>
    <row r="78" spans="1:28" ht="15" customHeight="1">
      <c r="A78" s="16">
        <v>77</v>
      </c>
      <c r="B78" s="14" t="s">
        <v>449</v>
      </c>
      <c r="C78" s="14" t="str">
        <f>_xlfn.CONCAT(B78&amp;" "&amp;W78&amp;X78&amp;Y78&amp;Z78)</f>
        <v>Havells india Ltd. 1161</v>
      </c>
      <c r="D78" s="16">
        <v>94</v>
      </c>
      <c r="E78" s="14" t="s">
        <v>450</v>
      </c>
      <c r="F78" s="14"/>
      <c r="G78" s="14"/>
      <c r="H78" s="14"/>
      <c r="I78" s="14"/>
      <c r="J78" s="24">
        <v>44409</v>
      </c>
      <c r="K78" s="24">
        <v>44651</v>
      </c>
      <c r="L78" s="32">
        <v>3</v>
      </c>
      <c r="M78" s="14" t="s">
        <v>451</v>
      </c>
      <c r="N78" s="14" t="s">
        <v>361</v>
      </c>
      <c r="O78" s="18" t="s">
        <v>452</v>
      </c>
      <c r="P78" s="195" t="s">
        <v>453</v>
      </c>
      <c r="Q78" s="195" t="s">
        <v>4227</v>
      </c>
      <c r="R78" s="193"/>
      <c r="S78" s="195" t="s">
        <v>454</v>
      </c>
      <c r="T78" s="195">
        <v>121003</v>
      </c>
      <c r="U78" s="195" t="s">
        <v>429</v>
      </c>
      <c r="V78" s="195" t="s">
        <v>23</v>
      </c>
      <c r="W78" s="193">
        <v>1</v>
      </c>
      <c r="X78" s="195">
        <v>1</v>
      </c>
      <c r="Y78" s="195">
        <v>6</v>
      </c>
      <c r="Z78" s="195">
        <v>1</v>
      </c>
      <c r="AA78" s="193" t="s">
        <v>4118</v>
      </c>
      <c r="AB78" s="2"/>
    </row>
    <row r="79" spans="1:28" ht="15" customHeight="1">
      <c r="A79" s="16">
        <v>78</v>
      </c>
      <c r="B79" s="14" t="s">
        <v>455</v>
      </c>
      <c r="C79" s="14" t="str">
        <f>_xlfn.CONCAT(B79&amp;" "&amp;W79&amp;X79&amp;Y79&amp;Z79)</f>
        <v>Sun Casting 8023</v>
      </c>
      <c r="D79" s="16">
        <v>88</v>
      </c>
      <c r="E79" s="14" t="s">
        <v>348</v>
      </c>
      <c r="F79" s="14"/>
      <c r="G79" s="14"/>
      <c r="H79" s="14"/>
      <c r="I79" s="14"/>
      <c r="J79" s="24"/>
      <c r="K79" s="24"/>
      <c r="L79" s="32">
        <v>3</v>
      </c>
      <c r="M79" s="14" t="s">
        <v>456</v>
      </c>
      <c r="N79" s="14" t="s">
        <v>446</v>
      </c>
      <c r="O79" s="18" t="s">
        <v>457</v>
      </c>
      <c r="P79" s="195" t="s">
        <v>458</v>
      </c>
      <c r="Q79" s="195" t="s">
        <v>4228</v>
      </c>
      <c r="R79" s="193"/>
      <c r="S79" s="195" t="s">
        <v>21</v>
      </c>
      <c r="T79" s="195">
        <v>560062</v>
      </c>
      <c r="U79" s="195" t="s">
        <v>22</v>
      </c>
      <c r="V79" s="195" t="s">
        <v>23</v>
      </c>
      <c r="W79" s="193">
        <v>8</v>
      </c>
      <c r="X79" s="195">
        <v>0</v>
      </c>
      <c r="Y79" s="195">
        <v>2</v>
      </c>
      <c r="Z79" s="195">
        <v>3</v>
      </c>
      <c r="AA79" s="193" t="s">
        <v>4118</v>
      </c>
      <c r="AB79" s="2"/>
    </row>
    <row r="80" spans="1:28" ht="15" customHeight="1">
      <c r="A80" s="16">
        <v>79</v>
      </c>
      <c r="B80" s="14" t="s">
        <v>459</v>
      </c>
      <c r="C80" s="14" t="str">
        <f>_xlfn.CONCAT(B80&amp;" "&amp;W80&amp;X80&amp;Y80&amp;Z80)</f>
        <v>Nutech Sintered Products (P) Ltd. 2222</v>
      </c>
      <c r="D80" s="16">
        <v>96</v>
      </c>
      <c r="E80" s="14" t="s">
        <v>348</v>
      </c>
      <c r="F80" s="14"/>
      <c r="G80" s="14"/>
      <c r="H80" s="14"/>
      <c r="I80" s="14"/>
      <c r="J80" s="24">
        <v>44538</v>
      </c>
      <c r="K80" s="24">
        <v>44902</v>
      </c>
      <c r="L80" s="32">
        <v>3</v>
      </c>
      <c r="M80" s="14" t="s">
        <v>460</v>
      </c>
      <c r="N80" s="14" t="s">
        <v>339</v>
      </c>
      <c r="O80" s="18" t="s">
        <v>461</v>
      </c>
      <c r="P80" s="195" t="s">
        <v>462</v>
      </c>
      <c r="Q80" s="195" t="s">
        <v>4229</v>
      </c>
      <c r="R80" s="195" t="s">
        <v>463</v>
      </c>
      <c r="S80" s="195" t="s">
        <v>177</v>
      </c>
      <c r="T80" s="195">
        <v>401404</v>
      </c>
      <c r="U80" s="195" t="s">
        <v>172</v>
      </c>
      <c r="V80" s="195" t="s">
        <v>23</v>
      </c>
      <c r="W80" s="193">
        <v>2</v>
      </c>
      <c r="X80" s="195">
        <v>2</v>
      </c>
      <c r="Y80" s="195">
        <v>2</v>
      </c>
      <c r="Z80" s="195">
        <v>2</v>
      </c>
      <c r="AA80" s="193" t="s">
        <v>4118</v>
      </c>
      <c r="AB80" s="2"/>
    </row>
    <row r="81" spans="1:28" ht="15" customHeight="1">
      <c r="A81" s="16">
        <v>80</v>
      </c>
      <c r="B81" s="14" t="s">
        <v>464</v>
      </c>
      <c r="C81" s="14" t="str">
        <f>_xlfn.CONCAT(B81&amp;" "&amp;W81&amp;X81&amp;Y81&amp;Z81)</f>
        <v>First Engg Plastics (I) (P) Ltd 4031</v>
      </c>
      <c r="D81" s="16">
        <v>100</v>
      </c>
      <c r="E81" s="14" t="s">
        <v>49</v>
      </c>
      <c r="F81" s="14"/>
      <c r="G81" s="30">
        <v>39608</v>
      </c>
      <c r="H81" s="30"/>
      <c r="I81" s="30"/>
      <c r="J81" s="24"/>
      <c r="K81" s="24"/>
      <c r="L81" s="32">
        <v>3</v>
      </c>
      <c r="M81" s="14" t="s">
        <v>465</v>
      </c>
      <c r="N81" s="14" t="s">
        <v>466</v>
      </c>
      <c r="O81" s="18" t="s">
        <v>467</v>
      </c>
      <c r="P81" s="195" t="s">
        <v>469</v>
      </c>
      <c r="Q81" s="195" t="s">
        <v>4230</v>
      </c>
      <c r="R81" s="195" t="s">
        <v>470</v>
      </c>
      <c r="S81" s="195" t="s">
        <v>353</v>
      </c>
      <c r="T81" s="195">
        <v>602105</v>
      </c>
      <c r="U81" s="195" t="s">
        <v>38</v>
      </c>
      <c r="V81" s="195" t="s">
        <v>23</v>
      </c>
      <c r="W81" s="193">
        <v>4</v>
      </c>
      <c r="X81" s="195">
        <v>0</v>
      </c>
      <c r="Y81" s="195">
        <v>3</v>
      </c>
      <c r="Z81" s="195">
        <v>1</v>
      </c>
      <c r="AA81" s="193" t="s">
        <v>4148</v>
      </c>
      <c r="AB81" s="2"/>
    </row>
    <row r="82" spans="1:28" ht="15" customHeight="1">
      <c r="A82" s="16">
        <v>81</v>
      </c>
      <c r="B82" s="14" t="s">
        <v>471</v>
      </c>
      <c r="C82" s="14" t="str">
        <f>_xlfn.CONCAT(B82&amp;" "&amp;W82&amp;X82&amp;Y82&amp;Z82)</f>
        <v>Terminal Technologies P Ltd 2222</v>
      </c>
      <c r="D82" s="16">
        <v>92</v>
      </c>
      <c r="E82" s="14" t="s">
        <v>348</v>
      </c>
      <c r="F82" s="14"/>
      <c r="G82" s="30">
        <v>39611</v>
      </c>
      <c r="H82" s="30"/>
      <c r="I82" s="30"/>
      <c r="J82" s="24">
        <v>44535</v>
      </c>
      <c r="K82" s="24">
        <v>44899</v>
      </c>
      <c r="L82" s="32">
        <v>3</v>
      </c>
      <c r="M82" s="14" t="s">
        <v>472</v>
      </c>
      <c r="N82" s="14" t="s">
        <v>71</v>
      </c>
      <c r="O82" s="18" t="s">
        <v>473</v>
      </c>
      <c r="P82" s="195" t="s">
        <v>474</v>
      </c>
      <c r="Q82" s="195" t="s">
        <v>4231</v>
      </c>
      <c r="R82" s="195" t="s">
        <v>475</v>
      </c>
      <c r="S82" s="195" t="s">
        <v>177</v>
      </c>
      <c r="T82" s="195">
        <v>401202</v>
      </c>
      <c r="U82" s="195" t="s">
        <v>172</v>
      </c>
      <c r="V82" s="195" t="s">
        <v>23</v>
      </c>
      <c r="W82" s="193">
        <v>2</v>
      </c>
      <c r="X82" s="195">
        <v>2</v>
      </c>
      <c r="Y82" s="195">
        <v>2</v>
      </c>
      <c r="Z82" s="195">
        <v>2</v>
      </c>
      <c r="AA82" s="193" t="s">
        <v>4118</v>
      </c>
      <c r="AB82" s="2"/>
    </row>
    <row r="83" spans="1:28" ht="15" customHeight="1">
      <c r="A83" s="16">
        <v>82</v>
      </c>
      <c r="B83" s="14" t="s">
        <v>471</v>
      </c>
      <c r="C83" s="14" t="str">
        <f>_xlfn.CONCAT(B83&amp;" "&amp;W83&amp;X83&amp;Y83&amp;Z83)</f>
        <v>Terminal Technologies P Ltd 2421</v>
      </c>
      <c r="D83" s="16">
        <v>93</v>
      </c>
      <c r="E83" s="14" t="s">
        <v>348</v>
      </c>
      <c r="F83" s="14"/>
      <c r="G83" s="30">
        <v>39611</v>
      </c>
      <c r="H83" s="30"/>
      <c r="I83" s="30"/>
      <c r="J83" s="24">
        <v>44535</v>
      </c>
      <c r="K83" s="24">
        <v>44899</v>
      </c>
      <c r="L83" s="32">
        <v>3</v>
      </c>
      <c r="M83" s="14" t="s">
        <v>476</v>
      </c>
      <c r="N83" s="14" t="s">
        <v>477</v>
      </c>
      <c r="O83" s="19"/>
      <c r="P83" s="195" t="s">
        <v>478</v>
      </c>
      <c r="Q83" s="195" t="s">
        <v>4232</v>
      </c>
      <c r="R83" s="195" t="s">
        <v>479</v>
      </c>
      <c r="S83" s="195" t="s">
        <v>215</v>
      </c>
      <c r="T83" s="195">
        <v>410501</v>
      </c>
      <c r="U83" s="195" t="s">
        <v>172</v>
      </c>
      <c r="V83" s="195" t="s">
        <v>23</v>
      </c>
      <c r="W83" s="193">
        <v>2</v>
      </c>
      <c r="X83" s="195">
        <v>4</v>
      </c>
      <c r="Y83" s="195">
        <v>2</v>
      </c>
      <c r="Z83" s="195">
        <v>1</v>
      </c>
      <c r="AA83" s="193" t="s">
        <v>4151</v>
      </c>
      <c r="AB83" s="2"/>
    </row>
    <row r="84" spans="1:28" ht="15" customHeight="1">
      <c r="A84" s="16">
        <v>83</v>
      </c>
      <c r="B84" s="14" t="s">
        <v>116</v>
      </c>
      <c r="C84" s="14" t="str">
        <f>_xlfn.CONCAT(B84&amp;" "&amp;W84&amp;X84&amp;Y84&amp;Z84)</f>
        <v>SSF Plastics India Pvt Ltd 8013</v>
      </c>
      <c r="D84" s="16">
        <v>210</v>
      </c>
      <c r="E84" s="14" t="s">
        <v>42</v>
      </c>
      <c r="F84" s="14"/>
      <c r="G84" s="14"/>
      <c r="H84" s="14"/>
      <c r="I84" s="14"/>
      <c r="J84" s="24">
        <v>44378</v>
      </c>
      <c r="K84" s="24">
        <v>44742</v>
      </c>
      <c r="L84" s="32">
        <v>3</v>
      </c>
      <c r="M84" s="14" t="s">
        <v>481</v>
      </c>
      <c r="N84" s="14" t="s">
        <v>98</v>
      </c>
      <c r="O84" s="18" t="s">
        <v>119</v>
      </c>
      <c r="P84" s="15"/>
      <c r="Q84" s="15" t="s">
        <v>4233</v>
      </c>
      <c r="R84" s="193"/>
      <c r="S84" s="195" t="s">
        <v>121</v>
      </c>
      <c r="T84" s="195">
        <v>635126</v>
      </c>
      <c r="U84" s="195" t="s">
        <v>38</v>
      </c>
      <c r="V84" s="195" t="s">
        <v>23</v>
      </c>
      <c r="W84" s="193">
        <v>8</v>
      </c>
      <c r="X84" s="195">
        <v>0</v>
      </c>
      <c r="Y84" s="195">
        <v>1</v>
      </c>
      <c r="Z84" s="195">
        <v>3</v>
      </c>
      <c r="AA84" s="193" t="s">
        <v>4118</v>
      </c>
      <c r="AB84" s="2"/>
    </row>
    <row r="85" spans="1:28" ht="15" customHeight="1">
      <c r="A85" s="16">
        <v>84</v>
      </c>
      <c r="B85" s="14" t="s">
        <v>482</v>
      </c>
      <c r="C85" s="14" t="str">
        <f>_xlfn.CONCAT(B85&amp;" "&amp;W85&amp;X85&amp;Y85&amp;Z85)</f>
        <v>Rockman Industries Ltd (Sargam Diecastings P Ltd) 4031</v>
      </c>
      <c r="D85" s="16">
        <v>105</v>
      </c>
      <c r="E85" s="14" t="s">
        <v>90</v>
      </c>
      <c r="F85" s="14"/>
      <c r="G85" s="30">
        <v>39655</v>
      </c>
      <c r="H85" s="30"/>
      <c r="I85" s="30"/>
      <c r="J85" s="24">
        <v>45231</v>
      </c>
      <c r="K85" s="24">
        <v>45596</v>
      </c>
      <c r="L85" s="32">
        <v>3</v>
      </c>
      <c r="M85" s="14" t="s">
        <v>483</v>
      </c>
      <c r="N85" s="14" t="s">
        <v>484</v>
      </c>
      <c r="O85" s="18" t="s">
        <v>485</v>
      </c>
      <c r="P85" s="195" t="s">
        <v>486</v>
      </c>
      <c r="Q85" s="195" t="s">
        <v>4234</v>
      </c>
      <c r="R85" s="193"/>
      <c r="S85" s="195" t="s">
        <v>37</v>
      </c>
      <c r="T85" s="195">
        <v>600096</v>
      </c>
      <c r="U85" s="195" t="s">
        <v>38</v>
      </c>
      <c r="V85" s="195" t="s">
        <v>23</v>
      </c>
      <c r="W85" s="193">
        <v>4</v>
      </c>
      <c r="X85" s="195">
        <v>0</v>
      </c>
      <c r="Y85" s="195">
        <v>3</v>
      </c>
      <c r="Z85" s="195">
        <v>1</v>
      </c>
      <c r="AA85" s="193" t="s">
        <v>4148</v>
      </c>
      <c r="AB85" s="2"/>
    </row>
    <row r="86" spans="1:28" ht="15" customHeight="1">
      <c r="A86" s="16">
        <v>85</v>
      </c>
      <c r="B86" s="14" t="s">
        <v>487</v>
      </c>
      <c r="C86" s="14" t="str">
        <f>_xlfn.CONCAT(B86&amp;" "&amp;W86&amp;X86&amp;Y86&amp;Z86)</f>
        <v>Leggett &amp; Platt Automotive (I) Pvt Ltd (L&amp;P Somappa Comfort Sys I P Ltd) 4043</v>
      </c>
      <c r="D86" s="16">
        <v>91</v>
      </c>
      <c r="E86" s="14" t="s">
        <v>49</v>
      </c>
      <c r="F86" s="14"/>
      <c r="G86" s="14"/>
      <c r="H86" s="14"/>
      <c r="I86" s="14"/>
      <c r="J86" s="24">
        <v>44564</v>
      </c>
      <c r="K86" s="24">
        <v>44926</v>
      </c>
      <c r="L86" s="32">
        <v>3</v>
      </c>
      <c r="M86" s="14" t="s">
        <v>488</v>
      </c>
      <c r="N86" s="14" t="s">
        <v>489</v>
      </c>
      <c r="O86" s="18" t="s">
        <v>490</v>
      </c>
      <c r="P86" s="195" t="s">
        <v>491</v>
      </c>
      <c r="Q86" s="195" t="s">
        <v>4235</v>
      </c>
      <c r="R86" s="193"/>
      <c r="S86" s="195" t="s">
        <v>492</v>
      </c>
      <c r="T86" s="195">
        <v>631402</v>
      </c>
      <c r="U86" s="195" t="s">
        <v>38</v>
      </c>
      <c r="V86" s="195" t="s">
        <v>23</v>
      </c>
      <c r="W86" s="193">
        <v>4</v>
      </c>
      <c r="X86" s="195">
        <v>0</v>
      </c>
      <c r="Y86" s="195">
        <v>4</v>
      </c>
      <c r="Z86" s="195">
        <v>3</v>
      </c>
      <c r="AA86" s="193" t="s">
        <v>4148</v>
      </c>
      <c r="AB86" s="2"/>
    </row>
    <row r="87" spans="1:28" ht="15" customHeight="1">
      <c r="A87" s="16">
        <v>86</v>
      </c>
      <c r="B87" s="14" t="s">
        <v>494</v>
      </c>
      <c r="C87" s="14" t="str">
        <f>_xlfn.CONCAT(B87&amp;" "&amp;W87&amp;X87&amp;Y87&amp;Z87)</f>
        <v>Souriau India P Ltd. 4131</v>
      </c>
      <c r="D87" s="16">
        <v>106</v>
      </c>
      <c r="E87" s="14" t="s">
        <v>450</v>
      </c>
      <c r="F87" s="14"/>
      <c r="G87" s="30">
        <v>39673</v>
      </c>
      <c r="H87" s="30"/>
      <c r="I87" s="30"/>
      <c r="J87" s="24">
        <v>45301</v>
      </c>
      <c r="K87" s="24">
        <v>45666</v>
      </c>
      <c r="L87" s="32">
        <v>3</v>
      </c>
      <c r="M87" s="14" t="s">
        <v>495</v>
      </c>
      <c r="N87" s="14" t="s">
        <v>496</v>
      </c>
      <c r="O87" s="18" t="s">
        <v>497</v>
      </c>
      <c r="P87" s="195" t="s">
        <v>392</v>
      </c>
      <c r="Q87" s="195" t="s">
        <v>4215</v>
      </c>
      <c r="R87" s="195"/>
      <c r="S87" s="195" t="s">
        <v>101</v>
      </c>
      <c r="T87" s="195">
        <v>641050</v>
      </c>
      <c r="U87" s="195" t="s">
        <v>38</v>
      </c>
      <c r="V87" s="195" t="s">
        <v>23</v>
      </c>
      <c r="W87" s="193">
        <v>4</v>
      </c>
      <c r="X87" s="195">
        <v>1</v>
      </c>
      <c r="Y87" s="195">
        <v>3</v>
      </c>
      <c r="Z87" s="195">
        <v>1</v>
      </c>
      <c r="AA87" s="193" t="s">
        <v>4148</v>
      </c>
      <c r="AB87" s="2"/>
    </row>
    <row r="88" spans="1:28" ht="15" customHeight="1">
      <c r="A88" s="16">
        <v>87</v>
      </c>
      <c r="B88" s="14" t="s">
        <v>498</v>
      </c>
      <c r="C88" s="14" t="str">
        <f>_xlfn.CONCAT(B88&amp;" "&amp;W88&amp;X88&amp;Y88&amp;Z88)</f>
        <v>Patco Precision Components P Ltd 2301</v>
      </c>
      <c r="D88" s="16">
        <v>97</v>
      </c>
      <c r="E88" s="14" t="s">
        <v>444</v>
      </c>
      <c r="F88" s="14"/>
      <c r="G88" s="14"/>
      <c r="H88" s="14"/>
      <c r="I88" s="14"/>
      <c r="J88" s="24">
        <v>44615</v>
      </c>
      <c r="K88" s="24">
        <v>44979</v>
      </c>
      <c r="L88" s="32">
        <v>3</v>
      </c>
      <c r="M88" s="14" t="s">
        <v>499</v>
      </c>
      <c r="N88" s="8"/>
      <c r="O88" s="18" t="s">
        <v>500</v>
      </c>
      <c r="P88" s="195" t="s">
        <v>502</v>
      </c>
      <c r="Q88" s="195" t="s">
        <v>4236</v>
      </c>
      <c r="R88" s="193"/>
      <c r="S88" s="195" t="s">
        <v>321</v>
      </c>
      <c r="T88" s="195">
        <v>422010</v>
      </c>
      <c r="U88" s="195" t="s">
        <v>172</v>
      </c>
      <c r="V88" s="195" t="s">
        <v>23</v>
      </c>
      <c r="W88" s="193">
        <v>2</v>
      </c>
      <c r="X88" s="195">
        <v>3</v>
      </c>
      <c r="Y88" s="195">
        <v>0</v>
      </c>
      <c r="Z88" s="195">
        <v>1</v>
      </c>
      <c r="AA88" s="193" t="s">
        <v>5215</v>
      </c>
      <c r="AB88" s="2"/>
    </row>
    <row r="89" spans="1:28" ht="15" customHeight="1">
      <c r="A89" s="16">
        <v>88</v>
      </c>
      <c r="B89" s="14" t="s">
        <v>503</v>
      </c>
      <c r="C89" s="14" t="str">
        <f>_xlfn.CONCAT(B89&amp;" "&amp;W89&amp;X89&amp;Y89&amp;Z89)</f>
        <v>RR Precision (India) Pvt Ltd (RR Engg &amp; Export) 8082</v>
      </c>
      <c r="D89" s="16">
        <v>107</v>
      </c>
      <c r="E89" s="14" t="s">
        <v>444</v>
      </c>
      <c r="F89" s="14"/>
      <c r="G89" s="14"/>
      <c r="H89" s="14"/>
      <c r="I89" s="14"/>
      <c r="J89" s="24">
        <v>45952</v>
      </c>
      <c r="K89" s="24">
        <v>46316</v>
      </c>
      <c r="L89" s="32">
        <v>3</v>
      </c>
      <c r="M89" s="14" t="s">
        <v>504</v>
      </c>
      <c r="N89" s="8"/>
      <c r="O89" s="18" t="s">
        <v>505</v>
      </c>
      <c r="P89" s="195" t="s">
        <v>506</v>
      </c>
      <c r="Q89" s="195" t="s">
        <v>4237</v>
      </c>
      <c r="R89" s="193"/>
      <c r="S89" s="195" t="s">
        <v>507</v>
      </c>
      <c r="T89" s="195">
        <v>563101</v>
      </c>
      <c r="U89" s="195" t="s">
        <v>22</v>
      </c>
      <c r="V89" s="195" t="s">
        <v>23</v>
      </c>
      <c r="W89" s="193">
        <v>8</v>
      </c>
      <c r="X89" s="195">
        <v>0</v>
      </c>
      <c r="Y89" s="195">
        <v>8</v>
      </c>
      <c r="Z89" s="195">
        <v>2</v>
      </c>
      <c r="AA89" s="193" t="s">
        <v>4118</v>
      </c>
      <c r="AB89" s="2"/>
    </row>
    <row r="90" spans="1:28" ht="15" customHeight="1">
      <c r="A90" s="16">
        <v>89</v>
      </c>
      <c r="B90" s="14" t="s">
        <v>508</v>
      </c>
      <c r="C90" s="14" t="str">
        <f>_xlfn.CONCAT(B90&amp;" "&amp;W90&amp;X90&amp;Y90&amp;Z90)</f>
        <v>Delphi TVS Diesel Systems Ltd. 4031</v>
      </c>
      <c r="D90" s="16">
        <v>102</v>
      </c>
      <c r="E90" s="14" t="s">
        <v>348</v>
      </c>
      <c r="F90" s="14"/>
      <c r="G90" s="14"/>
      <c r="H90" s="14"/>
      <c r="I90" s="14"/>
      <c r="J90" s="24">
        <v>44618</v>
      </c>
      <c r="K90" s="24">
        <v>44982</v>
      </c>
      <c r="L90" s="32">
        <v>3</v>
      </c>
      <c r="M90" s="14" t="s">
        <v>509</v>
      </c>
      <c r="N90" s="14" t="s">
        <v>510</v>
      </c>
      <c r="O90" s="18" t="s">
        <v>511</v>
      </c>
      <c r="P90" s="193"/>
      <c r="Q90" s="193" t="s">
        <v>4238</v>
      </c>
      <c r="R90" s="193"/>
      <c r="S90" s="195" t="s">
        <v>353</v>
      </c>
      <c r="T90" s="195">
        <v>602105</v>
      </c>
      <c r="U90" s="195" t="s">
        <v>38</v>
      </c>
      <c r="V90" s="195" t="s">
        <v>23</v>
      </c>
      <c r="W90" s="193">
        <v>4</v>
      </c>
      <c r="X90" s="195">
        <v>0</v>
      </c>
      <c r="Y90" s="195">
        <v>3</v>
      </c>
      <c r="Z90" s="195">
        <v>1</v>
      </c>
      <c r="AA90" s="193" t="s">
        <v>4148</v>
      </c>
      <c r="AB90" s="2"/>
    </row>
    <row r="91" spans="1:28" ht="15" customHeight="1">
      <c r="A91" s="16">
        <v>90</v>
      </c>
      <c r="B91" s="14" t="s">
        <v>512</v>
      </c>
      <c r="C91" s="14" t="str">
        <f>_xlfn.CONCAT(B91&amp;" "&amp;W91&amp;X91&amp;Y91&amp;Z91)</f>
        <v>Supreme Automech I P Ltd 4013</v>
      </c>
      <c r="D91" s="16">
        <v>145</v>
      </c>
      <c r="E91" s="14">
        <v>2015</v>
      </c>
      <c r="F91" s="14"/>
      <c r="G91" s="14"/>
      <c r="H91" s="14"/>
      <c r="I91" s="14"/>
      <c r="J91" s="24"/>
      <c r="K91" s="24"/>
      <c r="L91" s="32">
        <v>3</v>
      </c>
      <c r="M91" s="14" t="s">
        <v>513</v>
      </c>
      <c r="N91" s="14" t="s">
        <v>514</v>
      </c>
      <c r="O91" s="18" t="s">
        <v>515</v>
      </c>
      <c r="P91" s="195" t="s">
        <v>516</v>
      </c>
      <c r="Q91" s="195" t="s">
        <v>4239</v>
      </c>
      <c r="R91" s="195" t="s">
        <v>517</v>
      </c>
      <c r="S91" s="195" t="s">
        <v>235</v>
      </c>
      <c r="T91" s="195">
        <v>605110</v>
      </c>
      <c r="U91" s="195" t="s">
        <v>38</v>
      </c>
      <c r="V91" s="195" t="s">
        <v>23</v>
      </c>
      <c r="W91" s="193">
        <v>4</v>
      </c>
      <c r="X91" s="195">
        <v>0</v>
      </c>
      <c r="Y91" s="195">
        <v>1</v>
      </c>
      <c r="Z91" s="195">
        <v>3</v>
      </c>
      <c r="AA91" s="193" t="s">
        <v>4148</v>
      </c>
      <c r="AB91" s="2"/>
    </row>
    <row r="92" spans="1:28" ht="15" customHeight="1">
      <c r="A92" s="16">
        <v>91</v>
      </c>
      <c r="B92" s="14" t="s">
        <v>518</v>
      </c>
      <c r="C92" s="14" t="str">
        <f>_xlfn.CONCAT(B92&amp;" "&amp;W92&amp;X92&amp;Y92&amp;Z92)</f>
        <v>CNC Engravers 2441</v>
      </c>
      <c r="D92" s="16">
        <v>108</v>
      </c>
      <c r="E92" s="14" t="s">
        <v>444</v>
      </c>
      <c r="F92" s="14"/>
      <c r="G92" s="30">
        <v>39728</v>
      </c>
      <c r="H92" s="30"/>
      <c r="I92" s="30"/>
      <c r="J92" s="24"/>
      <c r="K92" s="24"/>
      <c r="L92" s="32">
        <v>3</v>
      </c>
      <c r="M92" s="14" t="s">
        <v>519</v>
      </c>
      <c r="N92" s="8"/>
      <c r="O92" s="18" t="s">
        <v>520</v>
      </c>
      <c r="P92" s="195" t="s">
        <v>521</v>
      </c>
      <c r="Q92" s="195" t="s">
        <v>4240</v>
      </c>
      <c r="R92" s="195" t="s">
        <v>522</v>
      </c>
      <c r="S92" s="195" t="s">
        <v>215</v>
      </c>
      <c r="T92" s="195">
        <v>411037</v>
      </c>
      <c r="U92" s="195" t="s">
        <v>172</v>
      </c>
      <c r="V92" s="195" t="s">
        <v>23</v>
      </c>
      <c r="W92" s="193">
        <v>2</v>
      </c>
      <c r="X92" s="195">
        <v>4</v>
      </c>
      <c r="Y92" s="195">
        <v>4</v>
      </c>
      <c r="Z92" s="195">
        <v>1</v>
      </c>
      <c r="AA92" s="193" t="s">
        <v>4151</v>
      </c>
      <c r="AB92" s="2"/>
    </row>
    <row r="93" spans="1:28" ht="15" customHeight="1">
      <c r="A93" s="16">
        <v>92</v>
      </c>
      <c r="B93" s="14" t="s">
        <v>523</v>
      </c>
      <c r="C93" s="14" t="str">
        <f>_xlfn.CONCAT(B93&amp;" "&amp;W93&amp;X93&amp;Y93&amp;Z93)</f>
        <v>BVGK Engg P Ltd 4041</v>
      </c>
      <c r="D93" s="16" t="s">
        <v>5222</v>
      </c>
      <c r="E93" s="14"/>
      <c r="F93" s="14"/>
      <c r="G93" s="14"/>
      <c r="H93" s="14"/>
      <c r="I93" s="14"/>
      <c r="J93" s="24"/>
      <c r="K93" s="24"/>
      <c r="L93" s="32">
        <v>3</v>
      </c>
      <c r="M93" s="14" t="s">
        <v>524</v>
      </c>
      <c r="N93" s="14" t="s">
        <v>525</v>
      </c>
      <c r="O93" s="18" t="s">
        <v>526</v>
      </c>
      <c r="P93" s="195" t="s">
        <v>62</v>
      </c>
      <c r="Q93" s="195" t="s">
        <v>4241</v>
      </c>
      <c r="R93" s="195" t="s">
        <v>363</v>
      </c>
      <c r="S93" s="195" t="s">
        <v>37</v>
      </c>
      <c r="T93" s="195">
        <v>600058</v>
      </c>
      <c r="U93" s="195" t="s">
        <v>38</v>
      </c>
      <c r="V93" s="195" t="s">
        <v>23</v>
      </c>
      <c r="W93" s="193">
        <v>4</v>
      </c>
      <c r="X93" s="195">
        <v>0</v>
      </c>
      <c r="Y93" s="195">
        <v>4</v>
      </c>
      <c r="Z93" s="195">
        <v>1</v>
      </c>
      <c r="AA93" s="193" t="s">
        <v>4148</v>
      </c>
      <c r="AB93" s="2"/>
    </row>
    <row r="94" spans="1:28" ht="15" customHeight="1">
      <c r="A94" s="16">
        <v>93</v>
      </c>
      <c r="B94" s="14" t="s">
        <v>527</v>
      </c>
      <c r="C94" s="14" t="str">
        <f>_xlfn.CONCAT(B94&amp;" "&amp;W94&amp;X94&amp;Y94&amp;Z94)</f>
        <v>GE Renewabla Energy Technologies Pvt Ltd (GE India Tech Centre) 8081</v>
      </c>
      <c r="D94" s="16">
        <v>109</v>
      </c>
      <c r="E94" s="14" t="s">
        <v>348</v>
      </c>
      <c r="F94" s="14"/>
      <c r="G94" s="14"/>
      <c r="H94" s="14"/>
      <c r="I94" s="14"/>
      <c r="J94" s="24">
        <v>44384</v>
      </c>
      <c r="K94" s="24">
        <v>44748</v>
      </c>
      <c r="L94" s="32">
        <v>3</v>
      </c>
      <c r="M94" s="14" t="s">
        <v>528</v>
      </c>
      <c r="N94" s="8"/>
      <c r="O94" s="18" t="s">
        <v>529</v>
      </c>
      <c r="P94" s="195" t="s">
        <v>530</v>
      </c>
      <c r="Q94" s="195" t="s">
        <v>4242</v>
      </c>
      <c r="R94" s="195" t="s">
        <v>531</v>
      </c>
      <c r="S94" s="195" t="s">
        <v>21</v>
      </c>
      <c r="T94" s="195">
        <v>560066</v>
      </c>
      <c r="U94" s="195" t="s">
        <v>22</v>
      </c>
      <c r="V94" s="195" t="s">
        <v>23</v>
      </c>
      <c r="W94" s="193">
        <v>8</v>
      </c>
      <c r="X94" s="195">
        <v>0</v>
      </c>
      <c r="Y94" s="195">
        <v>8</v>
      </c>
      <c r="Z94" s="195">
        <v>1</v>
      </c>
      <c r="AA94" s="193" t="s">
        <v>4118</v>
      </c>
      <c r="AB94" s="2"/>
    </row>
    <row r="95" spans="1:28" ht="15" customHeight="1">
      <c r="A95" s="16">
        <v>94</v>
      </c>
      <c r="B95" s="14" t="s">
        <v>532</v>
      </c>
      <c r="C95" s="14" t="str">
        <f>_xlfn.CONCAT(B95&amp;" "&amp;W95&amp;X95&amp;Y95&amp;Z95)</f>
        <v>Reliance Diamond Tools 4041</v>
      </c>
      <c r="D95" s="16">
        <v>113</v>
      </c>
      <c r="E95" s="14" t="s">
        <v>533</v>
      </c>
      <c r="F95" s="14"/>
      <c r="G95" s="14"/>
      <c r="H95" s="14"/>
      <c r="I95" s="14"/>
      <c r="J95" s="24">
        <v>43894</v>
      </c>
      <c r="K95" s="24">
        <v>44258</v>
      </c>
      <c r="L95" s="32">
        <v>3</v>
      </c>
      <c r="M95" s="14" t="s">
        <v>534</v>
      </c>
      <c r="N95" s="8"/>
      <c r="O95" s="18" t="s">
        <v>535</v>
      </c>
      <c r="P95" s="195" t="s">
        <v>536</v>
      </c>
      <c r="Q95" s="195" t="s">
        <v>4243</v>
      </c>
      <c r="R95" s="195" t="s">
        <v>537</v>
      </c>
      <c r="S95" s="195" t="s">
        <v>37</v>
      </c>
      <c r="T95" s="195">
        <v>600011</v>
      </c>
      <c r="U95" s="195" t="s">
        <v>38</v>
      </c>
      <c r="V95" s="195" t="s">
        <v>23</v>
      </c>
      <c r="W95" s="193">
        <v>4</v>
      </c>
      <c r="X95" s="195">
        <v>0</v>
      </c>
      <c r="Y95" s="195">
        <v>4</v>
      </c>
      <c r="Z95" s="195">
        <v>1</v>
      </c>
      <c r="AA95" s="193" t="s">
        <v>4148</v>
      </c>
      <c r="AB95" s="2"/>
    </row>
    <row r="96" spans="1:28" ht="15" customHeight="1">
      <c r="A96" s="16">
        <v>95</v>
      </c>
      <c r="B96" s="14" t="s">
        <v>16</v>
      </c>
      <c r="C96" s="14" t="str">
        <f>_xlfn.CONCAT(B96&amp;" "&amp;W96&amp;X96&amp;Y96&amp;Z96)</f>
        <v>Sesha Tools Pvt Ltd 8031</v>
      </c>
      <c r="D96" s="16">
        <v>202</v>
      </c>
      <c r="E96" s="14" t="s">
        <v>90</v>
      </c>
      <c r="F96" s="14"/>
      <c r="G96" s="14"/>
      <c r="H96" s="14"/>
      <c r="I96" s="14"/>
      <c r="J96" s="24">
        <v>44348</v>
      </c>
      <c r="K96" s="24">
        <v>44712</v>
      </c>
      <c r="L96" s="32">
        <v>3</v>
      </c>
      <c r="M96" s="14" t="s">
        <v>538</v>
      </c>
      <c r="N96" s="14" t="s">
        <v>17</v>
      </c>
      <c r="O96" s="18" t="s">
        <v>539</v>
      </c>
      <c r="P96" s="195" t="s">
        <v>540</v>
      </c>
      <c r="Q96" s="195" t="s">
        <v>4244</v>
      </c>
      <c r="R96" s="195" t="s">
        <v>20</v>
      </c>
      <c r="S96" s="195" t="s">
        <v>21</v>
      </c>
      <c r="T96" s="195">
        <v>560076</v>
      </c>
      <c r="U96" s="195" t="s">
        <v>22</v>
      </c>
      <c r="V96" s="195" t="s">
        <v>23</v>
      </c>
      <c r="W96" s="193">
        <v>8</v>
      </c>
      <c r="X96" s="195">
        <v>0</v>
      </c>
      <c r="Y96" s="195">
        <v>3</v>
      </c>
      <c r="Z96" s="195">
        <v>1</v>
      </c>
      <c r="AA96" s="193" t="s">
        <v>4118</v>
      </c>
      <c r="AB96" s="2"/>
    </row>
    <row r="97" spans="1:28" ht="15" customHeight="1">
      <c r="A97" s="16">
        <v>96</v>
      </c>
      <c r="B97" s="14" t="s">
        <v>16</v>
      </c>
      <c r="C97" s="14" t="str">
        <f>_xlfn.CONCAT(B97&amp;" "&amp;W97&amp;X97&amp;Y97&amp;Z97)</f>
        <v>Sesha Tools Pvt Ltd 8031</v>
      </c>
      <c r="D97" s="16" t="s">
        <v>541</v>
      </c>
      <c r="E97" s="14" t="s">
        <v>542</v>
      </c>
      <c r="F97" s="14"/>
      <c r="G97" s="14"/>
      <c r="H97" s="14"/>
      <c r="I97" s="14"/>
      <c r="J97" s="24"/>
      <c r="K97" s="24"/>
      <c r="L97" s="32">
        <v>3</v>
      </c>
      <c r="M97" s="14" t="s">
        <v>538</v>
      </c>
      <c r="N97" s="14" t="s">
        <v>17</v>
      </c>
      <c r="O97" s="18" t="s">
        <v>539</v>
      </c>
      <c r="P97" s="195" t="s">
        <v>540</v>
      </c>
      <c r="Q97" s="195" t="s">
        <v>4244</v>
      </c>
      <c r="R97" s="195" t="s">
        <v>20</v>
      </c>
      <c r="S97" s="195" t="s">
        <v>21</v>
      </c>
      <c r="T97" s="195">
        <v>560076</v>
      </c>
      <c r="U97" s="195" t="s">
        <v>22</v>
      </c>
      <c r="V97" s="195" t="s">
        <v>23</v>
      </c>
      <c r="W97" s="193">
        <v>8</v>
      </c>
      <c r="X97" s="195">
        <v>0</v>
      </c>
      <c r="Y97" s="195">
        <v>3</v>
      </c>
      <c r="Z97" s="195">
        <v>1</v>
      </c>
      <c r="AA97" s="193" t="s">
        <v>4118</v>
      </c>
      <c r="AB97" s="2"/>
    </row>
    <row r="98" spans="1:28" ht="15" customHeight="1">
      <c r="A98" s="16">
        <v>97</v>
      </c>
      <c r="B98" s="14" t="s">
        <v>543</v>
      </c>
      <c r="C98" s="14" t="str">
        <f>_xlfn.CONCAT(B98&amp;" "&amp;W98&amp;X98&amp;Y98&amp;Z98)</f>
        <v>Anand Testing Machine Services 8004</v>
      </c>
      <c r="D98" s="16">
        <v>103</v>
      </c>
      <c r="E98" s="14" t="s">
        <v>348</v>
      </c>
      <c r="F98" s="14"/>
      <c r="G98" s="30">
        <v>39784</v>
      </c>
      <c r="H98" s="30"/>
      <c r="I98" s="30"/>
      <c r="J98" s="24"/>
      <c r="K98" s="24"/>
      <c r="L98" s="32">
        <v>3</v>
      </c>
      <c r="M98" s="14" t="s">
        <v>544</v>
      </c>
      <c r="N98" s="8"/>
      <c r="O98" s="18" t="s">
        <v>545</v>
      </c>
      <c r="P98" s="195" t="s">
        <v>546</v>
      </c>
      <c r="Q98" s="195" t="s">
        <v>4245</v>
      </c>
      <c r="R98" s="193"/>
      <c r="S98" s="195" t="s">
        <v>547</v>
      </c>
      <c r="T98" s="195">
        <v>416115</v>
      </c>
      <c r="U98" s="195" t="s">
        <v>172</v>
      </c>
      <c r="V98" s="195" t="s">
        <v>23</v>
      </c>
      <c r="W98" s="193">
        <v>8</v>
      </c>
      <c r="X98" s="195">
        <v>0</v>
      </c>
      <c r="Y98" s="195">
        <v>0</v>
      </c>
      <c r="Z98" s="195">
        <v>4</v>
      </c>
      <c r="AA98" s="193" t="s">
        <v>4118</v>
      </c>
      <c r="AB98" s="2"/>
    </row>
    <row r="99" spans="1:28" ht="15" customHeight="1">
      <c r="A99" s="16">
        <v>98</v>
      </c>
      <c r="B99" s="14" t="s">
        <v>548</v>
      </c>
      <c r="C99" s="14" t="str">
        <f>_xlfn.CONCAT(B99&amp;" "&amp;W99&amp;X99&amp;Y99&amp;Z99)</f>
        <v>Goodrich Aerospace Services P Ltd 8071</v>
      </c>
      <c r="D99" s="16">
        <v>120</v>
      </c>
      <c r="E99" s="14" t="s">
        <v>450</v>
      </c>
      <c r="F99" s="14"/>
      <c r="G99" s="30">
        <v>39813</v>
      </c>
      <c r="H99" s="30"/>
      <c r="I99" s="30"/>
      <c r="J99" s="24">
        <v>44558</v>
      </c>
      <c r="K99" s="24">
        <v>44922</v>
      </c>
      <c r="L99" s="32">
        <v>3</v>
      </c>
      <c r="M99" s="14" t="s">
        <v>549</v>
      </c>
      <c r="N99" s="8"/>
      <c r="O99" s="18" t="s">
        <v>550</v>
      </c>
      <c r="P99" s="195" t="s">
        <v>551</v>
      </c>
      <c r="Q99" s="195" t="s">
        <v>4246</v>
      </c>
      <c r="R99" s="195" t="s">
        <v>552</v>
      </c>
      <c r="S99" s="195" t="s">
        <v>21</v>
      </c>
      <c r="T99" s="195">
        <v>560048</v>
      </c>
      <c r="U99" s="195" t="s">
        <v>22</v>
      </c>
      <c r="V99" s="195" t="s">
        <v>23</v>
      </c>
      <c r="W99" s="193">
        <v>8</v>
      </c>
      <c r="X99" s="195">
        <v>0</v>
      </c>
      <c r="Y99" s="195">
        <v>7</v>
      </c>
      <c r="Z99" s="195">
        <v>1</v>
      </c>
      <c r="AA99" s="193" t="s">
        <v>4118</v>
      </c>
      <c r="AB99" s="2"/>
    </row>
    <row r="100" spans="1:28" ht="15" customHeight="1">
      <c r="A100" s="16">
        <v>99</v>
      </c>
      <c r="B100" s="14" t="s">
        <v>553</v>
      </c>
      <c r="C100" s="14" t="str">
        <f>_xlfn.CONCAT(B100&amp;" "&amp;W100&amp;X100&amp;Y100&amp;Z100)</f>
        <v>Prisms India P Ltd 4013</v>
      </c>
      <c r="D100" s="16">
        <v>117</v>
      </c>
      <c r="E100" s="14" t="s">
        <v>90</v>
      </c>
      <c r="F100" s="14"/>
      <c r="G100" s="14"/>
      <c r="H100" s="14"/>
      <c r="I100" s="14"/>
      <c r="J100" s="24"/>
      <c r="K100" s="24"/>
      <c r="L100" s="32">
        <v>3</v>
      </c>
      <c r="M100" s="14" t="s">
        <v>554</v>
      </c>
      <c r="N100" s="8"/>
      <c r="O100" s="18" t="s">
        <v>555</v>
      </c>
      <c r="P100" s="195" t="s">
        <v>363</v>
      </c>
      <c r="Q100" s="195" t="s">
        <v>4247</v>
      </c>
      <c r="R100" s="195" t="s">
        <v>556</v>
      </c>
      <c r="S100" s="195" t="s">
        <v>235</v>
      </c>
      <c r="T100" s="195">
        <v>605009</v>
      </c>
      <c r="U100" s="195" t="s">
        <v>38</v>
      </c>
      <c r="V100" s="195" t="s">
        <v>23</v>
      </c>
      <c r="W100" s="193">
        <v>4</v>
      </c>
      <c r="X100" s="195">
        <v>0</v>
      </c>
      <c r="Y100" s="195">
        <v>1</v>
      </c>
      <c r="Z100" s="195">
        <v>3</v>
      </c>
      <c r="AA100" s="193" t="s">
        <v>4148</v>
      </c>
      <c r="AB100" s="2"/>
    </row>
    <row r="101" spans="1:28" ht="15" customHeight="1">
      <c r="A101" s="16">
        <v>100</v>
      </c>
      <c r="B101" s="14" t="s">
        <v>557</v>
      </c>
      <c r="C101" s="14" t="str">
        <f>_xlfn.CONCAT(B101&amp;" "&amp;W101&amp;X101&amp;Y101&amp;Z101)</f>
        <v>Toyota Kirloskar Auto Parts P Ltd 8032</v>
      </c>
      <c r="D101" s="16" t="s">
        <v>5222</v>
      </c>
      <c r="E101" s="14"/>
      <c r="F101" s="14"/>
      <c r="G101" s="14"/>
      <c r="H101" s="14"/>
      <c r="I101" s="14"/>
      <c r="J101" s="24"/>
      <c r="K101" s="24"/>
      <c r="L101" s="32">
        <v>3</v>
      </c>
      <c r="M101" s="14" t="s">
        <v>558</v>
      </c>
      <c r="N101" s="8"/>
      <c r="O101" s="18" t="s">
        <v>559</v>
      </c>
      <c r="P101" s="195" t="s">
        <v>560</v>
      </c>
      <c r="Q101" s="195" t="s">
        <v>4248</v>
      </c>
      <c r="R101" s="193"/>
      <c r="S101" s="195" t="s">
        <v>21</v>
      </c>
      <c r="T101" s="195">
        <v>562109</v>
      </c>
      <c r="U101" s="195" t="s">
        <v>22</v>
      </c>
      <c r="V101" s="195" t="s">
        <v>23</v>
      </c>
      <c r="W101" s="193">
        <v>8</v>
      </c>
      <c r="X101" s="195">
        <v>0</v>
      </c>
      <c r="Y101" s="195">
        <v>3</v>
      </c>
      <c r="Z101" s="195">
        <v>2</v>
      </c>
      <c r="AA101" s="193" t="s">
        <v>4118</v>
      </c>
      <c r="AB101" s="2"/>
    </row>
    <row r="102" spans="1:28" ht="15" customHeight="1">
      <c r="A102" s="16">
        <v>101</v>
      </c>
      <c r="B102" s="14" t="s">
        <v>561</v>
      </c>
      <c r="C102" s="14" t="str">
        <f>_xlfn.CONCAT(B102&amp;" "&amp;W102&amp;X102&amp;Y102&amp;Z102)</f>
        <v>Besmak Components P Ltd 4042</v>
      </c>
      <c r="D102" s="16">
        <v>119</v>
      </c>
      <c r="E102" s="14" t="s">
        <v>348</v>
      </c>
      <c r="F102" s="14"/>
      <c r="G102" s="14"/>
      <c r="H102" s="14"/>
      <c r="I102" s="14"/>
      <c r="J102" s="24">
        <v>45482</v>
      </c>
      <c r="K102" s="24">
        <v>45846</v>
      </c>
      <c r="L102" s="32">
        <v>3</v>
      </c>
      <c r="M102" s="14" t="s">
        <v>562</v>
      </c>
      <c r="N102" s="8"/>
      <c r="O102" s="18" t="s">
        <v>563</v>
      </c>
      <c r="P102" s="195" t="s">
        <v>564</v>
      </c>
      <c r="Q102" s="195" t="s">
        <v>4249</v>
      </c>
      <c r="R102" s="195" t="s">
        <v>565</v>
      </c>
      <c r="S102" s="195" t="s">
        <v>37</v>
      </c>
      <c r="T102" s="195">
        <v>600077</v>
      </c>
      <c r="U102" s="195" t="s">
        <v>38</v>
      </c>
      <c r="V102" s="195" t="s">
        <v>23</v>
      </c>
      <c r="W102" s="193">
        <v>4</v>
      </c>
      <c r="X102" s="195">
        <v>0</v>
      </c>
      <c r="Y102" s="195">
        <v>4</v>
      </c>
      <c r="Z102" s="195">
        <v>2</v>
      </c>
      <c r="AA102" s="193" t="s">
        <v>4148</v>
      </c>
      <c r="AB102" s="2"/>
    </row>
    <row r="103" spans="1:28" ht="15" customHeight="1">
      <c r="A103" s="16">
        <v>102</v>
      </c>
      <c r="B103" s="14" t="s">
        <v>567</v>
      </c>
      <c r="C103" s="14" t="str">
        <f>_xlfn.CONCAT(B103&amp;" "&amp;W103&amp;X103&amp;Y103&amp;Z103)</f>
        <v>Bhumi Brass and Alloy 5401</v>
      </c>
      <c r="D103" s="16">
        <v>115</v>
      </c>
      <c r="E103" s="14" t="s">
        <v>42</v>
      </c>
      <c r="F103" s="14"/>
      <c r="G103" s="14"/>
      <c r="H103" s="14"/>
      <c r="I103" s="14"/>
      <c r="J103" s="24">
        <v>43850</v>
      </c>
      <c r="K103" s="24">
        <v>44215</v>
      </c>
      <c r="L103" s="32">
        <v>3</v>
      </c>
      <c r="M103" s="14" t="s">
        <v>568</v>
      </c>
      <c r="N103" s="8"/>
      <c r="O103" s="18" t="s">
        <v>569</v>
      </c>
      <c r="P103" s="195" t="s">
        <v>570</v>
      </c>
      <c r="Q103" s="195" t="s">
        <v>4250</v>
      </c>
      <c r="R103" s="193"/>
      <c r="S103" s="195" t="s">
        <v>571</v>
      </c>
      <c r="T103" s="195">
        <v>361004</v>
      </c>
      <c r="U103" s="195" t="s">
        <v>144</v>
      </c>
      <c r="V103" s="195" t="s">
        <v>23</v>
      </c>
      <c r="W103" s="193">
        <v>5</v>
      </c>
      <c r="X103" s="195">
        <v>4</v>
      </c>
      <c r="Y103" s="195">
        <v>0</v>
      </c>
      <c r="Z103" s="195">
        <v>1</v>
      </c>
      <c r="AA103" s="193" t="s">
        <v>4137</v>
      </c>
      <c r="AB103" s="2"/>
    </row>
    <row r="104" spans="1:28" ht="15" customHeight="1">
      <c r="A104" s="16">
        <v>103</v>
      </c>
      <c r="B104" s="14" t="s">
        <v>179</v>
      </c>
      <c r="C104" s="14" t="str">
        <f>_xlfn.CONCAT(B104&amp;" "&amp;W104&amp;X104&amp;Y104&amp;Z104)</f>
        <v>Quality Needles (P) Ltd 1151</v>
      </c>
      <c r="D104" s="16">
        <v>123</v>
      </c>
      <c r="E104" s="14" t="s">
        <v>156</v>
      </c>
      <c r="F104" s="14"/>
      <c r="G104" s="30">
        <v>40704</v>
      </c>
      <c r="H104" s="30"/>
      <c r="I104" s="30"/>
      <c r="J104" s="24"/>
      <c r="K104" s="24"/>
      <c r="L104" s="32">
        <v>3</v>
      </c>
      <c r="M104" s="9" t="s">
        <v>572</v>
      </c>
      <c r="N104" s="9"/>
      <c r="O104" s="18" t="s">
        <v>181</v>
      </c>
      <c r="P104" s="193"/>
      <c r="Q104" s="193" t="s">
        <v>4251</v>
      </c>
      <c r="R104" s="193"/>
      <c r="S104" s="195" t="s">
        <v>185</v>
      </c>
      <c r="T104" s="195">
        <v>201307</v>
      </c>
      <c r="U104" s="195" t="s">
        <v>184</v>
      </c>
      <c r="V104" s="195" t="s">
        <v>23</v>
      </c>
      <c r="W104" s="193">
        <v>1</v>
      </c>
      <c r="X104" s="195">
        <v>1</v>
      </c>
      <c r="Y104" s="195">
        <v>5</v>
      </c>
      <c r="Z104" s="195">
        <v>1</v>
      </c>
      <c r="AA104" s="193" t="s">
        <v>4118</v>
      </c>
      <c r="AB104" s="2"/>
    </row>
    <row r="105" spans="1:28" ht="15" customHeight="1">
      <c r="A105" s="16">
        <v>104</v>
      </c>
      <c r="B105" s="9" t="s">
        <v>573</v>
      </c>
      <c r="C105" s="14" t="str">
        <f>_xlfn.CONCAT(B105&amp;" "&amp;W105&amp;X105&amp;Y105&amp;Z105)</f>
        <v>West Pharmaceutical Services Singapore Pte Ltd 0000</v>
      </c>
      <c r="D105" s="16">
        <v>122</v>
      </c>
      <c r="E105" s="9" t="s">
        <v>42</v>
      </c>
      <c r="F105" s="9"/>
      <c r="G105" s="9"/>
      <c r="H105" s="9"/>
      <c r="I105" s="9"/>
      <c r="J105" s="24">
        <v>42966</v>
      </c>
      <c r="K105" s="24">
        <v>43330</v>
      </c>
      <c r="L105" s="32">
        <v>3</v>
      </c>
      <c r="M105" s="9"/>
      <c r="N105" s="8"/>
      <c r="O105" s="18">
        <v>6568623400</v>
      </c>
      <c r="P105" s="193"/>
      <c r="Q105" s="193" t="s">
        <v>4252</v>
      </c>
      <c r="R105" s="193"/>
      <c r="S105" s="193"/>
      <c r="T105" s="195">
        <v>629046</v>
      </c>
      <c r="U105" s="193" t="s">
        <v>574</v>
      </c>
      <c r="V105" s="195" t="s">
        <v>575</v>
      </c>
      <c r="W105" s="193">
        <v>0</v>
      </c>
      <c r="X105" s="195">
        <v>0</v>
      </c>
      <c r="Y105" s="195">
        <v>0</v>
      </c>
      <c r="Z105" s="195">
        <v>0</v>
      </c>
      <c r="AA105" s="193">
        <v>0</v>
      </c>
      <c r="AB105" s="2"/>
    </row>
    <row r="106" spans="1:28" ht="15" customHeight="1">
      <c r="A106" s="16">
        <v>105</v>
      </c>
      <c r="B106" s="14" t="s">
        <v>577</v>
      </c>
      <c r="C106" s="14" t="str">
        <f>_xlfn.CONCAT(B106&amp;" "&amp;W106&amp;X106&amp;Y106&amp;Z106)</f>
        <v>Precihole Machine Tools Pvt. Ltd. 2224</v>
      </c>
      <c r="D106" s="16">
        <v>921</v>
      </c>
      <c r="E106" s="14" t="s">
        <v>90</v>
      </c>
      <c r="F106" s="14"/>
      <c r="G106" s="30">
        <v>44432</v>
      </c>
      <c r="H106" s="30"/>
      <c r="I106" s="30"/>
      <c r="J106" s="24">
        <v>44432</v>
      </c>
      <c r="K106" s="24">
        <v>44796</v>
      </c>
      <c r="L106" s="32">
        <v>3</v>
      </c>
      <c r="M106" s="14" t="s">
        <v>578</v>
      </c>
      <c r="N106" s="8"/>
      <c r="O106" s="18">
        <v>9167620638</v>
      </c>
      <c r="P106" s="195" t="s">
        <v>579</v>
      </c>
      <c r="Q106" s="195" t="s">
        <v>4253</v>
      </c>
      <c r="R106" s="193" t="s">
        <v>580</v>
      </c>
      <c r="S106" s="195" t="s">
        <v>581</v>
      </c>
      <c r="T106" s="195">
        <v>421311</v>
      </c>
      <c r="U106" s="195" t="s">
        <v>172</v>
      </c>
      <c r="V106" s="195" t="s">
        <v>23</v>
      </c>
      <c r="W106" s="193">
        <v>2</v>
      </c>
      <c r="X106" s="195">
        <v>2</v>
      </c>
      <c r="Y106" s="195">
        <v>2</v>
      </c>
      <c r="Z106" s="195">
        <v>4</v>
      </c>
      <c r="AA106" s="193" t="s">
        <v>4148</v>
      </c>
      <c r="AB106" s="2"/>
    </row>
    <row r="107" spans="1:28" ht="15" customHeight="1">
      <c r="A107" s="16">
        <v>106</v>
      </c>
      <c r="B107" s="14" t="s">
        <v>582</v>
      </c>
      <c r="C107" s="14" t="str">
        <f>_xlfn.CONCAT(B107&amp;" "&amp;W107&amp;X107&amp;Y107&amp;Z107)</f>
        <v>Chakradhara Aerospace &amp; Cargo Pvt Ltd 4111</v>
      </c>
      <c r="D107" s="16">
        <v>721</v>
      </c>
      <c r="E107" s="14" t="s">
        <v>90</v>
      </c>
      <c r="F107" s="14"/>
      <c r="G107" s="30"/>
      <c r="H107" s="30"/>
      <c r="I107" s="30"/>
      <c r="J107" s="24">
        <v>45940</v>
      </c>
      <c r="K107" s="24">
        <v>46304</v>
      </c>
      <c r="L107" s="32">
        <v>3</v>
      </c>
      <c r="M107" s="14" t="s">
        <v>583</v>
      </c>
      <c r="N107" s="14" t="s">
        <v>584</v>
      </c>
      <c r="O107" s="18" t="s">
        <v>585</v>
      </c>
      <c r="P107" s="195" t="s">
        <v>586</v>
      </c>
      <c r="Q107" s="195" t="s">
        <v>4254</v>
      </c>
      <c r="R107" s="193"/>
      <c r="S107" s="195" t="s">
        <v>101</v>
      </c>
      <c r="T107" s="195">
        <v>641035</v>
      </c>
      <c r="U107" s="195" t="s">
        <v>38</v>
      </c>
      <c r="V107" s="195" t="s">
        <v>23</v>
      </c>
      <c r="W107" s="193">
        <v>4</v>
      </c>
      <c r="X107" s="195">
        <v>1</v>
      </c>
      <c r="Y107" s="195">
        <v>1</v>
      </c>
      <c r="Z107" s="195">
        <v>1</v>
      </c>
      <c r="AA107" s="193" t="s">
        <v>4148</v>
      </c>
      <c r="AB107" s="2"/>
    </row>
    <row r="108" spans="1:28" ht="15" customHeight="1">
      <c r="A108" s="16">
        <v>107</v>
      </c>
      <c r="B108" s="14" t="s">
        <v>588</v>
      </c>
      <c r="C108" s="14" t="str">
        <f>_xlfn.CONCAT(B108&amp;" "&amp;W108&amp;X108&amp;Y108&amp;Z108)</f>
        <v>Optics &amp; Allied Engg Pvt Ltd 8081</v>
      </c>
      <c r="D108" s="16">
        <v>118</v>
      </c>
      <c r="E108" s="14" t="s">
        <v>90</v>
      </c>
      <c r="F108" s="14"/>
      <c r="G108" s="14"/>
      <c r="H108" s="14"/>
      <c r="I108" s="14"/>
      <c r="J108" s="24"/>
      <c r="K108" s="24"/>
      <c r="L108" s="32">
        <v>3</v>
      </c>
      <c r="M108" s="14" t="s">
        <v>589</v>
      </c>
      <c r="N108" s="8"/>
      <c r="O108" s="18" t="s">
        <v>590</v>
      </c>
      <c r="P108" s="193"/>
      <c r="Q108" s="193" t="s">
        <v>4255</v>
      </c>
      <c r="R108" s="193"/>
      <c r="S108" s="195" t="s">
        <v>21</v>
      </c>
      <c r="T108" s="195">
        <v>560000</v>
      </c>
      <c r="U108" s="195" t="s">
        <v>22</v>
      </c>
      <c r="V108" s="195" t="s">
        <v>23</v>
      </c>
      <c r="W108" s="193">
        <v>8</v>
      </c>
      <c r="X108" s="195">
        <v>0</v>
      </c>
      <c r="Y108" s="195">
        <v>8</v>
      </c>
      <c r="Z108" s="195">
        <v>1</v>
      </c>
      <c r="AA108" s="193" t="s">
        <v>4118</v>
      </c>
      <c r="AB108" s="2"/>
    </row>
    <row r="109" spans="1:28" ht="15" customHeight="1">
      <c r="A109" s="16">
        <v>108</v>
      </c>
      <c r="B109" s="14" t="s">
        <v>591</v>
      </c>
      <c r="C109" s="14" t="str">
        <f>_xlfn.CONCAT(B109&amp;" "&amp;W109&amp;X109&amp;Y109&amp;Z109)</f>
        <v>PT. Tradisi Manufacturing Industry 0000</v>
      </c>
      <c r="D109" s="16">
        <v>171</v>
      </c>
      <c r="E109" s="14" t="s">
        <v>592</v>
      </c>
      <c r="F109" s="14"/>
      <c r="G109" s="14"/>
      <c r="H109" s="14"/>
      <c r="I109" s="14"/>
      <c r="J109" s="24"/>
      <c r="K109" s="24"/>
      <c r="L109" s="32">
        <v>3</v>
      </c>
      <c r="M109" s="8"/>
      <c r="N109" s="8"/>
      <c r="O109" s="18" t="s">
        <v>593</v>
      </c>
      <c r="P109" s="195" t="s">
        <v>594</v>
      </c>
      <c r="Q109" s="195" t="s">
        <v>4256</v>
      </c>
      <c r="R109" s="193"/>
      <c r="S109" s="195" t="s">
        <v>595</v>
      </c>
      <c r="T109" s="195">
        <v>41361</v>
      </c>
      <c r="U109" s="193" t="s">
        <v>574</v>
      </c>
      <c r="V109" s="195" t="s">
        <v>596</v>
      </c>
      <c r="W109" s="193">
        <v>0</v>
      </c>
      <c r="X109" s="195">
        <v>0</v>
      </c>
      <c r="Y109" s="195">
        <v>0</v>
      </c>
      <c r="Z109" s="195">
        <v>0</v>
      </c>
      <c r="AA109" s="193">
        <v>0</v>
      </c>
      <c r="AB109" s="2"/>
    </row>
    <row r="110" spans="1:28" ht="15" customHeight="1">
      <c r="A110" s="16">
        <v>109</v>
      </c>
      <c r="B110" s="14" t="s">
        <v>597</v>
      </c>
      <c r="C110" s="14" t="str">
        <f>_xlfn.CONCAT(B110&amp;" "&amp;W110&amp;X110&amp;Y110&amp;Z110)</f>
        <v>Amritha Tool Crafts Pvt. Ltd. 6021</v>
      </c>
      <c r="D110" s="16">
        <v>126</v>
      </c>
      <c r="E110" s="14" t="s">
        <v>90</v>
      </c>
      <c r="F110" s="14"/>
      <c r="G110" s="14"/>
      <c r="H110" s="14"/>
      <c r="I110" s="14"/>
      <c r="J110" s="24">
        <v>44378</v>
      </c>
      <c r="K110" s="24">
        <v>44742</v>
      </c>
      <c r="L110" s="32">
        <v>3</v>
      </c>
      <c r="M110" s="14" t="s">
        <v>598</v>
      </c>
      <c r="N110" s="14" t="s">
        <v>599</v>
      </c>
      <c r="O110" s="18" t="s">
        <v>600</v>
      </c>
      <c r="P110" s="195" t="s">
        <v>601</v>
      </c>
      <c r="Q110" s="195" t="s">
        <v>4257</v>
      </c>
      <c r="R110" s="193"/>
      <c r="S110" s="195" t="s">
        <v>53</v>
      </c>
      <c r="T110" s="195">
        <v>500051</v>
      </c>
      <c r="U110" s="195" t="s">
        <v>54</v>
      </c>
      <c r="V110" s="195" t="s">
        <v>23</v>
      </c>
      <c r="W110" s="193">
        <v>6</v>
      </c>
      <c r="X110" s="195">
        <v>0</v>
      </c>
      <c r="Y110" s="195">
        <v>2</v>
      </c>
      <c r="Z110" s="195">
        <v>1</v>
      </c>
      <c r="AA110" s="193" t="s">
        <v>4148</v>
      </c>
      <c r="AB110" s="2"/>
    </row>
    <row r="111" spans="1:28" ht="15" customHeight="1">
      <c r="A111" s="16">
        <v>110</v>
      </c>
      <c r="B111" s="14" t="s">
        <v>602</v>
      </c>
      <c r="C111" s="14" t="str">
        <f>_xlfn.CONCAT(B111&amp;" "&amp;W111&amp;X111&amp;Y111&amp;Z111)</f>
        <v>Craftsman Automation Ltd 4111</v>
      </c>
      <c r="D111" s="16">
        <v>125</v>
      </c>
      <c r="E111" s="14" t="s">
        <v>42</v>
      </c>
      <c r="F111" s="14"/>
      <c r="G111" s="14"/>
      <c r="H111" s="14"/>
      <c r="I111" s="14"/>
      <c r="J111" s="24">
        <v>45405</v>
      </c>
      <c r="K111" s="24">
        <v>45769</v>
      </c>
      <c r="L111" s="32">
        <v>3</v>
      </c>
      <c r="M111" s="14" t="s">
        <v>603</v>
      </c>
      <c r="N111" s="14" t="s">
        <v>604</v>
      </c>
      <c r="O111" s="18" t="s">
        <v>605</v>
      </c>
      <c r="P111" s="195" t="s">
        <v>100</v>
      </c>
      <c r="Q111" s="195" t="s">
        <v>4258</v>
      </c>
      <c r="R111" s="193"/>
      <c r="S111" s="195" t="s">
        <v>101</v>
      </c>
      <c r="T111" s="195">
        <v>641407</v>
      </c>
      <c r="U111" s="195" t="s">
        <v>38</v>
      </c>
      <c r="V111" s="195" t="s">
        <v>23</v>
      </c>
      <c r="W111" s="193">
        <v>4</v>
      </c>
      <c r="X111" s="195">
        <v>1</v>
      </c>
      <c r="Y111" s="195">
        <v>1</v>
      </c>
      <c r="Z111" s="195">
        <v>1</v>
      </c>
      <c r="AA111" s="193" t="s">
        <v>4148</v>
      </c>
      <c r="AB111" s="2"/>
    </row>
    <row r="112" spans="1:28" ht="15" customHeight="1">
      <c r="A112" s="16">
        <v>111</v>
      </c>
      <c r="B112" s="14" t="s">
        <v>606</v>
      </c>
      <c r="C112" s="14" t="str">
        <f>_xlfn.CONCAT(B112&amp;" "&amp;W112&amp;X112&amp;Y112&amp;Z112)</f>
        <v>GESCO Healthcare Pvt Ltd (General Surgical Company (I) PVT. Ltd) 4032</v>
      </c>
      <c r="D112" s="16">
        <v>131</v>
      </c>
      <c r="E112" s="14" t="s">
        <v>42</v>
      </c>
      <c r="F112" s="14"/>
      <c r="G112" s="14"/>
      <c r="H112" s="14"/>
      <c r="I112" s="14"/>
      <c r="J112" s="24">
        <v>45350</v>
      </c>
      <c r="K112" s="24">
        <v>45715</v>
      </c>
      <c r="L112" s="32">
        <v>3</v>
      </c>
      <c r="M112" s="9" t="s">
        <v>607</v>
      </c>
      <c r="N112" s="9"/>
      <c r="O112" s="18" t="s">
        <v>608</v>
      </c>
      <c r="P112" s="195" t="s">
        <v>609</v>
      </c>
      <c r="Q112" s="195" t="s">
        <v>4259</v>
      </c>
      <c r="R112" s="195" t="s">
        <v>610</v>
      </c>
      <c r="S112" s="195" t="s">
        <v>37</v>
      </c>
      <c r="T112" s="195">
        <v>600084</v>
      </c>
      <c r="U112" s="195" t="s">
        <v>38</v>
      </c>
      <c r="V112" s="195" t="s">
        <v>23</v>
      </c>
      <c r="W112" s="193">
        <v>4</v>
      </c>
      <c r="X112" s="195">
        <v>0</v>
      </c>
      <c r="Y112" s="195">
        <v>3</v>
      </c>
      <c r="Z112" s="195">
        <v>2</v>
      </c>
      <c r="AA112" s="193" t="s">
        <v>4148</v>
      </c>
      <c r="AB112" s="2"/>
    </row>
    <row r="113" spans="1:28" ht="15" customHeight="1">
      <c r="A113" s="16">
        <v>112</v>
      </c>
      <c r="B113" s="14" t="s">
        <v>611</v>
      </c>
      <c r="C113" s="14" t="str">
        <f>_xlfn.CONCAT(B113&amp;" "&amp;W113&amp;X113&amp;Y113&amp;Z113)</f>
        <v>Rams Engg Industries 4041</v>
      </c>
      <c r="D113" s="16">
        <v>129</v>
      </c>
      <c r="E113" s="14" t="s">
        <v>42</v>
      </c>
      <c r="F113" s="14"/>
      <c r="G113" s="14"/>
      <c r="H113" s="14"/>
      <c r="I113" s="14"/>
      <c r="J113" s="24">
        <v>44490</v>
      </c>
      <c r="K113" s="24">
        <v>44854</v>
      </c>
      <c r="L113" s="32">
        <v>3</v>
      </c>
      <c r="M113" s="14" t="s">
        <v>612</v>
      </c>
      <c r="N113" s="14" t="s">
        <v>339</v>
      </c>
      <c r="O113" s="18" t="s">
        <v>613</v>
      </c>
      <c r="P113" s="195" t="s">
        <v>62</v>
      </c>
      <c r="Q113" s="195" t="s">
        <v>4260</v>
      </c>
      <c r="R113" s="193"/>
      <c r="S113" s="195" t="s">
        <v>37</v>
      </c>
      <c r="T113" s="195">
        <v>600098</v>
      </c>
      <c r="U113" s="195" t="s">
        <v>38</v>
      </c>
      <c r="V113" s="195" t="s">
        <v>23</v>
      </c>
      <c r="W113" s="193">
        <v>4</v>
      </c>
      <c r="X113" s="195">
        <v>0</v>
      </c>
      <c r="Y113" s="195">
        <v>4</v>
      </c>
      <c r="Z113" s="195">
        <v>1</v>
      </c>
      <c r="AA113" s="193" t="s">
        <v>4148</v>
      </c>
      <c r="AB113" s="2"/>
    </row>
    <row r="114" spans="1:28" ht="15" customHeight="1">
      <c r="A114" s="16">
        <v>113</v>
      </c>
      <c r="B114" s="14" t="s">
        <v>614</v>
      </c>
      <c r="C114" s="14" t="str">
        <f>_xlfn.CONCAT(B114&amp;" "&amp;W114&amp;X114&amp;Y114&amp;Z114)</f>
        <v>Sunikh Precision P Ltd 8013</v>
      </c>
      <c r="D114" s="16">
        <v>127</v>
      </c>
      <c r="E114" s="14" t="s">
        <v>348</v>
      </c>
      <c r="F114" s="14"/>
      <c r="G114" s="30">
        <v>39914</v>
      </c>
      <c r="H114" s="30"/>
      <c r="I114" s="30"/>
      <c r="J114" s="24"/>
      <c r="K114" s="24"/>
      <c r="L114" s="32">
        <v>3</v>
      </c>
      <c r="M114" s="14" t="s">
        <v>615</v>
      </c>
      <c r="N114" s="14" t="s">
        <v>339</v>
      </c>
      <c r="O114" s="18" t="s">
        <v>616</v>
      </c>
      <c r="P114" s="195" t="s">
        <v>617</v>
      </c>
      <c r="Q114" s="195" t="s">
        <v>4261</v>
      </c>
      <c r="R114" s="195" t="s">
        <v>166</v>
      </c>
      <c r="S114" s="195" t="s">
        <v>21</v>
      </c>
      <c r="T114" s="195">
        <v>560100</v>
      </c>
      <c r="U114" s="195" t="s">
        <v>22</v>
      </c>
      <c r="V114" s="195" t="s">
        <v>23</v>
      </c>
      <c r="W114" s="193">
        <v>8</v>
      </c>
      <c r="X114" s="195">
        <v>0</v>
      </c>
      <c r="Y114" s="195">
        <v>1</v>
      </c>
      <c r="Z114" s="195">
        <v>3</v>
      </c>
      <c r="AA114" s="193" t="s">
        <v>4118</v>
      </c>
      <c r="AB114" s="2"/>
    </row>
    <row r="115" spans="1:28" ht="15" customHeight="1">
      <c r="A115" s="16">
        <v>114</v>
      </c>
      <c r="B115" s="14" t="s">
        <v>618</v>
      </c>
      <c r="C115" s="14" t="str">
        <f>_xlfn.CONCAT(B115&amp;" "&amp;W115&amp;X115&amp;Y115&amp;Z115)</f>
        <v>Sunvision Technologies P Ltd 2114</v>
      </c>
      <c r="D115" s="16">
        <v>133</v>
      </c>
      <c r="E115" s="14" t="s">
        <v>42</v>
      </c>
      <c r="F115" s="14"/>
      <c r="G115" s="14"/>
      <c r="H115" s="14"/>
      <c r="I115" s="14"/>
      <c r="J115" s="24"/>
      <c r="K115" s="24"/>
      <c r="L115" s="32">
        <v>3</v>
      </c>
      <c r="M115" s="14" t="s">
        <v>619</v>
      </c>
      <c r="N115" s="14" t="s">
        <v>620</v>
      </c>
      <c r="O115" s="18" t="s">
        <v>621</v>
      </c>
      <c r="P115" s="195" t="s">
        <v>622</v>
      </c>
      <c r="Q115" s="195" t="s">
        <v>4262</v>
      </c>
      <c r="R115" s="195" t="s">
        <v>623</v>
      </c>
      <c r="S115" s="195" t="s">
        <v>221</v>
      </c>
      <c r="T115" s="195">
        <v>400062</v>
      </c>
      <c r="U115" s="195" t="s">
        <v>172</v>
      </c>
      <c r="V115" s="195" t="s">
        <v>23</v>
      </c>
      <c r="W115" s="193">
        <v>2</v>
      </c>
      <c r="X115" s="195">
        <v>1</v>
      </c>
      <c r="Y115" s="195">
        <v>1</v>
      </c>
      <c r="Z115" s="195">
        <v>4</v>
      </c>
      <c r="AA115" s="193" t="s">
        <v>4148</v>
      </c>
      <c r="AB115" s="2"/>
    </row>
    <row r="116" spans="1:28" ht="15" customHeight="1">
      <c r="A116" s="16">
        <v>115</v>
      </c>
      <c r="B116" s="14" t="s">
        <v>625</v>
      </c>
      <c r="C116" s="14" t="str">
        <f>_xlfn.CONCAT(B116&amp;" "&amp;W116&amp;X116&amp;Y116&amp;Z116)</f>
        <v>Savio India Ltd (Itema Spinning India Limited) 4131</v>
      </c>
      <c r="D116" s="16">
        <v>134</v>
      </c>
      <c r="E116" s="14" t="s">
        <v>90</v>
      </c>
      <c r="F116" s="14"/>
      <c r="G116" s="14"/>
      <c r="H116" s="14"/>
      <c r="I116" s="14"/>
      <c r="J116" s="24">
        <v>44496</v>
      </c>
      <c r="K116" s="24">
        <v>44860</v>
      </c>
      <c r="L116" s="32">
        <v>3</v>
      </c>
      <c r="M116" s="14" t="s">
        <v>626</v>
      </c>
      <c r="N116" s="14" t="s">
        <v>627</v>
      </c>
      <c r="O116" s="18" t="s">
        <v>628</v>
      </c>
      <c r="P116" s="195" t="s">
        <v>629</v>
      </c>
      <c r="Q116" s="195" t="s">
        <v>4263</v>
      </c>
      <c r="R116" s="193"/>
      <c r="S116" s="195" t="s">
        <v>101</v>
      </c>
      <c r="T116" s="195">
        <v>642109</v>
      </c>
      <c r="U116" s="195" t="s">
        <v>38</v>
      </c>
      <c r="V116" s="195" t="s">
        <v>23</v>
      </c>
      <c r="W116" s="193">
        <v>4</v>
      </c>
      <c r="X116" s="195">
        <v>1</v>
      </c>
      <c r="Y116" s="195">
        <v>3</v>
      </c>
      <c r="Z116" s="195">
        <v>1</v>
      </c>
      <c r="AA116" s="193" t="s">
        <v>4148</v>
      </c>
      <c r="AB116" s="2"/>
    </row>
    <row r="117" spans="1:28" ht="15" customHeight="1">
      <c r="A117" s="16">
        <v>116</v>
      </c>
      <c r="B117" s="14" t="s">
        <v>630</v>
      </c>
      <c r="C117" s="14" t="str">
        <f>_xlfn.CONCAT(B117&amp;" "&amp;W117&amp;X117&amp;Y117&amp;Z117)</f>
        <v>Trucut Tool Inc. 4041</v>
      </c>
      <c r="D117" s="16" t="s">
        <v>631</v>
      </c>
      <c r="E117" s="14" t="s">
        <v>542</v>
      </c>
      <c r="F117" s="14"/>
      <c r="G117" s="14"/>
      <c r="H117" s="14"/>
      <c r="I117" s="14"/>
      <c r="J117" s="24"/>
      <c r="K117" s="24"/>
      <c r="L117" s="32">
        <v>3</v>
      </c>
      <c r="M117" s="14" t="s">
        <v>632</v>
      </c>
      <c r="N117" s="8"/>
      <c r="O117" s="18" t="s">
        <v>633</v>
      </c>
      <c r="P117" s="195" t="s">
        <v>634</v>
      </c>
      <c r="Q117" s="195" t="s">
        <v>4264</v>
      </c>
      <c r="R117" s="195" t="s">
        <v>635</v>
      </c>
      <c r="S117" s="195" t="s">
        <v>37</v>
      </c>
      <c r="T117" s="195">
        <v>600058</v>
      </c>
      <c r="U117" s="195" t="s">
        <v>38</v>
      </c>
      <c r="V117" s="195" t="s">
        <v>23</v>
      </c>
      <c r="W117" s="193">
        <v>4</v>
      </c>
      <c r="X117" s="195">
        <v>0</v>
      </c>
      <c r="Y117" s="195">
        <v>4</v>
      </c>
      <c r="Z117" s="195">
        <v>1</v>
      </c>
      <c r="AA117" s="193" t="s">
        <v>4148</v>
      </c>
      <c r="AB117" s="2"/>
    </row>
    <row r="118" spans="1:28" ht="15" customHeight="1">
      <c r="A118" s="16">
        <v>117</v>
      </c>
      <c r="B118" s="14" t="s">
        <v>636</v>
      </c>
      <c r="C118" s="14" t="str">
        <f>_xlfn.CONCAT(B118&amp;" "&amp;W118&amp;X118&amp;Y118&amp;Z118)</f>
        <v>Protectron Electromech P Ltd 8031</v>
      </c>
      <c r="D118" s="16">
        <v>130</v>
      </c>
      <c r="E118" s="14" t="s">
        <v>42</v>
      </c>
      <c r="F118" s="14"/>
      <c r="G118" s="14"/>
      <c r="H118" s="14"/>
      <c r="I118" s="14"/>
      <c r="J118" s="24">
        <v>44545</v>
      </c>
      <c r="K118" s="24">
        <v>44909</v>
      </c>
      <c r="L118" s="32">
        <v>2</v>
      </c>
      <c r="M118" s="9" t="s">
        <v>637</v>
      </c>
      <c r="N118" s="9"/>
      <c r="O118" s="18" t="s">
        <v>638</v>
      </c>
      <c r="P118" s="195" t="s">
        <v>639</v>
      </c>
      <c r="Q118" s="195" t="s">
        <v>4265</v>
      </c>
      <c r="R118" s="195" t="s">
        <v>640</v>
      </c>
      <c r="S118" s="195" t="s">
        <v>21</v>
      </c>
      <c r="T118" s="195">
        <v>560070</v>
      </c>
      <c r="U118" s="195" t="s">
        <v>22</v>
      </c>
      <c r="V118" s="195" t="s">
        <v>23</v>
      </c>
      <c r="W118" s="193">
        <v>8</v>
      </c>
      <c r="X118" s="195">
        <v>0</v>
      </c>
      <c r="Y118" s="195">
        <v>3</v>
      </c>
      <c r="Z118" s="195">
        <v>1</v>
      </c>
      <c r="AA118" s="193" t="s">
        <v>4118</v>
      </c>
      <c r="AB118" s="2"/>
    </row>
    <row r="119" spans="1:28" ht="15" customHeight="1">
      <c r="A119" s="16">
        <v>118</v>
      </c>
      <c r="B119" s="14" t="s">
        <v>641</v>
      </c>
      <c r="C119" s="14" t="str">
        <f>_xlfn.CONCAT(B119&amp;" "&amp;W119&amp;X119&amp;Y119&amp;Z119)</f>
        <v>Microfine Bushings P Ltd 4041</v>
      </c>
      <c r="D119" s="16">
        <v>114</v>
      </c>
      <c r="E119" s="14" t="s">
        <v>348</v>
      </c>
      <c r="F119" s="14"/>
      <c r="G119" s="14"/>
      <c r="H119" s="14"/>
      <c r="I119" s="14"/>
      <c r="J119" s="24"/>
      <c r="K119" s="24"/>
      <c r="L119" s="32">
        <v>3</v>
      </c>
      <c r="M119" s="14" t="s">
        <v>642</v>
      </c>
      <c r="N119" s="14" t="s">
        <v>643</v>
      </c>
      <c r="O119" s="18" t="s">
        <v>644</v>
      </c>
      <c r="P119" s="195" t="s">
        <v>62</v>
      </c>
      <c r="Q119" s="195" t="s">
        <v>4266</v>
      </c>
      <c r="R119" s="193"/>
      <c r="S119" s="195" t="s">
        <v>37</v>
      </c>
      <c r="T119" s="195">
        <v>600098</v>
      </c>
      <c r="U119" s="195" t="s">
        <v>38</v>
      </c>
      <c r="V119" s="195" t="s">
        <v>23</v>
      </c>
      <c r="W119" s="193">
        <v>4</v>
      </c>
      <c r="X119" s="195">
        <v>0</v>
      </c>
      <c r="Y119" s="195">
        <v>4</v>
      </c>
      <c r="Z119" s="195">
        <v>1</v>
      </c>
      <c r="AA119" s="193" t="s">
        <v>4148</v>
      </c>
      <c r="AB119" s="2"/>
    </row>
    <row r="120" spans="1:28" ht="15" customHeight="1">
      <c r="A120" s="16">
        <v>119</v>
      </c>
      <c r="B120" s="14" t="s">
        <v>645</v>
      </c>
      <c r="C120" s="14" t="str">
        <f>_xlfn.CONCAT(B120&amp;" "&amp;W120&amp;X120&amp;Y120&amp;Z120)</f>
        <v>Bhavani Industries 8011</v>
      </c>
      <c r="D120" s="16">
        <v>104</v>
      </c>
      <c r="E120" s="14" t="s">
        <v>42</v>
      </c>
      <c r="F120" s="14"/>
      <c r="G120" s="14"/>
      <c r="H120" s="14"/>
      <c r="I120" s="14"/>
      <c r="J120" s="24">
        <v>44444</v>
      </c>
      <c r="K120" s="24">
        <v>44808</v>
      </c>
      <c r="L120" s="32">
        <v>3</v>
      </c>
      <c r="M120" s="14" t="s">
        <v>646</v>
      </c>
      <c r="N120" s="8"/>
      <c r="O120" s="18" t="s">
        <v>647</v>
      </c>
      <c r="P120" s="195" t="s">
        <v>649</v>
      </c>
      <c r="Q120" s="195" t="s">
        <v>4267</v>
      </c>
      <c r="R120" s="195" t="s">
        <v>166</v>
      </c>
      <c r="S120" s="195" t="s">
        <v>21</v>
      </c>
      <c r="T120" s="195">
        <v>560100</v>
      </c>
      <c r="U120" s="195" t="s">
        <v>22</v>
      </c>
      <c r="V120" s="195" t="s">
        <v>23</v>
      </c>
      <c r="W120" s="193">
        <v>8</v>
      </c>
      <c r="X120" s="195">
        <v>0</v>
      </c>
      <c r="Y120" s="195">
        <v>1</v>
      </c>
      <c r="Z120" s="195">
        <v>1</v>
      </c>
      <c r="AA120" s="193" t="s">
        <v>4118</v>
      </c>
      <c r="AB120" s="2"/>
    </row>
    <row r="121" spans="1:28" ht="15" customHeight="1">
      <c r="A121" s="16">
        <v>120</v>
      </c>
      <c r="B121" s="14" t="s">
        <v>650</v>
      </c>
      <c r="C121" s="14" t="str">
        <f>_xlfn.CONCAT(B121&amp;" "&amp;W121&amp;X121&amp;Y121&amp;Z121)</f>
        <v>Rohit Industries group P Ltd 1121</v>
      </c>
      <c r="D121" s="16">
        <v>132</v>
      </c>
      <c r="E121" s="14" t="s">
        <v>42</v>
      </c>
      <c r="F121" s="14"/>
      <c r="G121" s="14"/>
      <c r="H121" s="14"/>
      <c r="I121" s="14"/>
      <c r="J121" s="24">
        <v>44378</v>
      </c>
      <c r="K121" s="24">
        <v>44742</v>
      </c>
      <c r="L121" s="32">
        <v>3</v>
      </c>
      <c r="M121" s="14" t="s">
        <v>651</v>
      </c>
      <c r="N121" s="8"/>
      <c r="O121" s="18" t="s">
        <v>652</v>
      </c>
      <c r="P121" s="195" t="s">
        <v>653</v>
      </c>
      <c r="Q121" s="195" t="s">
        <v>4268</v>
      </c>
      <c r="R121" s="195" t="s">
        <v>654</v>
      </c>
      <c r="S121" s="195" t="s">
        <v>655</v>
      </c>
      <c r="T121" s="195">
        <v>110015</v>
      </c>
      <c r="U121" s="195" t="s">
        <v>429</v>
      </c>
      <c r="V121" s="195" t="s">
        <v>23</v>
      </c>
      <c r="W121" s="193">
        <v>1</v>
      </c>
      <c r="X121" s="195">
        <v>1</v>
      </c>
      <c r="Y121" s="195">
        <v>2</v>
      </c>
      <c r="Z121" s="195">
        <v>1</v>
      </c>
      <c r="AA121" s="193" t="s">
        <v>4118</v>
      </c>
      <c r="AB121" s="2"/>
    </row>
    <row r="122" spans="1:28" ht="15" customHeight="1">
      <c r="A122" s="16">
        <v>121</v>
      </c>
      <c r="B122" s="14" t="s">
        <v>657</v>
      </c>
      <c r="C122" s="14" t="str">
        <f>_xlfn.CONCAT(B122&amp;" "&amp;W122&amp;X122&amp;Y122&amp;Z122)</f>
        <v>Piano Presitel 2115</v>
      </c>
      <c r="D122" s="16">
        <v>141</v>
      </c>
      <c r="E122" s="14" t="s">
        <v>42</v>
      </c>
      <c r="F122" s="14"/>
      <c r="G122" s="14"/>
      <c r="H122" s="14"/>
      <c r="I122" s="14"/>
      <c r="J122" s="24">
        <v>44364</v>
      </c>
      <c r="K122" s="24">
        <v>44728</v>
      </c>
      <c r="L122" s="32">
        <v>3</v>
      </c>
      <c r="M122" s="14" t="s">
        <v>658</v>
      </c>
      <c r="N122" s="8"/>
      <c r="O122" s="18" t="s">
        <v>659</v>
      </c>
      <c r="P122" s="195" t="s">
        <v>660</v>
      </c>
      <c r="Q122" s="195" t="s">
        <v>4269</v>
      </c>
      <c r="R122" s="195" t="s">
        <v>661</v>
      </c>
      <c r="S122" s="195" t="s">
        <v>221</v>
      </c>
      <c r="T122" s="195">
        <v>401105</v>
      </c>
      <c r="U122" s="195" t="s">
        <v>172</v>
      </c>
      <c r="V122" s="195" t="s">
        <v>23</v>
      </c>
      <c r="W122" s="193">
        <v>2</v>
      </c>
      <c r="X122" s="195">
        <v>1</v>
      </c>
      <c r="Y122" s="195">
        <v>1</v>
      </c>
      <c r="Z122" s="195">
        <v>5</v>
      </c>
      <c r="AA122" s="193" t="s">
        <v>4118</v>
      </c>
      <c r="AB122" s="2"/>
    </row>
    <row r="123" spans="1:28" ht="15" customHeight="1">
      <c r="A123" s="16">
        <v>122</v>
      </c>
      <c r="B123" s="14" t="s">
        <v>662</v>
      </c>
      <c r="C123" s="14" t="str">
        <f>_xlfn.CONCAT(B123&amp;" "&amp;W123&amp;X123&amp;Y123&amp;Z123)</f>
        <v>Newtech Filter India P Ltd 1313</v>
      </c>
      <c r="D123" s="16">
        <v>139</v>
      </c>
      <c r="E123" s="14" t="s">
        <v>348</v>
      </c>
      <c r="F123" s="14"/>
      <c r="G123" s="14"/>
      <c r="H123" s="14"/>
      <c r="I123" s="14"/>
      <c r="J123" s="24">
        <v>44492</v>
      </c>
      <c r="K123" s="24">
        <v>44856</v>
      </c>
      <c r="L123" s="32">
        <v>3</v>
      </c>
      <c r="M123" s="14"/>
      <c r="N123" s="14"/>
      <c r="O123" s="18"/>
      <c r="P123" s="195" t="s">
        <v>663</v>
      </c>
      <c r="Q123" s="195" t="s">
        <v>4270</v>
      </c>
      <c r="R123" s="195" t="s">
        <v>664</v>
      </c>
      <c r="S123" s="195" t="s">
        <v>665</v>
      </c>
      <c r="T123" s="195">
        <v>174101</v>
      </c>
      <c r="U123" s="195" t="s">
        <v>336</v>
      </c>
      <c r="V123" s="195" t="s">
        <v>23</v>
      </c>
      <c r="W123" s="193">
        <v>1</v>
      </c>
      <c r="X123" s="195">
        <v>3</v>
      </c>
      <c r="Y123" s="195">
        <v>1</v>
      </c>
      <c r="Z123" s="195">
        <v>3</v>
      </c>
      <c r="AA123" s="193" t="s">
        <v>4118</v>
      </c>
      <c r="AB123" s="2"/>
    </row>
    <row r="124" spans="1:28" ht="15" customHeight="1">
      <c r="A124" s="16">
        <v>123</v>
      </c>
      <c r="B124" s="14" t="s">
        <v>666</v>
      </c>
      <c r="C124" s="14" t="str">
        <f>_xlfn.CONCAT(B124&amp;" "&amp;W124&amp;X124&amp;Y124&amp;Z124)</f>
        <v>Exa Thermometrics India P Ltd 8011</v>
      </c>
      <c r="D124" s="16">
        <v>138</v>
      </c>
      <c r="E124" s="14" t="s">
        <v>348</v>
      </c>
      <c r="F124" s="14"/>
      <c r="G124" s="30"/>
      <c r="H124" s="30"/>
      <c r="I124" s="30"/>
      <c r="J124" s="24"/>
      <c r="K124" s="24"/>
      <c r="L124" s="32">
        <v>3</v>
      </c>
      <c r="M124" s="14" t="s">
        <v>667</v>
      </c>
      <c r="N124" s="8"/>
      <c r="O124" s="18" t="s">
        <v>668</v>
      </c>
      <c r="P124" s="195" t="s">
        <v>648</v>
      </c>
      <c r="Q124" s="195" t="s">
        <v>4271</v>
      </c>
      <c r="R124" s="193"/>
      <c r="S124" s="195" t="s">
        <v>21</v>
      </c>
      <c r="T124" s="195">
        <v>560100</v>
      </c>
      <c r="U124" s="195" t="s">
        <v>22</v>
      </c>
      <c r="V124" s="195" t="s">
        <v>23</v>
      </c>
      <c r="W124" s="193">
        <v>8</v>
      </c>
      <c r="X124" s="195">
        <v>0</v>
      </c>
      <c r="Y124" s="195">
        <v>1</v>
      </c>
      <c r="Z124" s="195">
        <v>1</v>
      </c>
      <c r="AA124" s="193" t="s">
        <v>4118</v>
      </c>
      <c r="AB124" s="2"/>
    </row>
    <row r="125" spans="1:28" ht="15" customHeight="1">
      <c r="A125" s="16">
        <v>124</v>
      </c>
      <c r="B125" s="14" t="s">
        <v>669</v>
      </c>
      <c r="C125" s="14" t="str">
        <f>_xlfn.CONCAT(B125&amp;" "&amp;W125&amp;X125&amp;Y125&amp;Z125)</f>
        <v>Bhansali Precision (Bhansali Precision Components) 2112</v>
      </c>
      <c r="D125" s="16" t="s">
        <v>670</v>
      </c>
      <c r="E125" s="14" t="s">
        <v>90</v>
      </c>
      <c r="F125" s="14"/>
      <c r="G125" s="14"/>
      <c r="H125" s="14"/>
      <c r="I125" s="14"/>
      <c r="J125" s="24">
        <v>44362</v>
      </c>
      <c r="K125" s="24">
        <v>44726</v>
      </c>
      <c r="L125" s="32">
        <v>3</v>
      </c>
      <c r="M125" s="14" t="s">
        <v>671</v>
      </c>
      <c r="N125" s="14" t="s">
        <v>672</v>
      </c>
      <c r="O125" s="18" t="s">
        <v>673</v>
      </c>
      <c r="P125" s="195" t="s">
        <v>675</v>
      </c>
      <c r="Q125" s="195" t="s">
        <v>4272</v>
      </c>
      <c r="R125" s="195" t="s">
        <v>676</v>
      </c>
      <c r="S125" s="195" t="s">
        <v>178</v>
      </c>
      <c r="T125" s="195">
        <v>401208</v>
      </c>
      <c r="U125" s="195" t="s">
        <v>172</v>
      </c>
      <c r="V125" s="195" t="s">
        <v>23</v>
      </c>
      <c r="W125" s="193">
        <v>2</v>
      </c>
      <c r="X125" s="195">
        <v>1</v>
      </c>
      <c r="Y125" s="195">
        <v>1</v>
      </c>
      <c r="Z125" s="195">
        <v>2</v>
      </c>
      <c r="AA125" s="193" t="s">
        <v>4118</v>
      </c>
      <c r="AB125" s="2"/>
    </row>
    <row r="126" spans="1:28" ht="15" customHeight="1">
      <c r="A126" s="16">
        <v>125</v>
      </c>
      <c r="B126" s="14" t="s">
        <v>677</v>
      </c>
      <c r="C126" s="14" t="str">
        <f>_xlfn.CONCAT(B126&amp;" "&amp;W126&amp;X126&amp;Y126&amp;Z126)</f>
        <v>Smith Industrial Corporation Pvt Ltd 1162</v>
      </c>
      <c r="D126" s="16">
        <v>140</v>
      </c>
      <c r="E126" s="14" t="s">
        <v>348</v>
      </c>
      <c r="F126" s="14"/>
      <c r="G126" s="14"/>
      <c r="H126" s="14"/>
      <c r="I126" s="14"/>
      <c r="J126" s="24">
        <v>44519</v>
      </c>
      <c r="K126" s="24">
        <v>44883</v>
      </c>
      <c r="L126" s="32">
        <v>3</v>
      </c>
      <c r="M126" s="14" t="s">
        <v>678</v>
      </c>
      <c r="N126" s="14" t="s">
        <v>206</v>
      </c>
      <c r="O126" s="18" t="s">
        <v>679</v>
      </c>
      <c r="P126" s="195" t="s">
        <v>680</v>
      </c>
      <c r="Q126" s="195" t="s">
        <v>4273</v>
      </c>
      <c r="R126" s="193"/>
      <c r="S126" s="195" t="s">
        <v>681</v>
      </c>
      <c r="T126" s="195">
        <v>110092</v>
      </c>
      <c r="U126" s="195" t="s">
        <v>81</v>
      </c>
      <c r="V126" s="195" t="s">
        <v>23</v>
      </c>
      <c r="W126" s="193">
        <v>1</v>
      </c>
      <c r="X126" s="195">
        <v>1</v>
      </c>
      <c r="Y126" s="195">
        <v>6</v>
      </c>
      <c r="Z126" s="195">
        <v>2</v>
      </c>
      <c r="AA126" s="193" t="s">
        <v>4118</v>
      </c>
      <c r="AB126" s="2"/>
    </row>
    <row r="127" spans="1:28" ht="15" customHeight="1">
      <c r="A127" s="16">
        <v>126</v>
      </c>
      <c r="B127" s="14" t="s">
        <v>682</v>
      </c>
      <c r="C127" s="14" t="str">
        <f>_xlfn.CONCAT(B127&amp;" "&amp;W127&amp;X127&amp;Y127&amp;Z127)</f>
        <v>Master Moulds Pvt Ltd 2301</v>
      </c>
      <c r="D127" s="16">
        <v>146</v>
      </c>
      <c r="E127" s="14" t="s">
        <v>90</v>
      </c>
      <c r="F127" s="14"/>
      <c r="G127" s="14"/>
      <c r="H127" s="14"/>
      <c r="I127" s="14"/>
      <c r="J127" s="24">
        <v>44648</v>
      </c>
      <c r="K127" s="24">
        <v>45012</v>
      </c>
      <c r="L127" s="32">
        <v>3</v>
      </c>
      <c r="M127" s="14" t="s">
        <v>683</v>
      </c>
      <c r="N127" s="14" t="s">
        <v>71</v>
      </c>
      <c r="O127" s="18" t="s">
        <v>684</v>
      </c>
      <c r="P127" s="195" t="s">
        <v>502</v>
      </c>
      <c r="Q127" s="195" t="s">
        <v>4274</v>
      </c>
      <c r="R127" s="193"/>
      <c r="S127" s="195" t="s">
        <v>321</v>
      </c>
      <c r="T127" s="195">
        <v>422010</v>
      </c>
      <c r="U127" s="195" t="s">
        <v>172</v>
      </c>
      <c r="V127" s="195" t="s">
        <v>23</v>
      </c>
      <c r="W127" s="193">
        <v>2</v>
      </c>
      <c r="X127" s="195">
        <v>3</v>
      </c>
      <c r="Y127" s="195">
        <v>0</v>
      </c>
      <c r="Z127" s="195">
        <v>1</v>
      </c>
      <c r="AA127" s="193" t="s">
        <v>5215</v>
      </c>
      <c r="AB127" s="2"/>
    </row>
    <row r="128" spans="1:28" ht="15" customHeight="1">
      <c r="A128" s="16">
        <v>127</v>
      </c>
      <c r="B128" s="14" t="s">
        <v>685</v>
      </c>
      <c r="C128" s="14" t="str">
        <f>_xlfn.CONCAT(B128&amp;" "&amp;W128&amp;X128&amp;Y128&amp;Z128)</f>
        <v>Bosch Electrical Drives I P Ltd 4011</v>
      </c>
      <c r="D128" s="16">
        <v>149</v>
      </c>
      <c r="E128" s="14" t="s">
        <v>90</v>
      </c>
      <c r="F128" s="14"/>
      <c r="G128" s="30">
        <v>40034</v>
      </c>
      <c r="H128" s="30"/>
      <c r="I128" s="30"/>
      <c r="J128" s="24">
        <v>44630</v>
      </c>
      <c r="K128" s="24">
        <v>44994</v>
      </c>
      <c r="L128" s="32">
        <v>3</v>
      </c>
      <c r="M128" s="9" t="s">
        <v>686</v>
      </c>
      <c r="N128" s="9"/>
      <c r="O128" s="18" t="s">
        <v>687</v>
      </c>
      <c r="P128" s="195" t="s">
        <v>688</v>
      </c>
      <c r="Q128" s="195" t="s">
        <v>4275</v>
      </c>
      <c r="R128" s="195" t="s">
        <v>689</v>
      </c>
      <c r="S128" s="195" t="s">
        <v>37</v>
      </c>
      <c r="T128" s="195">
        <v>603202</v>
      </c>
      <c r="U128" s="195" t="s">
        <v>38</v>
      </c>
      <c r="V128" s="195" t="s">
        <v>23</v>
      </c>
      <c r="W128" s="193">
        <v>4</v>
      </c>
      <c r="X128" s="195">
        <v>0</v>
      </c>
      <c r="Y128" s="195">
        <v>1</v>
      </c>
      <c r="Z128" s="195">
        <v>1</v>
      </c>
      <c r="AA128" s="193" t="s">
        <v>4148</v>
      </c>
      <c r="AB128" s="2"/>
    </row>
    <row r="129" spans="1:28" ht="15" customHeight="1">
      <c r="A129" s="16">
        <v>128</v>
      </c>
      <c r="B129" s="14" t="s">
        <v>690</v>
      </c>
      <c r="C129" s="14" t="str">
        <f>_xlfn.CONCAT(B129&amp;" "&amp;W129&amp;X129&amp;Y129&amp;Z129)</f>
        <v>IP Rings Ltd (OCF Division) 4031</v>
      </c>
      <c r="D129" s="16">
        <v>142</v>
      </c>
      <c r="E129" s="14" t="s">
        <v>42</v>
      </c>
      <c r="F129" s="14"/>
      <c r="G129" s="14"/>
      <c r="H129" s="14"/>
      <c r="I129" s="14"/>
      <c r="J129" s="24">
        <v>45642</v>
      </c>
      <c r="K129" s="24">
        <v>46006</v>
      </c>
      <c r="L129" s="32">
        <v>3</v>
      </c>
      <c r="M129" s="14" t="s">
        <v>691</v>
      </c>
      <c r="N129" s="8"/>
      <c r="O129" s="18" t="s">
        <v>692</v>
      </c>
      <c r="P129" s="195" t="s">
        <v>364</v>
      </c>
      <c r="Q129" s="195" t="s">
        <v>4276</v>
      </c>
      <c r="R129" s="193"/>
      <c r="S129" s="195" t="s">
        <v>354</v>
      </c>
      <c r="T129" s="195">
        <v>603209</v>
      </c>
      <c r="U129" s="195" t="s">
        <v>38</v>
      </c>
      <c r="V129" s="195" t="s">
        <v>23</v>
      </c>
      <c r="W129" s="193">
        <v>4</v>
      </c>
      <c r="X129" s="195">
        <v>0</v>
      </c>
      <c r="Y129" s="195">
        <v>3</v>
      </c>
      <c r="Z129" s="195">
        <v>1</v>
      </c>
      <c r="AA129" s="193" t="s">
        <v>4148</v>
      </c>
      <c r="AB129" s="2"/>
    </row>
    <row r="130" spans="1:28" ht="15" customHeight="1">
      <c r="A130" s="16">
        <v>129</v>
      </c>
      <c r="B130" s="14" t="s">
        <v>693</v>
      </c>
      <c r="C130" s="14" t="str">
        <f>_xlfn.CONCAT(B130&amp;" "&amp;W130&amp;X130&amp;Y130&amp;Z130)</f>
        <v>Continental Automotive Components (I) P L 8013</v>
      </c>
      <c r="D130" s="16">
        <v>143</v>
      </c>
      <c r="E130" s="14" t="s">
        <v>450</v>
      </c>
      <c r="F130" s="14"/>
      <c r="G130" s="14"/>
      <c r="H130" s="14"/>
      <c r="I130" s="14"/>
      <c r="J130" s="24"/>
      <c r="K130" s="24"/>
      <c r="L130" s="32">
        <v>3</v>
      </c>
      <c r="M130" s="14" t="s">
        <v>694</v>
      </c>
      <c r="N130" s="14" t="s">
        <v>695</v>
      </c>
      <c r="O130" s="18" t="s">
        <v>696</v>
      </c>
      <c r="P130" s="195" t="s">
        <v>697</v>
      </c>
      <c r="Q130" s="195" t="s">
        <v>4277</v>
      </c>
      <c r="R130" s="195" t="s">
        <v>166</v>
      </c>
      <c r="S130" s="195" t="s">
        <v>21</v>
      </c>
      <c r="T130" s="195">
        <v>560009</v>
      </c>
      <c r="U130" s="195" t="s">
        <v>22</v>
      </c>
      <c r="V130" s="195" t="s">
        <v>23</v>
      </c>
      <c r="W130" s="193">
        <v>8</v>
      </c>
      <c r="X130" s="195">
        <v>0</v>
      </c>
      <c r="Y130" s="195">
        <v>1</v>
      </c>
      <c r="Z130" s="195">
        <v>3</v>
      </c>
      <c r="AA130" s="193" t="s">
        <v>4118</v>
      </c>
      <c r="AB130" s="2"/>
    </row>
    <row r="131" spans="1:28" ht="15" customHeight="1">
      <c r="A131" s="16">
        <v>130</v>
      </c>
      <c r="B131" s="14" t="s">
        <v>698</v>
      </c>
      <c r="C131" s="14" t="str">
        <f>_xlfn.CONCAT(B131&amp;" "&amp;W131&amp;X131&amp;Y131&amp;Z131)</f>
        <v>Elgi Equipments Ltd 4131</v>
      </c>
      <c r="D131" s="16">
        <v>137</v>
      </c>
      <c r="E131" s="14" t="s">
        <v>42</v>
      </c>
      <c r="F131" s="14"/>
      <c r="G131" s="14"/>
      <c r="H131" s="14"/>
      <c r="I131" s="14"/>
      <c r="J131" s="24">
        <v>43578</v>
      </c>
      <c r="K131" s="24">
        <v>43943</v>
      </c>
      <c r="L131" s="32">
        <v>3</v>
      </c>
      <c r="M131" s="14" t="s">
        <v>699</v>
      </c>
      <c r="N131" s="8"/>
      <c r="O131" s="18" t="s">
        <v>700</v>
      </c>
      <c r="P131" s="195" t="s">
        <v>701</v>
      </c>
      <c r="Q131" s="195" t="s">
        <v>4278</v>
      </c>
      <c r="R131" s="193"/>
      <c r="S131" s="195" t="s">
        <v>101</v>
      </c>
      <c r="T131" s="195">
        <v>641005</v>
      </c>
      <c r="U131" s="195" t="s">
        <v>38</v>
      </c>
      <c r="V131" s="195" t="s">
        <v>23</v>
      </c>
      <c r="W131" s="193">
        <v>4</v>
      </c>
      <c r="X131" s="195">
        <v>1</v>
      </c>
      <c r="Y131" s="195">
        <v>3</v>
      </c>
      <c r="Z131" s="195">
        <v>1</v>
      </c>
      <c r="AA131" s="193" t="s">
        <v>4148</v>
      </c>
      <c r="AB131" s="2"/>
    </row>
    <row r="132" spans="1:28" ht="15" customHeight="1">
      <c r="A132" s="16">
        <v>131</v>
      </c>
      <c r="B132" s="14" t="s">
        <v>702</v>
      </c>
      <c r="C132" s="14" t="str">
        <f>_xlfn.CONCAT(B132&amp;" "&amp;W132&amp;X132&amp;Y132&amp;Z132)</f>
        <v>Right Industries (Numann Industries) 8013</v>
      </c>
      <c r="D132" s="16">
        <v>148</v>
      </c>
      <c r="E132" s="14" t="s">
        <v>42</v>
      </c>
      <c r="F132" s="14"/>
      <c r="G132" s="14"/>
      <c r="H132" s="14"/>
      <c r="I132" s="14"/>
      <c r="J132" s="24">
        <v>44539</v>
      </c>
      <c r="K132" s="24">
        <v>44903</v>
      </c>
      <c r="L132" s="32">
        <v>3</v>
      </c>
      <c r="M132" s="14"/>
      <c r="N132" s="14"/>
      <c r="O132" s="18"/>
      <c r="P132" s="195" t="s">
        <v>703</v>
      </c>
      <c r="Q132" s="195" t="s">
        <v>4279</v>
      </c>
      <c r="R132" s="193" t="s">
        <v>704</v>
      </c>
      <c r="S132" s="195" t="s">
        <v>121</v>
      </c>
      <c r="T132" s="195">
        <v>635126</v>
      </c>
      <c r="U132" s="195" t="s">
        <v>38</v>
      </c>
      <c r="V132" s="195" t="s">
        <v>23</v>
      </c>
      <c r="W132" s="193">
        <v>8</v>
      </c>
      <c r="X132" s="195">
        <v>0</v>
      </c>
      <c r="Y132" s="195">
        <v>1</v>
      </c>
      <c r="Z132" s="195">
        <v>3</v>
      </c>
      <c r="AA132" s="193" t="s">
        <v>4118</v>
      </c>
      <c r="AB132" s="2"/>
    </row>
    <row r="133" spans="1:28" ht="15" customHeight="1">
      <c r="A133" s="16">
        <v>132</v>
      </c>
      <c r="B133" s="14" t="s">
        <v>705</v>
      </c>
      <c r="C133" s="14" t="str">
        <f>_xlfn.CONCAT(B133&amp;" "&amp;W133&amp;X133&amp;Y133&amp;Z133)</f>
        <v>Ess Enn Auto CNC P Ltd 8051</v>
      </c>
      <c r="D133" s="16">
        <v>151</v>
      </c>
      <c r="E133" s="14" t="s">
        <v>42</v>
      </c>
      <c r="F133" s="14"/>
      <c r="G133" s="14"/>
      <c r="H133" s="14"/>
      <c r="I133" s="14"/>
      <c r="J133" s="24">
        <v>44631</v>
      </c>
      <c r="K133" s="24">
        <v>44995</v>
      </c>
      <c r="L133" s="32">
        <v>3</v>
      </c>
      <c r="M133" s="14" t="s">
        <v>706</v>
      </c>
      <c r="N133" s="14" t="s">
        <v>339</v>
      </c>
      <c r="O133" s="18" t="s">
        <v>707</v>
      </c>
      <c r="P133" s="195" t="s">
        <v>708</v>
      </c>
      <c r="Q133" s="195" t="s">
        <v>4280</v>
      </c>
      <c r="R133" s="195" t="s">
        <v>709</v>
      </c>
      <c r="S133" s="195" t="s">
        <v>21</v>
      </c>
      <c r="T133" s="195">
        <v>560079</v>
      </c>
      <c r="U133" s="195" t="s">
        <v>22</v>
      </c>
      <c r="V133" s="195" t="s">
        <v>23</v>
      </c>
      <c r="W133" s="193">
        <v>8</v>
      </c>
      <c r="X133" s="195">
        <v>0</v>
      </c>
      <c r="Y133" s="195">
        <v>5</v>
      </c>
      <c r="Z133" s="195">
        <v>1</v>
      </c>
      <c r="AA133" s="193" t="s">
        <v>4118</v>
      </c>
      <c r="AB133" s="2"/>
    </row>
    <row r="134" spans="1:28" ht="15" customHeight="1">
      <c r="A134" s="16">
        <v>133</v>
      </c>
      <c r="B134" s="14" t="s">
        <v>710</v>
      </c>
      <c r="C134" s="14" t="str">
        <f>_xlfn.CONCAT(B134&amp;" "&amp;W134&amp;X134&amp;Y134&amp;Z134)</f>
        <v>Samit Writing Alds P Ltd 2114</v>
      </c>
      <c r="D134" s="16">
        <v>144</v>
      </c>
      <c r="E134" s="14" t="s">
        <v>42</v>
      </c>
      <c r="F134" s="14"/>
      <c r="G134" s="14"/>
      <c r="H134" s="14"/>
      <c r="I134" s="14"/>
      <c r="J134" s="24"/>
      <c r="K134" s="24"/>
      <c r="L134" s="32">
        <v>3</v>
      </c>
      <c r="M134" s="14" t="s">
        <v>711</v>
      </c>
      <c r="N134" s="14" t="s">
        <v>71</v>
      </c>
      <c r="O134" s="18" t="s">
        <v>712</v>
      </c>
      <c r="P134" s="195" t="s">
        <v>713</v>
      </c>
      <c r="Q134" s="195" t="s">
        <v>4281</v>
      </c>
      <c r="R134" s="195" t="s">
        <v>714</v>
      </c>
      <c r="S134" s="195" t="s">
        <v>221</v>
      </c>
      <c r="T134" s="195">
        <v>400062</v>
      </c>
      <c r="U134" s="195" t="s">
        <v>172</v>
      </c>
      <c r="V134" s="195" t="s">
        <v>23</v>
      </c>
      <c r="W134" s="193">
        <v>2</v>
      </c>
      <c r="X134" s="195">
        <v>1</v>
      </c>
      <c r="Y134" s="195">
        <v>1</v>
      </c>
      <c r="Z134" s="195">
        <v>4</v>
      </c>
      <c r="AA134" s="193" t="s">
        <v>4148</v>
      </c>
      <c r="AB134" s="2"/>
    </row>
    <row r="135" spans="1:28" ht="15" customHeight="1">
      <c r="A135" s="16">
        <v>134</v>
      </c>
      <c r="B135" s="14" t="s">
        <v>715</v>
      </c>
      <c r="C135" s="14" t="str">
        <f>_xlfn.CONCAT(B135&amp;" "&amp;W135&amp;X135&amp;Y135&amp;Z135)</f>
        <v>Robert Bosch Engg &amp; Business Solns Ltd 8012</v>
      </c>
      <c r="D135" s="16">
        <v>147</v>
      </c>
      <c r="E135" s="14" t="s">
        <v>42</v>
      </c>
      <c r="F135" s="14"/>
      <c r="G135" s="14"/>
      <c r="H135" s="14"/>
      <c r="I135" s="14"/>
      <c r="J135" s="24"/>
      <c r="K135" s="24"/>
      <c r="L135" s="32">
        <v>3</v>
      </c>
      <c r="M135" s="14" t="s">
        <v>716</v>
      </c>
      <c r="N135" s="8"/>
      <c r="O135" s="18" t="s">
        <v>717</v>
      </c>
      <c r="P135" s="195" t="s">
        <v>718</v>
      </c>
      <c r="Q135" s="195" t="s">
        <v>4282</v>
      </c>
      <c r="R135" s="195" t="s">
        <v>719</v>
      </c>
      <c r="S135" s="195" t="s">
        <v>21</v>
      </c>
      <c r="T135" s="195">
        <v>562068</v>
      </c>
      <c r="U135" s="195" t="s">
        <v>22</v>
      </c>
      <c r="V135" s="195" t="s">
        <v>23</v>
      </c>
      <c r="W135" s="193">
        <v>8</v>
      </c>
      <c r="X135" s="195">
        <v>0</v>
      </c>
      <c r="Y135" s="195">
        <v>1</v>
      </c>
      <c r="Z135" s="195">
        <v>2</v>
      </c>
      <c r="AA135" s="193" t="s">
        <v>4118</v>
      </c>
      <c r="AB135" s="2"/>
    </row>
    <row r="136" spans="1:28" ht="15" customHeight="1">
      <c r="A136" s="16">
        <v>135</v>
      </c>
      <c r="B136" s="14" t="s">
        <v>720</v>
      </c>
      <c r="C136" s="14" t="str">
        <f>_xlfn.CONCAT(B136&amp;" "&amp;W136&amp;X136&amp;Y136&amp;Z136)</f>
        <v>Micro Plastics 8021</v>
      </c>
      <c r="D136" s="16">
        <v>153</v>
      </c>
      <c r="E136" s="14" t="s">
        <v>42</v>
      </c>
      <c r="F136" s="14"/>
      <c r="G136" s="14"/>
      <c r="H136" s="14"/>
      <c r="I136" s="14"/>
      <c r="J136" s="24">
        <v>44494</v>
      </c>
      <c r="K136" s="24">
        <v>44858</v>
      </c>
      <c r="L136" s="32">
        <v>3</v>
      </c>
      <c r="M136" s="14" t="s">
        <v>721</v>
      </c>
      <c r="N136" s="14" t="s">
        <v>722</v>
      </c>
      <c r="O136" s="18" t="s">
        <v>723</v>
      </c>
      <c r="P136" s="195" t="s">
        <v>724</v>
      </c>
      <c r="Q136" s="195" t="s">
        <v>4283</v>
      </c>
      <c r="R136" s="195" t="s">
        <v>725</v>
      </c>
      <c r="S136" s="195" t="s">
        <v>21</v>
      </c>
      <c r="T136" s="195">
        <v>560106</v>
      </c>
      <c r="U136" s="195" t="s">
        <v>22</v>
      </c>
      <c r="V136" s="195" t="s">
        <v>23</v>
      </c>
      <c r="W136" s="193">
        <v>8</v>
      </c>
      <c r="X136" s="195">
        <v>0</v>
      </c>
      <c r="Y136" s="195">
        <v>2</v>
      </c>
      <c r="Z136" s="195">
        <v>1</v>
      </c>
      <c r="AA136" s="193" t="s">
        <v>4118</v>
      </c>
      <c r="AB136" s="2"/>
    </row>
    <row r="137" spans="1:28" ht="15" customHeight="1">
      <c r="A137" s="16">
        <v>136</v>
      </c>
      <c r="B137" s="14" t="s">
        <v>726</v>
      </c>
      <c r="C137" s="14" t="str">
        <f>_xlfn.CONCAT(B137&amp;" "&amp;W137&amp;X137&amp;Y137&amp;Z137)</f>
        <v>Tex Tech Industries (India) Pvt Ltd 4112</v>
      </c>
      <c r="D137" s="16">
        <v>155</v>
      </c>
      <c r="E137" s="14" t="s">
        <v>90</v>
      </c>
      <c r="F137" s="14"/>
      <c r="G137" s="30">
        <v>40117</v>
      </c>
      <c r="H137" s="30"/>
      <c r="I137" s="30"/>
      <c r="J137" s="24"/>
      <c r="K137" s="24"/>
      <c r="L137" s="32">
        <v>3</v>
      </c>
      <c r="M137" s="14" t="s">
        <v>727</v>
      </c>
      <c r="N137" s="14" t="s">
        <v>28</v>
      </c>
      <c r="O137" s="18" t="s">
        <v>728</v>
      </c>
      <c r="P137" s="195" t="s">
        <v>729</v>
      </c>
      <c r="Q137" s="195" t="s">
        <v>4284</v>
      </c>
      <c r="R137" s="195" t="s">
        <v>730</v>
      </c>
      <c r="S137" s="195" t="s">
        <v>101</v>
      </c>
      <c r="T137" s="195">
        <v>641004</v>
      </c>
      <c r="U137" s="195" t="s">
        <v>38</v>
      </c>
      <c r="V137" s="195" t="s">
        <v>23</v>
      </c>
      <c r="W137" s="193">
        <v>4</v>
      </c>
      <c r="X137" s="195">
        <v>1</v>
      </c>
      <c r="Y137" s="195">
        <v>1</v>
      </c>
      <c r="Z137" s="195">
        <v>2</v>
      </c>
      <c r="AA137" s="193" t="s">
        <v>4148</v>
      </c>
      <c r="AB137" s="2"/>
    </row>
    <row r="138" spans="1:28" ht="15" customHeight="1">
      <c r="A138" s="16">
        <v>137</v>
      </c>
      <c r="B138" s="14" t="s">
        <v>732</v>
      </c>
      <c r="C138" s="14" t="str">
        <f>_xlfn.CONCAT(B138&amp;" "&amp;W138&amp;X138&amp;Y138&amp;Z138)</f>
        <v>Rytiks Auto P Ltd 4041</v>
      </c>
      <c r="D138" s="16">
        <v>152</v>
      </c>
      <c r="E138" s="14" t="s">
        <v>42</v>
      </c>
      <c r="F138" s="14"/>
      <c r="G138" s="14"/>
      <c r="H138" s="14"/>
      <c r="I138" s="14"/>
      <c r="J138" s="24"/>
      <c r="K138" s="24"/>
      <c r="L138" s="32">
        <v>3</v>
      </c>
      <c r="M138" s="9" t="s">
        <v>733</v>
      </c>
      <c r="N138" s="9"/>
      <c r="O138" s="18" t="s">
        <v>734</v>
      </c>
      <c r="P138" s="195" t="s">
        <v>735</v>
      </c>
      <c r="Q138" s="195" t="s">
        <v>4285</v>
      </c>
      <c r="R138" s="193"/>
      <c r="S138" s="195" t="s">
        <v>37</v>
      </c>
      <c r="T138" s="195">
        <v>600049</v>
      </c>
      <c r="U138" s="195" t="s">
        <v>38</v>
      </c>
      <c r="V138" s="195" t="s">
        <v>23</v>
      </c>
      <c r="W138" s="193">
        <v>4</v>
      </c>
      <c r="X138" s="195">
        <v>0</v>
      </c>
      <c r="Y138" s="195">
        <v>4</v>
      </c>
      <c r="Z138" s="195">
        <v>1</v>
      </c>
      <c r="AA138" s="193" t="s">
        <v>4148</v>
      </c>
      <c r="AB138" s="2"/>
    </row>
    <row r="139" spans="1:28" ht="15" customHeight="1">
      <c r="A139" s="16">
        <v>138</v>
      </c>
      <c r="B139" s="14" t="s">
        <v>736</v>
      </c>
      <c r="C139" s="14" t="str">
        <f>_xlfn.CONCAT(B139&amp;" "&amp;W139&amp;X139&amp;Y139&amp;Z139)</f>
        <v>Uni - Automation (I)P Ltd 2411</v>
      </c>
      <c r="D139" s="16">
        <v>150</v>
      </c>
      <c r="E139" s="14" t="s">
        <v>42</v>
      </c>
      <c r="F139" s="14"/>
      <c r="G139" s="14"/>
      <c r="H139" s="14"/>
      <c r="I139" s="14"/>
      <c r="J139" s="24">
        <v>44475</v>
      </c>
      <c r="K139" s="24">
        <v>44839</v>
      </c>
      <c r="L139" s="32">
        <v>3</v>
      </c>
      <c r="M139" s="14" t="s">
        <v>737</v>
      </c>
      <c r="N139" s="14" t="s">
        <v>339</v>
      </c>
      <c r="O139" s="18" t="s">
        <v>738</v>
      </c>
      <c r="P139" s="195" t="s">
        <v>739</v>
      </c>
      <c r="Q139" s="195" t="s">
        <v>4286</v>
      </c>
      <c r="R139" s="195" t="s">
        <v>740</v>
      </c>
      <c r="S139" s="195" t="s">
        <v>215</v>
      </c>
      <c r="T139" s="195">
        <v>411009</v>
      </c>
      <c r="U139" s="195" t="s">
        <v>172</v>
      </c>
      <c r="V139" s="195" t="s">
        <v>23</v>
      </c>
      <c r="W139" s="193">
        <v>2</v>
      </c>
      <c r="X139" s="195">
        <v>4</v>
      </c>
      <c r="Y139" s="195">
        <v>1</v>
      </c>
      <c r="Z139" s="195">
        <v>1</v>
      </c>
      <c r="AA139" s="193" t="s">
        <v>4150</v>
      </c>
      <c r="AB139" s="2"/>
    </row>
    <row r="140" spans="1:28" ht="15" customHeight="1">
      <c r="A140" s="16">
        <v>139</v>
      </c>
      <c r="B140" s="14" t="s">
        <v>110</v>
      </c>
      <c r="C140" s="14" t="str">
        <f>_xlfn.CONCAT(B140&amp;" "&amp;W140&amp;X140&amp;Y140&amp;Z140)</f>
        <v>Bosch Limited 4102</v>
      </c>
      <c r="D140" s="16">
        <v>157</v>
      </c>
      <c r="E140" s="14" t="s">
        <v>42</v>
      </c>
      <c r="F140" s="14"/>
      <c r="G140" s="14"/>
      <c r="H140" s="14"/>
      <c r="I140" s="14"/>
      <c r="J140" s="24">
        <v>44595</v>
      </c>
      <c r="K140" s="24">
        <v>44959</v>
      </c>
      <c r="L140" s="32">
        <v>3</v>
      </c>
      <c r="M140" s="14" t="s">
        <v>741</v>
      </c>
      <c r="N140" s="8"/>
      <c r="O140" s="18" t="s">
        <v>742</v>
      </c>
      <c r="P140" s="195" t="s">
        <v>743</v>
      </c>
      <c r="Q140" s="195" t="s">
        <v>4287</v>
      </c>
      <c r="R140" s="195"/>
      <c r="S140" s="195" t="s">
        <v>744</v>
      </c>
      <c r="T140" s="195">
        <v>627352</v>
      </c>
      <c r="U140" s="195" t="s">
        <v>38</v>
      </c>
      <c r="V140" s="195" t="s">
        <v>23</v>
      </c>
      <c r="W140" s="193">
        <v>4</v>
      </c>
      <c r="X140" s="195">
        <v>1</v>
      </c>
      <c r="Y140" s="195">
        <v>0</v>
      </c>
      <c r="Z140" s="195">
        <v>2</v>
      </c>
      <c r="AA140" s="193" t="s">
        <v>4148</v>
      </c>
      <c r="AB140" s="2"/>
    </row>
    <row r="141" spans="1:28" ht="15" customHeight="1">
      <c r="A141" s="16">
        <v>140</v>
      </c>
      <c r="B141" s="14" t="s">
        <v>745</v>
      </c>
      <c r="C141" s="14" t="str">
        <f>_xlfn.CONCAT(B141&amp;" "&amp;W141&amp;X141&amp;Y141&amp;Z141)</f>
        <v>Otto Bilz (I) P Ltd 8061</v>
      </c>
      <c r="D141" s="16">
        <v>994</v>
      </c>
      <c r="E141" s="14" t="s">
        <v>42</v>
      </c>
      <c r="F141" s="14"/>
      <c r="G141" s="30">
        <v>44572</v>
      </c>
      <c r="H141" s="30"/>
      <c r="I141" s="30"/>
      <c r="J141" s="24">
        <v>44572</v>
      </c>
      <c r="K141" s="24">
        <v>44936</v>
      </c>
      <c r="L141" s="32">
        <v>3</v>
      </c>
      <c r="M141" s="14" t="s">
        <v>746</v>
      </c>
      <c r="N141" s="14" t="s">
        <v>747</v>
      </c>
      <c r="O141" s="18" t="s">
        <v>748</v>
      </c>
      <c r="P141" s="195" t="s">
        <v>749</v>
      </c>
      <c r="Q141" s="195" t="s">
        <v>4288</v>
      </c>
      <c r="R141" s="193"/>
      <c r="S141" s="195" t="s">
        <v>21</v>
      </c>
      <c r="T141" s="195">
        <v>561203</v>
      </c>
      <c r="U141" s="195" t="s">
        <v>22</v>
      </c>
      <c r="V141" s="195" t="s">
        <v>23</v>
      </c>
      <c r="W141" s="193">
        <v>8</v>
      </c>
      <c r="X141" s="195">
        <v>0</v>
      </c>
      <c r="Y141" s="195">
        <v>6</v>
      </c>
      <c r="Z141" s="195">
        <v>1</v>
      </c>
      <c r="AA141" s="193" t="s">
        <v>4118</v>
      </c>
      <c r="AB141" s="2"/>
    </row>
    <row r="142" spans="1:28" ht="15" customHeight="1">
      <c r="A142" s="16">
        <v>141</v>
      </c>
      <c r="B142" s="14" t="s">
        <v>110</v>
      </c>
      <c r="C142" s="14" t="str">
        <f>_xlfn.CONCAT(B142&amp;" "&amp;W142&amp;X142&amp;Y142&amp;Z142)</f>
        <v>Bosch Limited 8011</v>
      </c>
      <c r="D142" s="16" t="s">
        <v>5222</v>
      </c>
      <c r="E142" s="14"/>
      <c r="F142" s="14"/>
      <c r="G142" s="14"/>
      <c r="H142" s="14"/>
      <c r="I142" s="14"/>
      <c r="J142" s="24"/>
      <c r="K142" s="24"/>
      <c r="L142" s="32">
        <v>3</v>
      </c>
      <c r="M142" s="14" t="s">
        <v>751</v>
      </c>
      <c r="N142" s="14" t="s">
        <v>752</v>
      </c>
      <c r="O142" s="18" t="s">
        <v>753</v>
      </c>
      <c r="P142" s="195" t="s">
        <v>754</v>
      </c>
      <c r="Q142" s="195" t="s">
        <v>4289</v>
      </c>
      <c r="R142" s="193"/>
      <c r="S142" s="195" t="s">
        <v>21</v>
      </c>
      <c r="T142" s="195">
        <v>560030</v>
      </c>
      <c r="U142" s="195" t="s">
        <v>22</v>
      </c>
      <c r="V142" s="195" t="s">
        <v>23</v>
      </c>
      <c r="W142" s="193">
        <v>8</v>
      </c>
      <c r="X142" s="195">
        <v>0</v>
      </c>
      <c r="Y142" s="195">
        <v>1</v>
      </c>
      <c r="Z142" s="195">
        <v>1</v>
      </c>
      <c r="AA142" s="193" t="s">
        <v>4118</v>
      </c>
      <c r="AB142" s="2"/>
    </row>
    <row r="143" spans="1:28" ht="15" customHeight="1">
      <c r="A143" s="16">
        <v>142</v>
      </c>
      <c r="B143" s="14" t="s">
        <v>110</v>
      </c>
      <c r="C143" s="14" t="str">
        <f>_xlfn.CONCAT(B143&amp;" "&amp;W143&amp;X143&amp;Y143&amp;Z143)</f>
        <v>Bosch Limited 1015</v>
      </c>
      <c r="D143" s="16">
        <v>161</v>
      </c>
      <c r="E143" s="14" t="s">
        <v>42</v>
      </c>
      <c r="F143" s="14"/>
      <c r="G143" s="30">
        <v>40164</v>
      </c>
      <c r="H143" s="30"/>
      <c r="I143" s="30"/>
      <c r="J143" s="24"/>
      <c r="K143" s="24"/>
      <c r="L143" s="32">
        <v>3</v>
      </c>
      <c r="M143" s="14" t="s">
        <v>755</v>
      </c>
      <c r="N143" s="14" t="s">
        <v>756</v>
      </c>
      <c r="O143" s="18" t="s">
        <v>757</v>
      </c>
      <c r="P143" s="195" t="s">
        <v>758</v>
      </c>
      <c r="Q143" s="195" t="s">
        <v>4290</v>
      </c>
      <c r="R143" s="193"/>
      <c r="S143" s="195" t="s">
        <v>759</v>
      </c>
      <c r="T143" s="195">
        <v>302022</v>
      </c>
      <c r="U143" s="195" t="s">
        <v>74</v>
      </c>
      <c r="V143" s="195" t="s">
        <v>23</v>
      </c>
      <c r="W143" s="193">
        <v>1</v>
      </c>
      <c r="X143" s="195">
        <v>0</v>
      </c>
      <c r="Y143" s="195">
        <v>1</v>
      </c>
      <c r="Z143" s="195">
        <v>5</v>
      </c>
      <c r="AA143" s="193" t="s">
        <v>4118</v>
      </c>
      <c r="AB143" s="2"/>
    </row>
    <row r="144" spans="1:28" ht="15" customHeight="1">
      <c r="A144" s="16">
        <v>143</v>
      </c>
      <c r="B144" s="14" t="s">
        <v>110</v>
      </c>
      <c r="C144" s="14" t="str">
        <f>_xlfn.CONCAT(B144&amp;" "&amp;W144&amp;X144&amp;Y144&amp;Z144)</f>
        <v>Bosch Limited 1015</v>
      </c>
      <c r="D144" s="16">
        <v>165</v>
      </c>
      <c r="E144" s="14" t="s">
        <v>42</v>
      </c>
      <c r="F144" s="14"/>
      <c r="G144" s="30">
        <v>40171</v>
      </c>
      <c r="H144" s="30"/>
      <c r="I144" s="30"/>
      <c r="J144" s="24"/>
      <c r="K144" s="24"/>
      <c r="L144" s="32">
        <v>3</v>
      </c>
      <c r="M144" s="14" t="s">
        <v>760</v>
      </c>
      <c r="N144" s="14" t="s">
        <v>761</v>
      </c>
      <c r="O144" s="18" t="s">
        <v>762</v>
      </c>
      <c r="P144" s="195" t="s">
        <v>758</v>
      </c>
      <c r="Q144" s="195" t="s">
        <v>4290</v>
      </c>
      <c r="R144" s="193"/>
      <c r="S144" s="195" t="s">
        <v>759</v>
      </c>
      <c r="T144" s="195">
        <v>302022</v>
      </c>
      <c r="U144" s="195" t="s">
        <v>74</v>
      </c>
      <c r="V144" s="195" t="s">
        <v>23</v>
      </c>
      <c r="W144" s="193">
        <v>1</v>
      </c>
      <c r="X144" s="195">
        <v>0</v>
      </c>
      <c r="Y144" s="195">
        <v>1</v>
      </c>
      <c r="Z144" s="195">
        <v>5</v>
      </c>
      <c r="AA144" s="193" t="s">
        <v>4118</v>
      </c>
      <c r="AB144" s="2"/>
    </row>
    <row r="145" spans="1:28" ht="15" customHeight="1">
      <c r="A145" s="16">
        <v>144</v>
      </c>
      <c r="B145" s="14" t="s">
        <v>252</v>
      </c>
      <c r="C145" s="14" t="str">
        <f>_xlfn.CONCAT(B145&amp;" "&amp;W145&amp;X145&amp;Y145&amp;Z145)</f>
        <v>Dalal Plastic Corporation 2222</v>
      </c>
      <c r="D145" s="16">
        <v>50</v>
      </c>
      <c r="E145" s="14" t="s">
        <v>49</v>
      </c>
      <c r="F145" s="14"/>
      <c r="G145" s="14"/>
      <c r="H145" s="14"/>
      <c r="I145" s="14"/>
      <c r="J145" s="24">
        <v>44387</v>
      </c>
      <c r="K145" s="24">
        <v>44751</v>
      </c>
      <c r="L145" s="32">
        <v>3</v>
      </c>
      <c r="M145" s="14" t="s">
        <v>763</v>
      </c>
      <c r="N145" s="14" t="s">
        <v>151</v>
      </c>
      <c r="O145" s="18" t="s">
        <v>764</v>
      </c>
      <c r="P145" s="195" t="s">
        <v>765</v>
      </c>
      <c r="Q145" s="195" t="s">
        <v>4291</v>
      </c>
      <c r="R145" s="195" t="s">
        <v>177</v>
      </c>
      <c r="S145" s="195" t="s">
        <v>221</v>
      </c>
      <c r="T145" s="195">
        <v>401604</v>
      </c>
      <c r="U145" s="195" t="s">
        <v>172</v>
      </c>
      <c r="V145" s="195" t="s">
        <v>23</v>
      </c>
      <c r="W145" s="193">
        <v>2</v>
      </c>
      <c r="X145" s="195">
        <v>2</v>
      </c>
      <c r="Y145" s="195">
        <v>2</v>
      </c>
      <c r="Z145" s="195">
        <v>2</v>
      </c>
      <c r="AA145" s="193" t="s">
        <v>4118</v>
      </c>
      <c r="AB145" s="2"/>
    </row>
    <row r="146" spans="1:28" ht="15" customHeight="1">
      <c r="A146" s="16">
        <v>145</v>
      </c>
      <c r="B146" s="14" t="s">
        <v>766</v>
      </c>
      <c r="C146" s="14" t="str">
        <f>_xlfn.CONCAT(B146&amp;" "&amp;W146&amp;X146&amp;Y146&amp;Z146)</f>
        <v>Ujwal Industries 2222</v>
      </c>
      <c r="D146" s="16">
        <v>168</v>
      </c>
      <c r="E146" s="14" t="s">
        <v>348</v>
      </c>
      <c r="F146" s="14"/>
      <c r="G146" s="14"/>
      <c r="H146" s="14"/>
      <c r="I146" s="14"/>
      <c r="J146" s="24">
        <v>45891</v>
      </c>
      <c r="K146" s="24">
        <v>46255</v>
      </c>
      <c r="L146" s="32">
        <v>3</v>
      </c>
      <c r="M146" s="9" t="s">
        <v>767</v>
      </c>
      <c r="N146" s="9"/>
      <c r="O146" s="18" t="s">
        <v>768</v>
      </c>
      <c r="P146" s="195" t="s">
        <v>769</v>
      </c>
      <c r="Q146" s="195" t="s">
        <v>4292</v>
      </c>
      <c r="R146" s="195" t="s">
        <v>177</v>
      </c>
      <c r="S146" s="195" t="s">
        <v>221</v>
      </c>
      <c r="T146" s="195">
        <v>421204</v>
      </c>
      <c r="U146" s="195" t="s">
        <v>172</v>
      </c>
      <c r="V146" s="195" t="s">
        <v>23</v>
      </c>
      <c r="W146" s="193">
        <v>2</v>
      </c>
      <c r="X146" s="195">
        <v>2</v>
      </c>
      <c r="Y146" s="195">
        <v>2</v>
      </c>
      <c r="Z146" s="195">
        <v>2</v>
      </c>
      <c r="AA146" s="193" t="s">
        <v>4118</v>
      </c>
      <c r="AB146" s="2"/>
    </row>
    <row r="147" spans="1:28" ht="15" customHeight="1">
      <c r="A147" s="16">
        <v>146</v>
      </c>
      <c r="B147" s="14" t="s">
        <v>116</v>
      </c>
      <c r="C147" s="14" t="str">
        <f>_xlfn.CONCAT(B147&amp;" "&amp;W147&amp;X147&amp;Y147&amp;Z147)</f>
        <v>SSF Plastics India Pvt Ltd 2111</v>
      </c>
      <c r="D147" s="16">
        <v>101</v>
      </c>
      <c r="E147" s="14" t="s">
        <v>42</v>
      </c>
      <c r="F147" s="14"/>
      <c r="G147" s="14"/>
      <c r="H147" s="14"/>
      <c r="I147" s="14"/>
      <c r="J147" s="24">
        <v>43795</v>
      </c>
      <c r="K147" s="24">
        <v>44160</v>
      </c>
      <c r="L147" s="32">
        <v>3</v>
      </c>
      <c r="M147" s="14" t="s">
        <v>770</v>
      </c>
      <c r="N147" s="14"/>
      <c r="O147" s="18">
        <v>7980454359</v>
      </c>
      <c r="P147" s="15" t="s">
        <v>771</v>
      </c>
      <c r="Q147" s="15" t="s">
        <v>4293</v>
      </c>
      <c r="R147" s="15" t="s">
        <v>772</v>
      </c>
      <c r="S147" s="195" t="s">
        <v>773</v>
      </c>
      <c r="T147" s="195">
        <v>396210</v>
      </c>
      <c r="U147" s="195" t="s">
        <v>774</v>
      </c>
      <c r="V147" s="195" t="s">
        <v>23</v>
      </c>
      <c r="W147" s="193">
        <v>2</v>
      </c>
      <c r="X147" s="195">
        <v>1</v>
      </c>
      <c r="Y147" s="195">
        <v>1</v>
      </c>
      <c r="Z147" s="195">
        <v>1</v>
      </c>
      <c r="AA147" s="193" t="s">
        <v>4118</v>
      </c>
      <c r="AB147" s="2"/>
    </row>
    <row r="148" spans="1:28" ht="15" customHeight="1">
      <c r="A148" s="16">
        <v>147</v>
      </c>
      <c r="B148" s="14" t="s">
        <v>776</v>
      </c>
      <c r="C148" s="14" t="str">
        <f>_xlfn.CONCAT(B148&amp;" "&amp;W148&amp;X148&amp;Y148&amp;Z148)</f>
        <v>Vedika Machinery P Ltd 8005</v>
      </c>
      <c r="D148" s="16">
        <v>169</v>
      </c>
      <c r="E148" s="14" t="s">
        <v>42</v>
      </c>
      <c r="F148" s="14"/>
      <c r="G148" s="14"/>
      <c r="H148" s="14"/>
      <c r="I148" s="14"/>
      <c r="J148" s="24"/>
      <c r="K148" s="24"/>
      <c r="L148" s="32">
        <v>3</v>
      </c>
      <c r="M148" s="14" t="s">
        <v>777</v>
      </c>
      <c r="N148" s="14" t="s">
        <v>71</v>
      </c>
      <c r="O148" s="18" t="s">
        <v>778</v>
      </c>
      <c r="P148" s="15"/>
      <c r="Q148" s="15" t="s">
        <v>4294</v>
      </c>
      <c r="R148" s="193"/>
      <c r="S148" s="195" t="s">
        <v>327</v>
      </c>
      <c r="T148" s="195">
        <v>700017</v>
      </c>
      <c r="U148" s="195" t="s">
        <v>328</v>
      </c>
      <c r="V148" s="195" t="s">
        <v>23</v>
      </c>
      <c r="W148" s="193">
        <v>8</v>
      </c>
      <c r="X148" s="195">
        <v>0</v>
      </c>
      <c r="Y148" s="195">
        <v>0</v>
      </c>
      <c r="Z148" s="195">
        <v>5</v>
      </c>
      <c r="AA148" s="193" t="s">
        <v>4118</v>
      </c>
      <c r="AB148" s="2"/>
    </row>
    <row r="149" spans="1:28" ht="15" customHeight="1">
      <c r="A149" s="16">
        <v>148</v>
      </c>
      <c r="B149" s="14" t="s">
        <v>779</v>
      </c>
      <c r="C149" s="14" t="str">
        <f>_xlfn.CONCAT(B149&amp;" "&amp;W149&amp;X149&amp;Y149&amp;Z149)</f>
        <v>Easun Reyrolle Ltd 8031</v>
      </c>
      <c r="D149" s="16">
        <v>156</v>
      </c>
      <c r="E149" s="14" t="s">
        <v>90</v>
      </c>
      <c r="F149" s="14"/>
      <c r="G149" s="14"/>
      <c r="H149" s="14"/>
      <c r="I149" s="14"/>
      <c r="J149" s="24"/>
      <c r="K149" s="24"/>
      <c r="L149" s="32">
        <v>3</v>
      </c>
      <c r="M149" s="14" t="s">
        <v>780</v>
      </c>
      <c r="N149" s="14" t="s">
        <v>781</v>
      </c>
      <c r="O149" s="18" t="s">
        <v>782</v>
      </c>
      <c r="P149" s="195" t="s">
        <v>783</v>
      </c>
      <c r="Q149" s="195" t="s">
        <v>4295</v>
      </c>
      <c r="R149" s="193"/>
      <c r="S149" s="195" t="s">
        <v>21</v>
      </c>
      <c r="T149" s="195">
        <v>562076</v>
      </c>
      <c r="U149" s="195" t="s">
        <v>22</v>
      </c>
      <c r="V149" s="195" t="s">
        <v>23</v>
      </c>
      <c r="W149" s="193">
        <v>8</v>
      </c>
      <c r="X149" s="195">
        <v>0</v>
      </c>
      <c r="Y149" s="195">
        <v>3</v>
      </c>
      <c r="Z149" s="195">
        <v>1</v>
      </c>
      <c r="AA149" s="193" t="s">
        <v>4118</v>
      </c>
      <c r="AB149" s="2"/>
    </row>
    <row r="150" spans="1:28" ht="15" customHeight="1">
      <c r="A150" s="16">
        <v>149</v>
      </c>
      <c r="B150" s="14" t="s">
        <v>784</v>
      </c>
      <c r="C150" s="14" t="str">
        <f>_xlfn.CONCAT(B150&amp;" "&amp;W150&amp;X150&amp;Y150&amp;Z150)</f>
        <v>Wahi Sons P Ltd 1111</v>
      </c>
      <c r="D150" s="16">
        <v>154</v>
      </c>
      <c r="E150" s="14" t="s">
        <v>42</v>
      </c>
      <c r="F150" s="14"/>
      <c r="G150" s="14"/>
      <c r="H150" s="14"/>
      <c r="I150" s="14"/>
      <c r="J150" s="24">
        <v>44501</v>
      </c>
      <c r="K150" s="24">
        <v>44865</v>
      </c>
      <c r="L150" s="32">
        <v>3</v>
      </c>
      <c r="M150" s="14" t="s">
        <v>785</v>
      </c>
      <c r="N150" s="8"/>
      <c r="O150" s="19"/>
      <c r="P150" s="195" t="s">
        <v>786</v>
      </c>
      <c r="Q150" s="195" t="s">
        <v>4296</v>
      </c>
      <c r="R150" s="193"/>
      <c r="S150" s="195" t="s">
        <v>428</v>
      </c>
      <c r="T150" s="195">
        <v>122050</v>
      </c>
      <c r="U150" s="195" t="s">
        <v>429</v>
      </c>
      <c r="V150" s="195" t="s">
        <v>23</v>
      </c>
      <c r="W150" s="193">
        <v>1</v>
      </c>
      <c r="X150" s="195">
        <v>1</v>
      </c>
      <c r="Y150" s="195">
        <v>1</v>
      </c>
      <c r="Z150" s="195">
        <v>1</v>
      </c>
      <c r="AA150" s="193" t="s">
        <v>4118</v>
      </c>
      <c r="AB150" s="2"/>
    </row>
    <row r="151" spans="1:28" ht="15" customHeight="1">
      <c r="A151" s="16">
        <v>150</v>
      </c>
      <c r="B151" s="14" t="s">
        <v>787</v>
      </c>
      <c r="C151" s="14" t="str">
        <f>_xlfn.CONCAT(B151&amp;" "&amp;W151&amp;X151&amp;Y151&amp;Z151)</f>
        <v>Arun Plasto Moulders (I) (P) Ltd 4031</v>
      </c>
      <c r="D151" s="16">
        <v>162</v>
      </c>
      <c r="E151" s="14" t="s">
        <v>90</v>
      </c>
      <c r="F151" s="14"/>
      <c r="G151" s="14"/>
      <c r="H151" s="14"/>
      <c r="I151" s="14"/>
      <c r="J151" s="24">
        <v>44562</v>
      </c>
      <c r="K151" s="24">
        <v>44926</v>
      </c>
      <c r="L151" s="32">
        <v>3</v>
      </c>
      <c r="M151" s="14" t="s">
        <v>788</v>
      </c>
      <c r="N151" s="14" t="s">
        <v>789</v>
      </c>
      <c r="O151" s="18" t="s">
        <v>790</v>
      </c>
      <c r="P151" s="195" t="s">
        <v>791</v>
      </c>
      <c r="Q151" s="195" t="s">
        <v>4297</v>
      </c>
      <c r="R151" s="195" t="s">
        <v>792</v>
      </c>
      <c r="S151" s="195" t="s">
        <v>37</v>
      </c>
      <c r="T151" s="195">
        <v>600032</v>
      </c>
      <c r="U151" s="195" t="s">
        <v>38</v>
      </c>
      <c r="V151" s="195" t="s">
        <v>23</v>
      </c>
      <c r="W151" s="193">
        <v>4</v>
      </c>
      <c r="X151" s="195">
        <v>0</v>
      </c>
      <c r="Y151" s="195">
        <v>3</v>
      </c>
      <c r="Z151" s="195">
        <v>1</v>
      </c>
      <c r="AA151" s="193" t="s">
        <v>4148</v>
      </c>
      <c r="AB151" s="2"/>
    </row>
    <row r="152" spans="1:28" ht="15" customHeight="1">
      <c r="A152" s="16">
        <v>151</v>
      </c>
      <c r="B152" s="14" t="s">
        <v>793</v>
      </c>
      <c r="C152" s="14" t="str">
        <f>_xlfn.CONCAT(B152&amp;" "&amp;W152&amp;X152&amp;Y152&amp;Z152)</f>
        <v>Vako Seals P Ltd 2224</v>
      </c>
      <c r="D152" s="16">
        <v>174</v>
      </c>
      <c r="E152" s="14" t="s">
        <v>42</v>
      </c>
      <c r="F152" s="14"/>
      <c r="G152" s="14"/>
      <c r="H152" s="14"/>
      <c r="I152" s="14"/>
      <c r="J152" s="24">
        <v>44474</v>
      </c>
      <c r="K152" s="24">
        <v>44838</v>
      </c>
      <c r="L152" s="32">
        <v>3</v>
      </c>
      <c r="M152" s="14" t="s">
        <v>794</v>
      </c>
      <c r="N152" s="14" t="s">
        <v>795</v>
      </c>
      <c r="O152" s="18" t="s">
        <v>796</v>
      </c>
      <c r="P152" s="195" t="s">
        <v>797</v>
      </c>
      <c r="Q152" s="195" t="s">
        <v>4298</v>
      </c>
      <c r="R152" s="195" t="s">
        <v>798</v>
      </c>
      <c r="S152" s="195" t="s">
        <v>221</v>
      </c>
      <c r="T152" s="195">
        <v>400063</v>
      </c>
      <c r="U152" s="195" t="s">
        <v>172</v>
      </c>
      <c r="V152" s="195" t="s">
        <v>23</v>
      </c>
      <c r="W152" s="193">
        <v>2</v>
      </c>
      <c r="X152" s="195">
        <v>2</v>
      </c>
      <c r="Y152" s="195">
        <v>2</v>
      </c>
      <c r="Z152" s="195">
        <v>4</v>
      </c>
      <c r="AA152" s="193" t="s">
        <v>4148</v>
      </c>
      <c r="AB152" s="2"/>
    </row>
    <row r="153" spans="1:28" ht="15" customHeight="1">
      <c r="A153" s="16">
        <v>152</v>
      </c>
      <c r="B153" s="14" t="s">
        <v>799</v>
      </c>
      <c r="C153" s="14" t="str">
        <f>_xlfn.CONCAT(B153&amp;" "&amp;W153&amp;X153&amp;Y153&amp;Z153)</f>
        <v>Matchwell Die Casters Pvt Ltd 2224</v>
      </c>
      <c r="D153" s="16">
        <v>178</v>
      </c>
      <c r="E153" s="14" t="s">
        <v>42</v>
      </c>
      <c r="F153" s="14"/>
      <c r="G153" s="30">
        <v>40264</v>
      </c>
      <c r="H153" s="30"/>
      <c r="I153" s="30"/>
      <c r="J153" s="24">
        <v>44816</v>
      </c>
      <c r="K153" s="24">
        <v>45180</v>
      </c>
      <c r="L153" s="32">
        <v>3</v>
      </c>
      <c r="M153" s="14" t="s">
        <v>800</v>
      </c>
      <c r="N153" s="8"/>
      <c r="O153" s="18" t="s">
        <v>801</v>
      </c>
      <c r="P153" s="195" t="s">
        <v>802</v>
      </c>
      <c r="Q153" s="195" t="s">
        <v>4299</v>
      </c>
      <c r="R153" s="195" t="s">
        <v>258</v>
      </c>
      <c r="S153" s="195" t="s">
        <v>221</v>
      </c>
      <c r="T153" s="195">
        <v>400706</v>
      </c>
      <c r="U153" s="195" t="s">
        <v>172</v>
      </c>
      <c r="V153" s="195" t="s">
        <v>23</v>
      </c>
      <c r="W153" s="193">
        <v>2</v>
      </c>
      <c r="X153" s="195">
        <v>2</v>
      </c>
      <c r="Y153" s="195">
        <v>2</v>
      </c>
      <c r="Z153" s="195">
        <v>4</v>
      </c>
      <c r="AA153" s="193" t="s">
        <v>4148</v>
      </c>
      <c r="AB153" s="2"/>
    </row>
    <row r="154" spans="1:28" ht="15" customHeight="1">
      <c r="A154" s="16">
        <v>153</v>
      </c>
      <c r="B154" s="14" t="s">
        <v>557</v>
      </c>
      <c r="C154" s="14" t="str">
        <f>_xlfn.CONCAT(B154&amp;" "&amp;W154&amp;X154&amp;Y154&amp;Z154)</f>
        <v>Toyota Kirloskar Auto Parts P Ltd 8032</v>
      </c>
      <c r="D154" s="16">
        <v>124</v>
      </c>
      <c r="E154" s="14" t="s">
        <v>42</v>
      </c>
      <c r="F154" s="14"/>
      <c r="G154" s="14"/>
      <c r="H154" s="14"/>
      <c r="I154" s="14"/>
      <c r="J154" s="24"/>
      <c r="K154" s="24"/>
      <c r="L154" s="32">
        <v>3</v>
      </c>
      <c r="M154" s="14" t="s">
        <v>803</v>
      </c>
      <c r="N154" s="8"/>
      <c r="O154" s="18" t="s">
        <v>559</v>
      </c>
      <c r="P154" s="195" t="s">
        <v>560</v>
      </c>
      <c r="Q154" s="195" t="s">
        <v>4248</v>
      </c>
      <c r="R154" s="193"/>
      <c r="S154" s="195" t="s">
        <v>21</v>
      </c>
      <c r="T154" s="195">
        <v>562109</v>
      </c>
      <c r="U154" s="195" t="s">
        <v>22</v>
      </c>
      <c r="V154" s="195" t="s">
        <v>23</v>
      </c>
      <c r="W154" s="193">
        <v>8</v>
      </c>
      <c r="X154" s="195">
        <v>0</v>
      </c>
      <c r="Y154" s="195">
        <v>3</v>
      </c>
      <c r="Z154" s="195">
        <v>2</v>
      </c>
      <c r="AA154" s="193" t="s">
        <v>4118</v>
      </c>
      <c r="AB154" s="2"/>
    </row>
    <row r="155" spans="1:28" ht="15" customHeight="1">
      <c r="A155" s="16">
        <v>154</v>
      </c>
      <c r="B155" s="14" t="s">
        <v>804</v>
      </c>
      <c r="C155" s="14" t="str">
        <f>_xlfn.CONCAT(B155&amp;" "&amp;W155&amp;X155&amp;Y155&amp;Z155)</f>
        <v>IFB Industries Ltd (Kolkata unit) 8005</v>
      </c>
      <c r="D155" s="16">
        <v>175</v>
      </c>
      <c r="E155" s="14" t="s">
        <v>90</v>
      </c>
      <c r="F155" s="14"/>
      <c r="G155" s="14"/>
      <c r="H155" s="14"/>
      <c r="I155" s="14"/>
      <c r="J155" s="24">
        <v>44210</v>
      </c>
      <c r="K155" s="24">
        <v>44574</v>
      </c>
      <c r="L155" s="32">
        <v>3</v>
      </c>
      <c r="M155" s="14" t="s">
        <v>805</v>
      </c>
      <c r="N155" s="14" t="s">
        <v>806</v>
      </c>
      <c r="O155" s="18" t="s">
        <v>807</v>
      </c>
      <c r="P155" s="193"/>
      <c r="Q155" s="193" t="s">
        <v>4300</v>
      </c>
      <c r="R155" s="193"/>
      <c r="S155" s="195" t="s">
        <v>327</v>
      </c>
      <c r="T155" s="195">
        <v>700017</v>
      </c>
      <c r="U155" s="195" t="s">
        <v>328</v>
      </c>
      <c r="V155" s="195" t="s">
        <v>23</v>
      </c>
      <c r="W155" s="193">
        <v>8</v>
      </c>
      <c r="X155" s="195">
        <v>0</v>
      </c>
      <c r="Y155" s="195">
        <v>0</v>
      </c>
      <c r="Z155" s="195">
        <v>5</v>
      </c>
      <c r="AA155" s="193" t="s">
        <v>4118</v>
      </c>
      <c r="AB155" s="2"/>
    </row>
    <row r="156" spans="1:28" ht="15" customHeight="1">
      <c r="A156" s="16">
        <v>155</v>
      </c>
      <c r="B156" s="14" t="s">
        <v>809</v>
      </c>
      <c r="C156" s="14" t="str">
        <f>_xlfn.CONCAT(B156&amp;" "&amp;W156&amp;X156&amp;Y156&amp;Z156)</f>
        <v>IFB Industries Ltd (Bangalore unit) 8082</v>
      </c>
      <c r="D156" s="16">
        <v>218</v>
      </c>
      <c r="E156" s="14" t="s">
        <v>810</v>
      </c>
      <c r="F156" s="14"/>
      <c r="G156" s="14"/>
      <c r="H156" s="14"/>
      <c r="I156" s="14"/>
      <c r="J156" s="24">
        <v>45864</v>
      </c>
      <c r="K156" s="24">
        <v>46228</v>
      </c>
      <c r="L156" s="32">
        <v>3</v>
      </c>
      <c r="M156" s="8"/>
      <c r="N156" s="8"/>
      <c r="O156" s="19"/>
      <c r="P156" s="195" t="s">
        <v>811</v>
      </c>
      <c r="Q156" s="195" t="s">
        <v>4301</v>
      </c>
      <c r="R156" s="193"/>
      <c r="S156" s="195" t="s">
        <v>21</v>
      </c>
      <c r="T156" s="195" t="s">
        <v>812</v>
      </c>
      <c r="U156" s="195" t="s">
        <v>22</v>
      </c>
      <c r="V156" s="195" t="s">
        <v>23</v>
      </c>
      <c r="W156" s="193">
        <v>8</v>
      </c>
      <c r="X156" s="195">
        <v>0</v>
      </c>
      <c r="Y156" s="195">
        <v>8</v>
      </c>
      <c r="Z156" s="195">
        <v>2</v>
      </c>
      <c r="AA156" s="193" t="s">
        <v>4118</v>
      </c>
      <c r="AB156" s="2"/>
    </row>
    <row r="157" spans="1:28" ht="15" customHeight="1">
      <c r="A157" s="16">
        <v>156</v>
      </c>
      <c r="B157" s="14" t="s">
        <v>813</v>
      </c>
      <c r="C157" s="14" t="str">
        <f>_xlfn.CONCAT(B157&amp;" "&amp;W157&amp;X157&amp;Y157&amp;Z157)</f>
        <v>Titan Industries Ltd 8013</v>
      </c>
      <c r="D157" s="16">
        <v>177</v>
      </c>
      <c r="E157" s="14" t="s">
        <v>450</v>
      </c>
      <c r="F157" s="14"/>
      <c r="G157" s="14"/>
      <c r="H157" s="14"/>
      <c r="I157" s="14"/>
      <c r="J157" s="24">
        <v>44470</v>
      </c>
      <c r="K157" s="24">
        <v>44834</v>
      </c>
      <c r="L157" s="32">
        <v>3</v>
      </c>
      <c r="M157" s="14" t="s">
        <v>814</v>
      </c>
      <c r="N157" s="14" t="s">
        <v>815</v>
      </c>
      <c r="O157" s="18" t="s">
        <v>816</v>
      </c>
      <c r="P157" s="195" t="s">
        <v>725</v>
      </c>
      <c r="Q157" s="195" t="s">
        <v>4302</v>
      </c>
      <c r="R157" s="193"/>
      <c r="S157" s="195" t="s">
        <v>21</v>
      </c>
      <c r="T157" s="195">
        <v>562158</v>
      </c>
      <c r="U157" s="195" t="s">
        <v>22</v>
      </c>
      <c r="V157" s="195" t="s">
        <v>23</v>
      </c>
      <c r="W157" s="193">
        <v>8</v>
      </c>
      <c r="X157" s="195">
        <v>0</v>
      </c>
      <c r="Y157" s="195">
        <v>1</v>
      </c>
      <c r="Z157" s="195">
        <v>3</v>
      </c>
      <c r="AA157" s="193" t="s">
        <v>4118</v>
      </c>
      <c r="AB157" s="2"/>
    </row>
    <row r="158" spans="1:28" ht="15" customHeight="1">
      <c r="A158" s="16">
        <v>157</v>
      </c>
      <c r="B158" s="14" t="s">
        <v>817</v>
      </c>
      <c r="C158" s="14" t="str">
        <f>_xlfn.CONCAT(B158&amp;" "&amp;W158&amp;X158&amp;Y158&amp;Z158)</f>
        <v>PT. Minda Asean Automotive 0000</v>
      </c>
      <c r="D158" s="16">
        <v>241</v>
      </c>
      <c r="E158" s="14" t="s">
        <v>818</v>
      </c>
      <c r="F158" s="14"/>
      <c r="G158" s="14"/>
      <c r="H158" s="14"/>
      <c r="I158" s="14"/>
      <c r="J158" s="24"/>
      <c r="K158" s="24"/>
      <c r="L158" s="32">
        <v>3</v>
      </c>
      <c r="M158" s="8"/>
      <c r="N158" s="8"/>
      <c r="O158" s="18" t="s">
        <v>819</v>
      </c>
      <c r="P158" s="195" t="s">
        <v>820</v>
      </c>
      <c r="Q158" s="195" t="s">
        <v>4303</v>
      </c>
      <c r="R158" s="195" t="s">
        <v>821</v>
      </c>
      <c r="S158" s="195" t="s">
        <v>595</v>
      </c>
      <c r="T158" s="195">
        <v>41361</v>
      </c>
      <c r="U158" s="193" t="s">
        <v>574</v>
      </c>
      <c r="V158" s="195" t="s">
        <v>596</v>
      </c>
      <c r="W158" s="193">
        <v>0</v>
      </c>
      <c r="X158" s="195">
        <v>0</v>
      </c>
      <c r="Y158" s="195">
        <v>0</v>
      </c>
      <c r="Z158" s="195">
        <v>0</v>
      </c>
      <c r="AA158" s="193">
        <v>0</v>
      </c>
      <c r="AB158" s="2"/>
    </row>
    <row r="159" spans="1:28" ht="15" customHeight="1">
      <c r="A159" s="16">
        <v>158</v>
      </c>
      <c r="B159" s="14" t="s">
        <v>822</v>
      </c>
      <c r="C159" s="14" t="str">
        <f>_xlfn.CONCAT(B159&amp;" "&amp;W159&amp;X159&amp;Y159&amp;Z159)</f>
        <v>Servocontrol Aerospace (I) Pvt Ltd (Servocontrols Hydraulics (I) Pvt Ltd) 8002</v>
      </c>
      <c r="D159" s="16">
        <v>180</v>
      </c>
      <c r="E159" s="14" t="s">
        <v>823</v>
      </c>
      <c r="F159" s="14"/>
      <c r="G159" s="14"/>
      <c r="H159" s="14"/>
      <c r="I159" s="14"/>
      <c r="J159" s="24">
        <v>45784</v>
      </c>
      <c r="K159" s="24">
        <v>46148</v>
      </c>
      <c r="L159" s="32">
        <v>3</v>
      </c>
      <c r="M159" s="14" t="s">
        <v>824</v>
      </c>
      <c r="N159" s="14" t="s">
        <v>71</v>
      </c>
      <c r="O159" s="18" t="s">
        <v>825</v>
      </c>
      <c r="P159" s="195" t="s">
        <v>419</v>
      </c>
      <c r="Q159" s="195" t="s">
        <v>4304</v>
      </c>
      <c r="R159" s="193"/>
      <c r="S159" s="195" t="s">
        <v>420</v>
      </c>
      <c r="T159" s="195">
        <v>590008</v>
      </c>
      <c r="U159" s="195" t="s">
        <v>22</v>
      </c>
      <c r="V159" s="195" t="s">
        <v>23</v>
      </c>
      <c r="W159" s="193">
        <v>8</v>
      </c>
      <c r="X159" s="195">
        <v>0</v>
      </c>
      <c r="Y159" s="195">
        <v>0</v>
      </c>
      <c r="Z159" s="195">
        <v>2</v>
      </c>
      <c r="AA159" s="193" t="s">
        <v>4118</v>
      </c>
      <c r="AB159" s="2"/>
    </row>
    <row r="160" spans="1:28" ht="15" customHeight="1">
      <c r="A160" s="16">
        <v>159</v>
      </c>
      <c r="B160" s="14" t="s">
        <v>826</v>
      </c>
      <c r="C160" s="14" t="str">
        <f>_xlfn.CONCAT(B160&amp;" "&amp;W160&amp;X160&amp;Y160&amp;Z160)</f>
        <v>Dias-C Tools and Components 2411</v>
      </c>
      <c r="D160" s="16">
        <v>182</v>
      </c>
      <c r="E160" s="14" t="s">
        <v>42</v>
      </c>
      <c r="F160" s="14"/>
      <c r="G160" s="30">
        <v>40292</v>
      </c>
      <c r="H160" s="30"/>
      <c r="I160" s="30"/>
      <c r="J160" s="24"/>
      <c r="K160" s="24"/>
      <c r="L160" s="32">
        <v>3</v>
      </c>
      <c r="M160" s="14" t="s">
        <v>827</v>
      </c>
      <c r="N160" s="14" t="s">
        <v>17</v>
      </c>
      <c r="O160" s="18" t="s">
        <v>828</v>
      </c>
      <c r="P160" s="195" t="s">
        <v>829</v>
      </c>
      <c r="Q160" s="195" t="s">
        <v>4305</v>
      </c>
      <c r="R160" s="195" t="s">
        <v>214</v>
      </c>
      <c r="S160" s="195" t="s">
        <v>215</v>
      </c>
      <c r="T160" s="195">
        <v>411026</v>
      </c>
      <c r="U160" s="195" t="s">
        <v>172</v>
      </c>
      <c r="V160" s="195" t="s">
        <v>23</v>
      </c>
      <c r="W160" s="193">
        <v>2</v>
      </c>
      <c r="X160" s="195">
        <v>4</v>
      </c>
      <c r="Y160" s="195">
        <v>1</v>
      </c>
      <c r="Z160" s="195">
        <v>1</v>
      </c>
      <c r="AA160" s="193" t="s">
        <v>4150</v>
      </c>
      <c r="AB160" s="2"/>
    </row>
    <row r="161" spans="1:28" ht="15" customHeight="1">
      <c r="A161" s="16">
        <v>160</v>
      </c>
      <c r="B161" s="14" t="s">
        <v>830</v>
      </c>
      <c r="C161" s="14" t="str">
        <f>_xlfn.CONCAT(B161&amp;" "&amp;W161&amp;X161&amp;Y161&amp;Z161)</f>
        <v>Arun Plasto Moulders (I) (P) Ltd (Haridwar) 1042</v>
      </c>
      <c r="D161" s="16">
        <v>179</v>
      </c>
      <c r="E161" s="14" t="s">
        <v>42</v>
      </c>
      <c r="F161" s="14"/>
      <c r="G161" s="14"/>
      <c r="H161" s="14"/>
      <c r="I161" s="14"/>
      <c r="J161" s="24"/>
      <c r="K161" s="24"/>
      <c r="L161" s="32">
        <v>3</v>
      </c>
      <c r="M161" s="14" t="s">
        <v>831</v>
      </c>
      <c r="N161" s="8"/>
      <c r="O161" s="18" t="s">
        <v>832</v>
      </c>
      <c r="P161" s="195" t="s">
        <v>833</v>
      </c>
      <c r="Q161" s="195" t="s">
        <v>4306</v>
      </c>
      <c r="R161" s="195" t="s">
        <v>834</v>
      </c>
      <c r="S161" s="195" t="s">
        <v>835</v>
      </c>
      <c r="T161" s="195">
        <v>249403</v>
      </c>
      <c r="U161" s="195" t="s">
        <v>836</v>
      </c>
      <c r="V161" s="195" t="s">
        <v>23</v>
      </c>
      <c r="W161" s="193">
        <v>1</v>
      </c>
      <c r="X161" s="195">
        <v>0</v>
      </c>
      <c r="Y161" s="195">
        <v>4</v>
      </c>
      <c r="Z161" s="195">
        <v>2</v>
      </c>
      <c r="AA161" s="193" t="s">
        <v>4118</v>
      </c>
      <c r="AB161" s="2"/>
    </row>
    <row r="162" spans="1:28" ht="15" customHeight="1">
      <c r="A162" s="16">
        <v>161</v>
      </c>
      <c r="B162" s="14" t="s">
        <v>837</v>
      </c>
      <c r="C162" s="14" t="str">
        <f>_xlfn.CONCAT(B162&amp;" "&amp;W162&amp;X162&amp;Y162&amp;Z162)</f>
        <v>Jay Precision Products India P Ltd 2114</v>
      </c>
      <c r="D162" s="16">
        <v>188</v>
      </c>
      <c r="E162" s="14" t="s">
        <v>90</v>
      </c>
      <c r="F162" s="14"/>
      <c r="G162" s="14"/>
      <c r="H162" s="14"/>
      <c r="I162" s="14"/>
      <c r="J162" s="24">
        <v>45927</v>
      </c>
      <c r="K162" s="24">
        <v>46291</v>
      </c>
      <c r="L162" s="32">
        <v>3</v>
      </c>
      <c r="M162" s="14" t="s">
        <v>838</v>
      </c>
      <c r="N162" s="8"/>
      <c r="O162" s="18" t="s">
        <v>839</v>
      </c>
      <c r="P162" s="195" t="s">
        <v>840</v>
      </c>
      <c r="Q162" s="195" t="s">
        <v>4307</v>
      </c>
      <c r="R162" s="195" t="s">
        <v>841</v>
      </c>
      <c r="S162" s="195" t="s">
        <v>221</v>
      </c>
      <c r="T162" s="195">
        <v>400101</v>
      </c>
      <c r="U162" s="195" t="s">
        <v>172</v>
      </c>
      <c r="V162" s="195" t="s">
        <v>23</v>
      </c>
      <c r="W162" s="193">
        <v>2</v>
      </c>
      <c r="X162" s="195">
        <v>1</v>
      </c>
      <c r="Y162" s="195">
        <v>1</v>
      </c>
      <c r="Z162" s="195">
        <v>4</v>
      </c>
      <c r="AA162" s="193" t="s">
        <v>4148</v>
      </c>
      <c r="AB162" s="2"/>
    </row>
    <row r="163" spans="1:28" ht="15" customHeight="1">
      <c r="A163" s="16">
        <v>162</v>
      </c>
      <c r="B163" s="14" t="s">
        <v>842</v>
      </c>
      <c r="C163" s="14" t="str">
        <f>_xlfn.CONCAT(B163&amp;" "&amp;W163&amp;X163&amp;Y163&amp;Z163)</f>
        <v>Connectwell Industries P Ltd. 2223</v>
      </c>
      <c r="D163" s="16" t="s">
        <v>843</v>
      </c>
      <c r="E163" s="14" t="s">
        <v>42</v>
      </c>
      <c r="F163" s="14"/>
      <c r="G163" s="14"/>
      <c r="H163" s="14"/>
      <c r="I163" s="14"/>
      <c r="J163" s="24">
        <v>44617</v>
      </c>
      <c r="K163" s="24">
        <v>44981</v>
      </c>
      <c r="L163" s="32">
        <v>3</v>
      </c>
      <c r="M163" s="14" t="s">
        <v>844</v>
      </c>
      <c r="N163" s="14" t="s">
        <v>845</v>
      </c>
      <c r="O163" s="18" t="s">
        <v>846</v>
      </c>
      <c r="P163" s="195" t="s">
        <v>501</v>
      </c>
      <c r="Q163" s="195" t="s">
        <v>4308</v>
      </c>
      <c r="R163" s="195" t="s">
        <v>847</v>
      </c>
      <c r="S163" s="195" t="s">
        <v>221</v>
      </c>
      <c r="T163" s="195">
        <v>421204</v>
      </c>
      <c r="U163" s="195" t="s">
        <v>172</v>
      </c>
      <c r="V163" s="195" t="s">
        <v>23</v>
      </c>
      <c r="W163" s="193">
        <v>2</v>
      </c>
      <c r="X163" s="195">
        <v>2</v>
      </c>
      <c r="Y163" s="195">
        <v>2</v>
      </c>
      <c r="Z163" s="195">
        <v>3</v>
      </c>
      <c r="AA163" s="193" t="s">
        <v>4118</v>
      </c>
      <c r="AB163" s="2"/>
    </row>
    <row r="164" spans="1:28" ht="15" customHeight="1">
      <c r="A164" s="16">
        <v>163</v>
      </c>
      <c r="B164" s="14" t="s">
        <v>848</v>
      </c>
      <c r="C164" s="14" t="str">
        <f>_xlfn.CONCAT(B164&amp;" "&amp;W164&amp;X164&amp;Y164&amp;Z164)</f>
        <v>Shiv-Om Brass Industries 5401</v>
      </c>
      <c r="D164" s="16">
        <v>183</v>
      </c>
      <c r="E164" s="14" t="s">
        <v>42</v>
      </c>
      <c r="F164" s="14"/>
      <c r="G164" s="14"/>
      <c r="H164" s="14"/>
      <c r="I164" s="14"/>
      <c r="J164" s="24"/>
      <c r="K164" s="24"/>
      <c r="L164" s="32">
        <v>3</v>
      </c>
      <c r="M164" s="14" t="s">
        <v>849</v>
      </c>
      <c r="N164" s="14" t="s">
        <v>151</v>
      </c>
      <c r="O164" s="18" t="s">
        <v>850</v>
      </c>
      <c r="P164" s="195" t="s">
        <v>851</v>
      </c>
      <c r="Q164" s="195" t="s">
        <v>4309</v>
      </c>
      <c r="R164" s="193"/>
      <c r="S164" s="195" t="s">
        <v>571</v>
      </c>
      <c r="T164" s="195">
        <v>361005</v>
      </c>
      <c r="U164" s="195" t="s">
        <v>144</v>
      </c>
      <c r="V164" s="195" t="s">
        <v>23</v>
      </c>
      <c r="W164" s="193">
        <v>5</v>
      </c>
      <c r="X164" s="195">
        <v>4</v>
      </c>
      <c r="Y164" s="195">
        <v>0</v>
      </c>
      <c r="Z164" s="195">
        <v>1</v>
      </c>
      <c r="AA164" s="193" t="s">
        <v>4137</v>
      </c>
      <c r="AB164" s="2"/>
    </row>
    <row r="165" spans="1:28" ht="15" customHeight="1">
      <c r="A165" s="16">
        <v>164</v>
      </c>
      <c r="B165" s="14" t="s">
        <v>852</v>
      </c>
      <c r="C165" s="14" t="str">
        <f>_xlfn.CONCAT(B165&amp;" "&amp;W165&amp;X165&amp;Y165&amp;Z165)</f>
        <v>NDT Consultants Ltd 0000</v>
      </c>
      <c r="D165" s="16">
        <v>186</v>
      </c>
      <c r="E165" s="14" t="s">
        <v>42</v>
      </c>
      <c r="F165" s="14"/>
      <c r="G165" s="14"/>
      <c r="H165" s="14"/>
      <c r="I165" s="14"/>
      <c r="J165" s="24"/>
      <c r="K165" s="24"/>
      <c r="L165" s="32">
        <v>3</v>
      </c>
      <c r="M165" s="8"/>
      <c r="N165" s="8"/>
      <c r="O165" s="18">
        <v>442476511151</v>
      </c>
      <c r="P165" s="195" t="s">
        <v>853</v>
      </c>
      <c r="Q165" s="195" t="s">
        <v>4310</v>
      </c>
      <c r="R165" s="195" t="s">
        <v>854</v>
      </c>
      <c r="S165" s="195" t="s">
        <v>855</v>
      </c>
      <c r="T165" s="193"/>
      <c r="U165" s="193" t="s">
        <v>574</v>
      </c>
      <c r="V165" s="195" t="s">
        <v>23</v>
      </c>
      <c r="W165" s="193">
        <v>0</v>
      </c>
      <c r="X165" s="195">
        <v>0</v>
      </c>
      <c r="Y165" s="195">
        <v>0</v>
      </c>
      <c r="Z165" s="195">
        <v>0</v>
      </c>
      <c r="AA165" s="193">
        <v>0</v>
      </c>
      <c r="AB165" s="2"/>
    </row>
    <row r="166" spans="1:28" ht="15" customHeight="1">
      <c r="A166" s="16">
        <v>165</v>
      </c>
      <c r="B166" s="14" t="s">
        <v>856</v>
      </c>
      <c r="C166" s="14" t="str">
        <f>_xlfn.CONCAT(B166&amp;" "&amp;W166&amp;X166&amp;Y166&amp;Z166)</f>
        <v>Joyson Anand Abhishek Safety Systems Pvt Ltd (KSS - Abhishek Safety Systems P Ltd) 1111</v>
      </c>
      <c r="D166" s="16">
        <v>192</v>
      </c>
      <c r="E166" s="14" t="s">
        <v>42</v>
      </c>
      <c r="F166" s="14"/>
      <c r="G166" s="14"/>
      <c r="H166" s="14"/>
      <c r="I166" s="14"/>
      <c r="J166" s="24">
        <v>44377</v>
      </c>
      <c r="K166" s="24">
        <v>44741</v>
      </c>
      <c r="L166" s="32">
        <v>3</v>
      </c>
      <c r="M166" s="14" t="s">
        <v>857</v>
      </c>
      <c r="N166" s="14" t="s">
        <v>71</v>
      </c>
      <c r="O166" s="18" t="s">
        <v>858</v>
      </c>
      <c r="P166" s="195" t="s">
        <v>859</v>
      </c>
      <c r="Q166" s="195" t="s">
        <v>4311</v>
      </c>
      <c r="R166" s="193"/>
      <c r="S166" s="195" t="s">
        <v>428</v>
      </c>
      <c r="T166" s="195">
        <v>122050</v>
      </c>
      <c r="U166" s="195" t="s">
        <v>429</v>
      </c>
      <c r="V166" s="195" t="s">
        <v>23</v>
      </c>
      <c r="W166" s="195">
        <v>1</v>
      </c>
      <c r="X166" s="195">
        <v>1</v>
      </c>
      <c r="Y166" s="195">
        <v>1</v>
      </c>
      <c r="Z166" s="195">
        <v>1</v>
      </c>
      <c r="AA166" s="195" t="s">
        <v>4118</v>
      </c>
      <c r="AB166" s="2"/>
    </row>
    <row r="167" spans="1:28" ht="15" customHeight="1">
      <c r="A167" s="16">
        <v>166</v>
      </c>
      <c r="B167" s="14" t="s">
        <v>860</v>
      </c>
      <c r="C167" s="14" t="str">
        <f>_xlfn.CONCAT(B167&amp;" "&amp;W167&amp;X167&amp;Y167&amp;Z167)</f>
        <v>Speciality Sintered Products P Ltd 2421</v>
      </c>
      <c r="D167" s="16">
        <v>190</v>
      </c>
      <c r="E167" s="14" t="s">
        <v>42</v>
      </c>
      <c r="F167" s="14"/>
      <c r="G167" s="14"/>
      <c r="H167" s="14"/>
      <c r="I167" s="14"/>
      <c r="J167" s="24">
        <v>45859</v>
      </c>
      <c r="K167" s="24">
        <v>46223</v>
      </c>
      <c r="L167" s="32">
        <v>3</v>
      </c>
      <c r="M167" s="9" t="s">
        <v>861</v>
      </c>
      <c r="N167" s="9"/>
      <c r="O167" s="18" t="s">
        <v>862</v>
      </c>
      <c r="P167" s="195" t="s">
        <v>863</v>
      </c>
      <c r="Q167" s="195" t="s">
        <v>4312</v>
      </c>
      <c r="R167" s="195" t="s">
        <v>480</v>
      </c>
      <c r="S167" s="195" t="s">
        <v>215</v>
      </c>
      <c r="T167" s="195">
        <v>411501</v>
      </c>
      <c r="U167" s="195" t="s">
        <v>172</v>
      </c>
      <c r="V167" s="195" t="s">
        <v>23</v>
      </c>
      <c r="W167" s="193">
        <v>2</v>
      </c>
      <c r="X167" s="195">
        <v>4</v>
      </c>
      <c r="Y167" s="195">
        <v>2</v>
      </c>
      <c r="Z167" s="195">
        <v>1</v>
      </c>
      <c r="AA167" s="193" t="s">
        <v>4151</v>
      </c>
      <c r="AB167" s="2"/>
    </row>
    <row r="168" spans="1:28" ht="15" customHeight="1">
      <c r="A168" s="16">
        <v>167</v>
      </c>
      <c r="B168" s="14" t="s">
        <v>864</v>
      </c>
      <c r="C168" s="14" t="str">
        <f>_xlfn.CONCAT(B168&amp;" "&amp;W168&amp;X168&amp;Y168&amp;Z168)</f>
        <v>Brakes India Pvt Ltd 4024</v>
      </c>
      <c r="D168" s="16">
        <v>193</v>
      </c>
      <c r="E168" s="14" t="s">
        <v>90</v>
      </c>
      <c r="F168" s="14"/>
      <c r="G168" s="14"/>
      <c r="H168" s="14"/>
      <c r="I168" s="14"/>
      <c r="J168" s="24">
        <v>44440</v>
      </c>
      <c r="K168" s="24">
        <v>44620</v>
      </c>
      <c r="L168" s="32">
        <v>3</v>
      </c>
      <c r="M168" s="14" t="s">
        <v>865</v>
      </c>
      <c r="N168" s="14" t="s">
        <v>98</v>
      </c>
      <c r="O168" s="19"/>
      <c r="P168" s="195" t="s">
        <v>867</v>
      </c>
      <c r="Q168" s="195" t="s">
        <v>4313</v>
      </c>
      <c r="R168" s="193"/>
      <c r="S168" s="195" t="s">
        <v>37</v>
      </c>
      <c r="T168" s="195">
        <v>603309</v>
      </c>
      <c r="U168" s="195" t="s">
        <v>38</v>
      </c>
      <c r="V168" s="195" t="s">
        <v>23</v>
      </c>
      <c r="W168" s="193">
        <v>4</v>
      </c>
      <c r="X168" s="195">
        <v>0</v>
      </c>
      <c r="Y168" s="195">
        <v>2</v>
      </c>
      <c r="Z168" s="195">
        <v>4</v>
      </c>
      <c r="AA168" s="193" t="s">
        <v>4148</v>
      </c>
      <c r="AB168" s="2"/>
    </row>
    <row r="169" spans="1:28" ht="15" customHeight="1">
      <c r="A169" s="16">
        <v>168</v>
      </c>
      <c r="B169" s="14" t="s">
        <v>868</v>
      </c>
      <c r="C169" s="14" t="str">
        <f>_xlfn.CONCAT(B169&amp;" "&amp;W169&amp;X169&amp;Y169&amp;Z169)</f>
        <v>Kuhu Industries P Ltd 1015</v>
      </c>
      <c r="D169" s="16">
        <v>173</v>
      </c>
      <c r="E169" s="14" t="s">
        <v>533</v>
      </c>
      <c r="F169" s="14"/>
      <c r="G169" s="14"/>
      <c r="H169" s="14"/>
      <c r="I169" s="14"/>
      <c r="J169" s="24"/>
      <c r="K169" s="24"/>
      <c r="L169" s="32">
        <v>3</v>
      </c>
      <c r="M169" s="14" t="s">
        <v>869</v>
      </c>
      <c r="N169" s="14" t="s">
        <v>71</v>
      </c>
      <c r="O169" s="18" t="s">
        <v>870</v>
      </c>
      <c r="P169" s="195" t="s">
        <v>871</v>
      </c>
      <c r="Q169" s="195" t="s">
        <v>4314</v>
      </c>
      <c r="R169" s="195" t="s">
        <v>872</v>
      </c>
      <c r="S169" s="195" t="s">
        <v>759</v>
      </c>
      <c r="T169" s="195">
        <v>302013</v>
      </c>
      <c r="U169" s="195" t="s">
        <v>172</v>
      </c>
      <c r="V169" s="195" t="s">
        <v>23</v>
      </c>
      <c r="W169" s="193">
        <v>1</v>
      </c>
      <c r="X169" s="195">
        <v>0</v>
      </c>
      <c r="Y169" s="195">
        <v>1</v>
      </c>
      <c r="Z169" s="195">
        <v>5</v>
      </c>
      <c r="AA169" s="193" t="s">
        <v>4118</v>
      </c>
      <c r="AB169" s="2"/>
    </row>
    <row r="170" spans="1:28" ht="15" customHeight="1">
      <c r="A170" s="16">
        <v>169</v>
      </c>
      <c r="B170" s="14" t="s">
        <v>873</v>
      </c>
      <c r="C170" s="14" t="str">
        <f>_xlfn.CONCAT(B170&amp;" "&amp;W170&amp;X170&amp;Y170&amp;Z170)</f>
        <v>Chamundi Die Cast (P) Ltd 4033</v>
      </c>
      <c r="D170" s="16">
        <v>185</v>
      </c>
      <c r="E170" s="14" t="s">
        <v>42</v>
      </c>
      <c r="F170" s="14"/>
      <c r="G170" s="14"/>
      <c r="H170" s="14"/>
      <c r="I170" s="14"/>
      <c r="J170" s="24">
        <v>44239</v>
      </c>
      <c r="K170" s="24">
        <v>44603</v>
      </c>
      <c r="L170" s="32">
        <v>3</v>
      </c>
      <c r="M170" s="14" t="s">
        <v>874</v>
      </c>
      <c r="N170" s="8"/>
      <c r="O170" s="18"/>
      <c r="P170" s="195" t="s">
        <v>876</v>
      </c>
      <c r="Q170" s="195" t="s">
        <v>4315</v>
      </c>
      <c r="R170" s="193" t="s">
        <v>877</v>
      </c>
      <c r="S170" s="195" t="s">
        <v>878</v>
      </c>
      <c r="T170" s="195">
        <v>632405</v>
      </c>
      <c r="U170" s="195" t="s">
        <v>38</v>
      </c>
      <c r="V170" s="195" t="s">
        <v>23</v>
      </c>
      <c r="W170" s="193">
        <v>4</v>
      </c>
      <c r="X170" s="195">
        <v>0</v>
      </c>
      <c r="Y170" s="195">
        <v>3</v>
      </c>
      <c r="Z170" s="195">
        <v>3</v>
      </c>
      <c r="AA170" s="193" t="s">
        <v>4148</v>
      </c>
      <c r="AB170" s="2"/>
    </row>
    <row r="171" spans="1:28" ht="15" customHeight="1">
      <c r="A171" s="16">
        <v>170</v>
      </c>
      <c r="B171" s="14" t="s">
        <v>880</v>
      </c>
      <c r="C171" s="14" t="str">
        <f>_xlfn.CONCAT(B171&amp;" "&amp;W171&amp;X171&amp;Y171&amp;Z171)</f>
        <v>Toyota Boshoku Automotive (I) (P) Ltd 8032</v>
      </c>
      <c r="D171" s="16">
        <v>196</v>
      </c>
      <c r="E171" s="14" t="s">
        <v>90</v>
      </c>
      <c r="F171" s="14"/>
      <c r="G171" s="14"/>
      <c r="H171" s="14"/>
      <c r="I171" s="14"/>
      <c r="J171" s="24">
        <v>44622</v>
      </c>
      <c r="K171" s="24">
        <v>44986</v>
      </c>
      <c r="L171" s="32">
        <v>3</v>
      </c>
      <c r="M171" s="14" t="s">
        <v>881</v>
      </c>
      <c r="N171" s="14" t="s">
        <v>882</v>
      </c>
      <c r="O171" s="18" t="s">
        <v>883</v>
      </c>
      <c r="P171" s="195" t="s">
        <v>884</v>
      </c>
      <c r="Q171" s="195" t="s">
        <v>4316</v>
      </c>
      <c r="R171" s="195" t="s">
        <v>885</v>
      </c>
      <c r="S171" s="195" t="s">
        <v>21</v>
      </c>
      <c r="T171" s="195">
        <v>562109</v>
      </c>
      <c r="U171" s="195" t="s">
        <v>22</v>
      </c>
      <c r="V171" s="195" t="s">
        <v>23</v>
      </c>
      <c r="W171" s="193">
        <v>8</v>
      </c>
      <c r="X171" s="195">
        <v>0</v>
      </c>
      <c r="Y171" s="195">
        <v>3</v>
      </c>
      <c r="Z171" s="195">
        <v>2</v>
      </c>
      <c r="AA171" s="193" t="s">
        <v>4118</v>
      </c>
      <c r="AB171" s="2"/>
    </row>
    <row r="172" spans="1:28" ht="15" customHeight="1">
      <c r="A172" s="16">
        <v>171</v>
      </c>
      <c r="B172" s="14" t="s">
        <v>886</v>
      </c>
      <c r="C172" s="14" t="str">
        <f>_xlfn.CONCAT(B172&amp;" "&amp;W172&amp;X172&amp;Y172&amp;Z172)</f>
        <v>Poly Fluoro Ltd 8012</v>
      </c>
      <c r="D172" s="16">
        <v>194</v>
      </c>
      <c r="E172" s="14" t="s">
        <v>42</v>
      </c>
      <c r="F172" s="14"/>
      <c r="G172" s="14"/>
      <c r="H172" s="14"/>
      <c r="I172" s="14"/>
      <c r="J172" s="24">
        <v>44456</v>
      </c>
      <c r="K172" s="24">
        <v>44820</v>
      </c>
      <c r="L172" s="32">
        <v>3</v>
      </c>
      <c r="M172" s="14" t="s">
        <v>887</v>
      </c>
      <c r="N172" s="8"/>
      <c r="O172" s="18" t="s">
        <v>888</v>
      </c>
      <c r="P172" s="195" t="s">
        <v>718</v>
      </c>
      <c r="Q172" s="195" t="s">
        <v>4317</v>
      </c>
      <c r="R172" s="193"/>
      <c r="S172" s="195" t="s">
        <v>21</v>
      </c>
      <c r="T172" s="195">
        <v>560099</v>
      </c>
      <c r="U172" s="195" t="s">
        <v>22</v>
      </c>
      <c r="V172" s="195" t="s">
        <v>23</v>
      </c>
      <c r="W172" s="193">
        <v>8</v>
      </c>
      <c r="X172" s="195">
        <v>0</v>
      </c>
      <c r="Y172" s="195">
        <v>1</v>
      </c>
      <c r="Z172" s="195">
        <v>2</v>
      </c>
      <c r="AA172" s="193" t="s">
        <v>4118</v>
      </c>
      <c r="AB172" s="2"/>
    </row>
    <row r="173" spans="1:28" ht="15" customHeight="1">
      <c r="A173" s="16">
        <v>172</v>
      </c>
      <c r="B173" s="14" t="s">
        <v>889</v>
      </c>
      <c r="C173" s="14" t="str">
        <f>_xlfn.CONCAT(B173&amp;" "&amp;W173&amp;X173&amp;Y173&amp;Z173)</f>
        <v>Sundaram Industries Ltd 4101</v>
      </c>
      <c r="D173" s="16">
        <v>200</v>
      </c>
      <c r="E173" s="14" t="s">
        <v>450</v>
      </c>
      <c r="F173" s="14"/>
      <c r="G173" s="14"/>
      <c r="H173" s="14"/>
      <c r="I173" s="14"/>
      <c r="J173" s="24">
        <v>44470</v>
      </c>
      <c r="K173" s="24">
        <v>44834</v>
      </c>
      <c r="L173" s="32">
        <v>3</v>
      </c>
      <c r="M173" s="14" t="s">
        <v>890</v>
      </c>
      <c r="N173" s="14" t="s">
        <v>891</v>
      </c>
      <c r="O173" s="18" t="s">
        <v>892</v>
      </c>
      <c r="P173" s="195" t="s">
        <v>893</v>
      </c>
      <c r="Q173" s="195" t="s">
        <v>4318</v>
      </c>
      <c r="R173" s="193"/>
      <c r="S173" s="195" t="s">
        <v>894</v>
      </c>
      <c r="T173" s="195">
        <v>625016</v>
      </c>
      <c r="U173" s="195" t="s">
        <v>38</v>
      </c>
      <c r="V173" s="195" t="s">
        <v>23</v>
      </c>
      <c r="W173" s="193">
        <v>4</v>
      </c>
      <c r="X173" s="195">
        <v>1</v>
      </c>
      <c r="Y173" s="195">
        <v>0</v>
      </c>
      <c r="Z173" s="195">
        <v>1</v>
      </c>
      <c r="AA173" s="193" t="s">
        <v>4148</v>
      </c>
      <c r="AB173" s="2"/>
    </row>
    <row r="174" spans="1:28" ht="15" customHeight="1">
      <c r="A174" s="16">
        <v>173</v>
      </c>
      <c r="B174" s="14" t="s">
        <v>895</v>
      </c>
      <c r="C174" s="14" t="str">
        <f>_xlfn.CONCAT(B174&amp;" "&amp;W174&amp;X174&amp;Y174&amp;Z174)</f>
        <v>Gautam Packaging P Ltd 1111</v>
      </c>
      <c r="D174" s="16">
        <v>201</v>
      </c>
      <c r="E174" s="14" t="s">
        <v>90</v>
      </c>
      <c r="F174" s="14"/>
      <c r="G174" s="14"/>
      <c r="H174" s="14"/>
      <c r="I174" s="14"/>
      <c r="J174" s="24">
        <v>44023</v>
      </c>
      <c r="K174" s="24">
        <v>44387</v>
      </c>
      <c r="L174" s="32">
        <v>3</v>
      </c>
      <c r="M174" s="14" t="s">
        <v>896</v>
      </c>
      <c r="N174" s="8"/>
      <c r="O174" s="19"/>
      <c r="P174" s="195" t="s">
        <v>897</v>
      </c>
      <c r="Q174" s="195" t="s">
        <v>4319</v>
      </c>
      <c r="R174" s="193"/>
      <c r="S174" s="195" t="s">
        <v>428</v>
      </c>
      <c r="T174" s="195">
        <v>122015</v>
      </c>
      <c r="U174" s="195" t="s">
        <v>429</v>
      </c>
      <c r="V174" s="195" t="s">
        <v>23</v>
      </c>
      <c r="W174" s="193">
        <v>1</v>
      </c>
      <c r="X174" s="195">
        <v>1</v>
      </c>
      <c r="Y174" s="195">
        <v>1</v>
      </c>
      <c r="Z174" s="195">
        <v>1</v>
      </c>
      <c r="AA174" s="193" t="s">
        <v>4118</v>
      </c>
      <c r="AB174" s="2"/>
    </row>
    <row r="175" spans="1:28" ht="15" customHeight="1">
      <c r="A175" s="16">
        <v>174</v>
      </c>
      <c r="B175" s="30">
        <v>40491</v>
      </c>
      <c r="C175" s="14" t="str">
        <f>_xlfn.CONCAT(B175&amp;" "&amp;W175&amp;X175&amp;Y175&amp;Z175)</f>
        <v>40491 8071</v>
      </c>
      <c r="D175" s="16">
        <v>189</v>
      </c>
      <c r="E175" s="14" t="s">
        <v>42</v>
      </c>
      <c r="F175" s="14"/>
      <c r="G175" s="30">
        <v>40406</v>
      </c>
      <c r="H175" s="30"/>
      <c r="I175" s="30"/>
      <c r="J175" s="24"/>
      <c r="K175" s="24"/>
      <c r="L175" s="32">
        <v>3</v>
      </c>
      <c r="M175" s="14" t="s">
        <v>898</v>
      </c>
      <c r="N175" s="14" t="s">
        <v>899</v>
      </c>
      <c r="O175" s="18" t="s">
        <v>900</v>
      </c>
      <c r="P175" s="195" t="s">
        <v>901</v>
      </c>
      <c r="Q175" s="195" t="s">
        <v>4320</v>
      </c>
      <c r="R175" s="195" t="s">
        <v>902</v>
      </c>
      <c r="S175" s="195" t="s">
        <v>21</v>
      </c>
      <c r="T175" s="195">
        <v>560017</v>
      </c>
      <c r="U175" s="195" t="s">
        <v>22</v>
      </c>
      <c r="V175" s="195" t="s">
        <v>23</v>
      </c>
      <c r="W175" s="193">
        <v>8</v>
      </c>
      <c r="X175" s="195">
        <v>0</v>
      </c>
      <c r="Y175" s="195">
        <v>7</v>
      </c>
      <c r="Z175" s="195">
        <v>1</v>
      </c>
      <c r="AA175" s="193" t="s">
        <v>4118</v>
      </c>
      <c r="AB175" s="2"/>
    </row>
    <row r="176" spans="1:28" ht="15" customHeight="1">
      <c r="A176" s="16">
        <v>175</v>
      </c>
      <c r="B176" s="14" t="s">
        <v>903</v>
      </c>
      <c r="C176" s="14" t="str">
        <f>_xlfn.CONCAT(B176&amp;" "&amp;W176&amp;X176&amp;Y176&amp;Z176)</f>
        <v>ISRO Satellite Centre 8071</v>
      </c>
      <c r="D176" s="16">
        <v>195</v>
      </c>
      <c r="E176" s="14" t="s">
        <v>42</v>
      </c>
      <c r="F176" s="14"/>
      <c r="G176" s="30">
        <v>40491</v>
      </c>
      <c r="H176" s="30"/>
      <c r="I176" s="30"/>
      <c r="J176" s="24"/>
      <c r="K176" s="24"/>
      <c r="L176" s="32">
        <v>3</v>
      </c>
      <c r="M176" s="14" t="s">
        <v>904</v>
      </c>
      <c r="N176" s="8"/>
      <c r="O176" s="18" t="s">
        <v>900</v>
      </c>
      <c r="P176" s="195" t="s">
        <v>901</v>
      </c>
      <c r="Q176" s="195" t="s">
        <v>4320</v>
      </c>
      <c r="R176" s="195" t="s">
        <v>902</v>
      </c>
      <c r="S176" s="195" t="s">
        <v>21</v>
      </c>
      <c r="T176" s="195">
        <v>560017</v>
      </c>
      <c r="U176" s="195" t="s">
        <v>22</v>
      </c>
      <c r="V176" s="195" t="s">
        <v>23</v>
      </c>
      <c r="W176" s="193">
        <v>8</v>
      </c>
      <c r="X176" s="195">
        <v>0</v>
      </c>
      <c r="Y176" s="195">
        <v>7</v>
      </c>
      <c r="Z176" s="195">
        <v>1</v>
      </c>
      <c r="AA176" s="193" t="s">
        <v>4118</v>
      </c>
      <c r="AB176" s="2"/>
    </row>
    <row r="177" spans="1:28" ht="15" customHeight="1">
      <c r="A177" s="16">
        <v>176</v>
      </c>
      <c r="B177" s="14" t="s">
        <v>905</v>
      </c>
      <c r="C177" s="14" t="str">
        <f>_xlfn.CONCAT(B177&amp;" "&amp;W177&amp;X177&amp;Y177&amp;Z177)</f>
        <v>Metalman Auto P Ltd 2021</v>
      </c>
      <c r="D177" s="16">
        <v>198</v>
      </c>
      <c r="E177" s="14" t="s">
        <v>42</v>
      </c>
      <c r="F177" s="14"/>
      <c r="G177" s="30">
        <v>40413</v>
      </c>
      <c r="H177" s="30"/>
      <c r="I177" s="30"/>
      <c r="J177" s="24">
        <v>44183</v>
      </c>
      <c r="K177" s="24">
        <v>44547</v>
      </c>
      <c r="L177" s="32">
        <v>3</v>
      </c>
      <c r="M177" s="14" t="s">
        <v>906</v>
      </c>
      <c r="N177" s="8"/>
      <c r="O177" s="18" t="s">
        <v>907</v>
      </c>
      <c r="P177" s="195" t="s">
        <v>908</v>
      </c>
      <c r="Q177" s="195" t="s">
        <v>4321</v>
      </c>
      <c r="R177" s="193"/>
      <c r="S177" s="195" t="s">
        <v>171</v>
      </c>
      <c r="T177" s="195">
        <v>431136</v>
      </c>
      <c r="U177" s="195" t="s">
        <v>172</v>
      </c>
      <c r="V177" s="195" t="s">
        <v>23</v>
      </c>
      <c r="W177" s="193">
        <v>2</v>
      </c>
      <c r="X177" s="195">
        <v>0</v>
      </c>
      <c r="Y177" s="195">
        <v>2</v>
      </c>
      <c r="Z177" s="195">
        <v>1</v>
      </c>
      <c r="AA177" s="193" t="s">
        <v>4118</v>
      </c>
      <c r="AB177" s="2"/>
    </row>
    <row r="178" spans="1:28" ht="15" customHeight="1">
      <c r="A178" s="16">
        <v>177</v>
      </c>
      <c r="B178" s="14" t="s">
        <v>909</v>
      </c>
      <c r="C178" s="14" t="str">
        <f>_xlfn.CONCAT(B178&amp;" "&amp;W178&amp;X178&amp;Y178&amp;Z178)</f>
        <v>SKF India Ltd 8013</v>
      </c>
      <c r="D178" s="16">
        <v>199</v>
      </c>
      <c r="E178" s="14" t="s">
        <v>42</v>
      </c>
      <c r="F178" s="14"/>
      <c r="G178" s="14"/>
      <c r="H178" s="14"/>
      <c r="I178" s="14"/>
      <c r="J178" s="24">
        <v>44574</v>
      </c>
      <c r="K178" s="24">
        <v>44938</v>
      </c>
      <c r="L178" s="32">
        <v>3</v>
      </c>
      <c r="M178" s="14" t="s">
        <v>910</v>
      </c>
      <c r="N178" s="14" t="s">
        <v>911</v>
      </c>
      <c r="O178" s="18" t="s">
        <v>912</v>
      </c>
      <c r="P178" s="195" t="s">
        <v>68</v>
      </c>
      <c r="Q178" s="195" t="s">
        <v>4322</v>
      </c>
      <c r="R178" s="195" t="s">
        <v>166</v>
      </c>
      <c r="S178" s="195" t="s">
        <v>21</v>
      </c>
      <c r="T178" s="195">
        <v>562099</v>
      </c>
      <c r="U178" s="195" t="s">
        <v>22</v>
      </c>
      <c r="V178" s="195" t="s">
        <v>23</v>
      </c>
      <c r="W178" s="193">
        <v>8</v>
      </c>
      <c r="X178" s="195">
        <v>0</v>
      </c>
      <c r="Y178" s="195">
        <v>1</v>
      </c>
      <c r="Z178" s="195">
        <v>3</v>
      </c>
      <c r="AA178" s="193" t="s">
        <v>4118</v>
      </c>
      <c r="AB178" s="2"/>
    </row>
    <row r="179" spans="1:28" ht="15" customHeight="1">
      <c r="A179" s="16">
        <v>178</v>
      </c>
      <c r="B179" s="14" t="s">
        <v>913</v>
      </c>
      <c r="C179" s="14" t="str">
        <f>_xlfn.CONCAT(B179&amp;" "&amp;W179&amp;X179&amp;Y179&amp;Z179)</f>
        <v>Rotary Connectors P Ltd 8071</v>
      </c>
      <c r="D179" s="16">
        <v>208</v>
      </c>
      <c r="E179" s="14" t="s">
        <v>42</v>
      </c>
      <c r="F179" s="14"/>
      <c r="G179" s="14"/>
      <c r="H179" s="14"/>
      <c r="I179" s="14"/>
      <c r="J179" s="24">
        <v>45404</v>
      </c>
      <c r="K179" s="24">
        <v>45768</v>
      </c>
      <c r="L179" s="32">
        <v>3</v>
      </c>
      <c r="M179" s="14" t="s">
        <v>914</v>
      </c>
      <c r="N179" s="8"/>
      <c r="O179" s="18" t="s">
        <v>915</v>
      </c>
      <c r="P179" s="195" t="s">
        <v>916</v>
      </c>
      <c r="Q179" s="195" t="s">
        <v>4323</v>
      </c>
      <c r="R179" s="195" t="s">
        <v>917</v>
      </c>
      <c r="S179" s="195" t="s">
        <v>21</v>
      </c>
      <c r="T179" s="195">
        <v>560044</v>
      </c>
      <c r="U179" s="195" t="s">
        <v>22</v>
      </c>
      <c r="V179" s="195" t="s">
        <v>23</v>
      </c>
      <c r="W179" s="193">
        <v>8</v>
      </c>
      <c r="X179" s="195">
        <v>0</v>
      </c>
      <c r="Y179" s="195">
        <v>7</v>
      </c>
      <c r="Z179" s="195">
        <v>1</v>
      </c>
      <c r="AA179" s="193" t="s">
        <v>4118</v>
      </c>
      <c r="AB179" s="2"/>
    </row>
    <row r="180" spans="1:28" ht="15" customHeight="1">
      <c r="A180" s="16">
        <v>179</v>
      </c>
      <c r="B180" s="14" t="s">
        <v>918</v>
      </c>
      <c r="C180" s="14" t="str">
        <f>_xlfn.CONCAT(B180&amp;" "&amp;W180&amp;X180&amp;Y180&amp;Z180)</f>
        <v>Riyalto Enterprises 4024</v>
      </c>
      <c r="D180" s="16">
        <v>205</v>
      </c>
      <c r="E180" s="14" t="s">
        <v>90</v>
      </c>
      <c r="F180" s="14"/>
      <c r="G180" s="14"/>
      <c r="H180" s="14"/>
      <c r="I180" s="14"/>
      <c r="J180" s="24"/>
      <c r="K180" s="24"/>
      <c r="L180" s="32">
        <v>3</v>
      </c>
      <c r="M180" s="14" t="s">
        <v>919</v>
      </c>
      <c r="N180" s="8"/>
      <c r="O180" s="18" t="s">
        <v>920</v>
      </c>
      <c r="P180" s="195" t="s">
        <v>921</v>
      </c>
      <c r="Q180" s="195" t="s">
        <v>4324</v>
      </c>
      <c r="R180" s="195" t="s">
        <v>922</v>
      </c>
      <c r="S180" s="195" t="s">
        <v>37</v>
      </c>
      <c r="T180" s="195">
        <v>600048</v>
      </c>
      <c r="U180" s="195" t="s">
        <v>38</v>
      </c>
      <c r="V180" s="195" t="s">
        <v>23</v>
      </c>
      <c r="W180" s="193">
        <v>4</v>
      </c>
      <c r="X180" s="195">
        <v>0</v>
      </c>
      <c r="Y180" s="195">
        <v>2</v>
      </c>
      <c r="Z180" s="195">
        <v>4</v>
      </c>
      <c r="AA180" s="193" t="s">
        <v>4148</v>
      </c>
      <c r="AB180" s="2"/>
    </row>
    <row r="181" spans="1:28" ht="15" customHeight="1">
      <c r="A181" s="16">
        <v>180</v>
      </c>
      <c r="B181" s="14" t="s">
        <v>923</v>
      </c>
      <c r="C181" s="14" t="str">
        <f>_xlfn.CONCAT(B181&amp;" "&amp;W181&amp;X181&amp;Y181&amp;Z181)</f>
        <v>Accumatch Die Casters 8004</v>
      </c>
      <c r="D181" s="16">
        <v>206</v>
      </c>
      <c r="E181" s="14" t="s">
        <v>42</v>
      </c>
      <c r="F181" s="14"/>
      <c r="G181" s="14"/>
      <c r="H181" s="14"/>
      <c r="I181" s="14"/>
      <c r="J181" s="24"/>
      <c r="K181" s="24"/>
      <c r="L181" s="32">
        <v>3</v>
      </c>
      <c r="M181" s="9" t="s">
        <v>924</v>
      </c>
      <c r="N181" s="9"/>
      <c r="O181" s="18" t="s">
        <v>925</v>
      </c>
      <c r="P181" s="195" t="s">
        <v>926</v>
      </c>
      <c r="Q181" s="195" t="s">
        <v>4325</v>
      </c>
      <c r="R181" s="195" t="s">
        <v>927</v>
      </c>
      <c r="S181" s="195" t="s">
        <v>928</v>
      </c>
      <c r="T181" s="195">
        <v>416121</v>
      </c>
      <c r="U181" s="195" t="s">
        <v>172</v>
      </c>
      <c r="V181" s="195" t="s">
        <v>23</v>
      </c>
      <c r="W181" s="193">
        <v>8</v>
      </c>
      <c r="X181" s="195">
        <v>0</v>
      </c>
      <c r="Y181" s="195">
        <v>0</v>
      </c>
      <c r="Z181" s="195">
        <v>4</v>
      </c>
      <c r="AA181" s="193" t="s">
        <v>4118</v>
      </c>
      <c r="AB181" s="2"/>
    </row>
    <row r="182" spans="1:28" ht="15" customHeight="1">
      <c r="A182" s="16">
        <v>181</v>
      </c>
      <c r="B182" s="14" t="s">
        <v>929</v>
      </c>
      <c r="C182" s="14" t="str">
        <f>_xlfn.CONCAT(B182&amp;" "&amp;W182&amp;X182&amp;Y182&amp;Z182)</f>
        <v>Romsons Scientific &amp; Surgical Industries P L 1154</v>
      </c>
      <c r="D182" s="16">
        <v>211</v>
      </c>
      <c r="E182" s="14" t="s">
        <v>90</v>
      </c>
      <c r="F182" s="14"/>
      <c r="G182" s="14"/>
      <c r="H182" s="14"/>
      <c r="I182" s="14"/>
      <c r="J182" s="24">
        <v>44423</v>
      </c>
      <c r="K182" s="24">
        <v>44787</v>
      </c>
      <c r="L182" s="32">
        <v>3</v>
      </c>
      <c r="M182" s="14" t="s">
        <v>930</v>
      </c>
      <c r="N182" s="8"/>
      <c r="O182" s="18" t="s">
        <v>931</v>
      </c>
      <c r="P182" s="195" t="s">
        <v>932</v>
      </c>
      <c r="Q182" s="195" t="s">
        <v>4326</v>
      </c>
      <c r="R182" s="193"/>
      <c r="S182" s="195" t="s">
        <v>933</v>
      </c>
      <c r="T182" s="195">
        <v>282006</v>
      </c>
      <c r="U182" s="195" t="s">
        <v>184</v>
      </c>
      <c r="V182" s="195" t="s">
        <v>23</v>
      </c>
      <c r="W182" s="193">
        <v>1</v>
      </c>
      <c r="X182" s="195">
        <v>1</v>
      </c>
      <c r="Y182" s="195">
        <v>5</v>
      </c>
      <c r="Z182" s="195">
        <v>4</v>
      </c>
      <c r="AA182" s="193" t="s">
        <v>4118</v>
      </c>
      <c r="AB182" s="2"/>
    </row>
    <row r="183" spans="1:28" ht="15" customHeight="1">
      <c r="A183" s="16">
        <v>182</v>
      </c>
      <c r="B183" s="14" t="s">
        <v>116</v>
      </c>
      <c r="C183" s="14" t="str">
        <f>_xlfn.CONCAT(B183&amp;" "&amp;W183&amp;X183&amp;Y183&amp;Z183)</f>
        <v>SSF Plastics India Pvt Ltd 1311</v>
      </c>
      <c r="D183" s="16">
        <v>170</v>
      </c>
      <c r="E183" s="14" t="s">
        <v>42</v>
      </c>
      <c r="F183" s="14"/>
      <c r="G183" s="14"/>
      <c r="H183" s="14"/>
      <c r="I183" s="14"/>
      <c r="J183" s="24">
        <v>44145</v>
      </c>
      <c r="K183" s="24">
        <v>44509</v>
      </c>
      <c r="L183" s="32">
        <v>3</v>
      </c>
      <c r="M183" s="14"/>
      <c r="N183" s="8"/>
      <c r="O183" s="18"/>
      <c r="P183" s="15" t="s">
        <v>934</v>
      </c>
      <c r="Q183" s="15" t="s">
        <v>4327</v>
      </c>
      <c r="R183" s="193" t="s">
        <v>935</v>
      </c>
      <c r="S183" s="195" t="s">
        <v>665</v>
      </c>
      <c r="T183" s="195">
        <v>174103</v>
      </c>
      <c r="U183" s="195" t="s">
        <v>336</v>
      </c>
      <c r="V183" s="195" t="s">
        <v>23</v>
      </c>
      <c r="W183" s="193">
        <v>1</v>
      </c>
      <c r="X183" s="195">
        <v>3</v>
      </c>
      <c r="Y183" s="195">
        <v>1</v>
      </c>
      <c r="Z183" s="195">
        <v>1</v>
      </c>
      <c r="AA183" s="193" t="s">
        <v>4118</v>
      </c>
      <c r="AB183" s="2"/>
    </row>
    <row r="184" spans="1:28" ht="15" customHeight="1">
      <c r="A184" s="16">
        <v>183</v>
      </c>
      <c r="B184" s="14" t="s">
        <v>937</v>
      </c>
      <c r="C184" s="14" t="str">
        <f>_xlfn.CONCAT(B184&amp;" "&amp;W184&amp;X184&amp;Y184&amp;Z184)</f>
        <v>Kishore Industries 2021</v>
      </c>
      <c r="D184" s="16">
        <v>212</v>
      </c>
      <c r="E184" s="14" t="s">
        <v>42</v>
      </c>
      <c r="F184" s="14"/>
      <c r="G184" s="14"/>
      <c r="H184" s="14"/>
      <c r="I184" s="14"/>
      <c r="J184" s="24">
        <v>43624</v>
      </c>
      <c r="K184" s="24">
        <v>43989</v>
      </c>
      <c r="L184" s="32">
        <v>3</v>
      </c>
      <c r="M184" s="14" t="s">
        <v>938</v>
      </c>
      <c r="N184" s="8"/>
      <c r="O184" s="19"/>
      <c r="P184" s="195" t="s">
        <v>908</v>
      </c>
      <c r="Q184" s="195" t="s">
        <v>4328</v>
      </c>
      <c r="R184" s="193"/>
      <c r="S184" s="195" t="s">
        <v>171</v>
      </c>
      <c r="T184" s="195">
        <v>431000</v>
      </c>
      <c r="U184" s="195" t="s">
        <v>172</v>
      </c>
      <c r="V184" s="195" t="s">
        <v>23</v>
      </c>
      <c r="W184" s="193">
        <v>2</v>
      </c>
      <c r="X184" s="195">
        <v>0</v>
      </c>
      <c r="Y184" s="195">
        <v>2</v>
      </c>
      <c r="Z184" s="195">
        <v>1</v>
      </c>
      <c r="AA184" s="193" t="s">
        <v>4118</v>
      </c>
      <c r="AB184" s="2"/>
    </row>
    <row r="185" spans="1:28" ht="15" customHeight="1">
      <c r="A185" s="16">
        <v>184</v>
      </c>
      <c r="B185" s="14" t="s">
        <v>939</v>
      </c>
      <c r="C185" s="14" t="str">
        <f>_xlfn.CONCAT(B185&amp;" "&amp;W185&amp;X185&amp;Y185&amp;Z185)</f>
        <v>Geoff Poly Technologies 4022</v>
      </c>
      <c r="D185" s="16">
        <v>217</v>
      </c>
      <c r="E185" s="14" t="s">
        <v>90</v>
      </c>
      <c r="F185" s="14"/>
      <c r="G185" s="14"/>
      <c r="H185" s="14"/>
      <c r="I185" s="14"/>
      <c r="J185" s="24">
        <v>43583</v>
      </c>
      <c r="K185" s="24">
        <v>43948</v>
      </c>
      <c r="L185" s="32">
        <v>3</v>
      </c>
      <c r="M185" s="14" t="s">
        <v>940</v>
      </c>
      <c r="N185" s="14" t="s">
        <v>361</v>
      </c>
      <c r="O185" s="18" t="s">
        <v>941</v>
      </c>
      <c r="P185" s="195" t="s">
        <v>942</v>
      </c>
      <c r="Q185" s="195" t="s">
        <v>4329</v>
      </c>
      <c r="R185" s="195" t="s">
        <v>943</v>
      </c>
      <c r="S185" s="195" t="s">
        <v>37</v>
      </c>
      <c r="T185" s="195">
        <v>600044</v>
      </c>
      <c r="U185" s="195" t="s">
        <v>38</v>
      </c>
      <c r="V185" s="195" t="s">
        <v>23</v>
      </c>
      <c r="W185" s="193">
        <v>4</v>
      </c>
      <c r="X185" s="195">
        <v>0</v>
      </c>
      <c r="Y185" s="195">
        <v>2</v>
      </c>
      <c r="Z185" s="195">
        <v>2</v>
      </c>
      <c r="AA185" s="193" t="s">
        <v>4148</v>
      </c>
      <c r="AB185" s="2"/>
    </row>
    <row r="186" spans="1:28" ht="15" customHeight="1">
      <c r="A186" s="16">
        <v>185</v>
      </c>
      <c r="B186" s="9" t="s">
        <v>573</v>
      </c>
      <c r="C186" s="14" t="str">
        <f>_xlfn.CONCAT(B186&amp;" "&amp;W186&amp;X186&amp;Y186&amp;Z186)</f>
        <v>West Pharmaceutical Services Singapore Pte Ltd 0000</v>
      </c>
      <c r="D186" s="16">
        <v>223</v>
      </c>
      <c r="E186" s="9" t="s">
        <v>42</v>
      </c>
      <c r="F186" s="9"/>
      <c r="G186" s="9"/>
      <c r="H186" s="9"/>
      <c r="I186" s="9"/>
      <c r="J186" s="24">
        <v>42966</v>
      </c>
      <c r="K186" s="24">
        <v>43330</v>
      </c>
      <c r="L186" s="32">
        <v>3</v>
      </c>
      <c r="M186" s="9"/>
      <c r="N186" s="8"/>
      <c r="O186" s="18">
        <v>6568623400</v>
      </c>
      <c r="P186" s="193"/>
      <c r="Q186" s="193" t="s">
        <v>4252</v>
      </c>
      <c r="R186" s="193"/>
      <c r="S186" s="193" t="s">
        <v>575</v>
      </c>
      <c r="T186" s="195">
        <v>629046</v>
      </c>
      <c r="U186" s="193" t="s">
        <v>574</v>
      </c>
      <c r="V186" s="195" t="s">
        <v>575</v>
      </c>
      <c r="W186" s="193">
        <v>0</v>
      </c>
      <c r="X186" s="195">
        <v>0</v>
      </c>
      <c r="Y186" s="195">
        <v>0</v>
      </c>
      <c r="Z186" s="195">
        <v>0</v>
      </c>
      <c r="AA186" s="193">
        <v>0</v>
      </c>
      <c r="AB186" s="2"/>
    </row>
    <row r="187" spans="1:28" ht="15" customHeight="1">
      <c r="A187" s="16">
        <v>186</v>
      </c>
      <c r="B187" s="14" t="s">
        <v>945</v>
      </c>
      <c r="C187" s="14" t="str">
        <f>_xlfn.CONCAT(B187&amp;" "&amp;W187&amp;X187&amp;Y187&amp;Z187)</f>
        <v>Nashik Engg Cluster 2301</v>
      </c>
      <c r="D187" s="16">
        <v>215</v>
      </c>
      <c r="E187" s="14" t="s">
        <v>42</v>
      </c>
      <c r="F187" s="14"/>
      <c r="G187" s="14"/>
      <c r="H187" s="14"/>
      <c r="I187" s="14"/>
      <c r="J187" s="24"/>
      <c r="K187" s="24"/>
      <c r="L187" s="32">
        <v>3</v>
      </c>
      <c r="M187" s="14" t="s">
        <v>946</v>
      </c>
      <c r="N187" s="14" t="s">
        <v>947</v>
      </c>
      <c r="O187" s="18" t="s">
        <v>948</v>
      </c>
      <c r="P187" s="195" t="s">
        <v>949</v>
      </c>
      <c r="Q187" s="195" t="s">
        <v>4330</v>
      </c>
      <c r="R187" s="193"/>
      <c r="S187" s="195" t="s">
        <v>321</v>
      </c>
      <c r="T187" s="195">
        <v>422007</v>
      </c>
      <c r="U187" s="195" t="s">
        <v>172</v>
      </c>
      <c r="V187" s="195" t="s">
        <v>23</v>
      </c>
      <c r="W187" s="193">
        <v>2</v>
      </c>
      <c r="X187" s="195">
        <v>3</v>
      </c>
      <c r="Y187" s="195">
        <v>0</v>
      </c>
      <c r="Z187" s="195">
        <v>1</v>
      </c>
      <c r="AA187" s="193" t="s">
        <v>5215</v>
      </c>
      <c r="AB187" s="2"/>
    </row>
    <row r="188" spans="1:28" ht="15" customHeight="1">
      <c r="A188" s="16">
        <v>187</v>
      </c>
      <c r="B188" s="14" t="s">
        <v>950</v>
      </c>
      <c r="C188" s="14" t="str">
        <f>_xlfn.CONCAT(B188&amp;" "&amp;W188&amp;X188&amp;Y188&amp;Z188)</f>
        <v>Opel Auto Products P Ltd 4031</v>
      </c>
      <c r="D188" s="16">
        <v>230</v>
      </c>
      <c r="E188" s="14" t="s">
        <v>42</v>
      </c>
      <c r="F188" s="14"/>
      <c r="G188" s="14"/>
      <c r="H188" s="14"/>
      <c r="I188" s="14"/>
      <c r="J188" s="24"/>
      <c r="K188" s="24"/>
      <c r="L188" s="32">
        <v>3</v>
      </c>
      <c r="M188" s="14" t="s">
        <v>951</v>
      </c>
      <c r="N188" s="8"/>
      <c r="O188" s="19"/>
      <c r="P188" s="195" t="s">
        <v>952</v>
      </c>
      <c r="Q188" s="195" t="s">
        <v>4331</v>
      </c>
      <c r="R188" s="195" t="s">
        <v>953</v>
      </c>
      <c r="S188" s="195" t="s">
        <v>37</v>
      </c>
      <c r="T188" s="195">
        <v>602107</v>
      </c>
      <c r="U188" s="195" t="s">
        <v>38</v>
      </c>
      <c r="V188" s="195" t="s">
        <v>23</v>
      </c>
      <c r="W188" s="193">
        <v>4</v>
      </c>
      <c r="X188" s="195">
        <v>0</v>
      </c>
      <c r="Y188" s="195">
        <v>3</v>
      </c>
      <c r="Z188" s="195">
        <v>1</v>
      </c>
      <c r="AA188" s="193" t="s">
        <v>4148</v>
      </c>
      <c r="AB188" s="2"/>
    </row>
    <row r="189" spans="1:28" ht="15" customHeight="1">
      <c r="A189" s="16">
        <v>188</v>
      </c>
      <c r="B189" s="14" t="s">
        <v>954</v>
      </c>
      <c r="C189" s="14" t="str">
        <f>_xlfn.CONCAT(B189&amp;" "&amp;W189&amp;X189&amp;Y189&amp;Z189)</f>
        <v>Brown Diamond Tools 4021</v>
      </c>
      <c r="D189" s="16">
        <v>213</v>
      </c>
      <c r="E189" s="14" t="s">
        <v>42</v>
      </c>
      <c r="F189" s="14"/>
      <c r="G189" s="14"/>
      <c r="H189" s="14"/>
      <c r="I189" s="14"/>
      <c r="J189" s="24">
        <v>44173</v>
      </c>
      <c r="K189" s="24">
        <v>44537</v>
      </c>
      <c r="L189" s="32">
        <v>3</v>
      </c>
      <c r="M189" s="14" t="s">
        <v>955</v>
      </c>
      <c r="N189" s="14" t="s">
        <v>325</v>
      </c>
      <c r="O189" s="18" t="s">
        <v>956</v>
      </c>
      <c r="P189" s="195" t="s">
        <v>957</v>
      </c>
      <c r="Q189" s="195" t="s">
        <v>4332</v>
      </c>
      <c r="R189" s="195" t="s">
        <v>358</v>
      </c>
      <c r="S189" s="195" t="s">
        <v>37</v>
      </c>
      <c r="T189" s="195">
        <v>600096</v>
      </c>
      <c r="U189" s="195" t="s">
        <v>38</v>
      </c>
      <c r="V189" s="195" t="s">
        <v>23</v>
      </c>
      <c r="W189" s="193">
        <v>4</v>
      </c>
      <c r="X189" s="195">
        <v>0</v>
      </c>
      <c r="Y189" s="195">
        <v>2</v>
      </c>
      <c r="Z189" s="195">
        <v>1</v>
      </c>
      <c r="AA189" s="193" t="s">
        <v>4148</v>
      </c>
      <c r="AB189" s="2"/>
    </row>
    <row r="190" spans="1:28" ht="15" customHeight="1">
      <c r="A190" s="16">
        <v>189</v>
      </c>
      <c r="B190" s="14" t="s">
        <v>864</v>
      </c>
      <c r="C190" s="14" t="str">
        <f>_xlfn.CONCAT(B190&amp;" "&amp;W190&amp;X190&amp;Y190&amp;Z190)</f>
        <v>Brakes India Pvt Ltd 4041</v>
      </c>
      <c r="D190" s="16">
        <v>222</v>
      </c>
      <c r="E190" s="14" t="s">
        <v>90</v>
      </c>
      <c r="F190" s="14"/>
      <c r="G190" s="14"/>
      <c r="H190" s="14"/>
      <c r="I190" s="14"/>
      <c r="J190" s="24">
        <v>44287</v>
      </c>
      <c r="K190" s="24">
        <v>44651</v>
      </c>
      <c r="L190" s="32">
        <v>3</v>
      </c>
      <c r="M190" s="14" t="s">
        <v>958</v>
      </c>
      <c r="N190" s="14" t="s">
        <v>959</v>
      </c>
      <c r="O190" s="18" t="s">
        <v>960</v>
      </c>
      <c r="P190" s="193"/>
      <c r="Q190" s="193" t="s">
        <v>3027</v>
      </c>
      <c r="R190" s="193"/>
      <c r="S190" s="195" t="s">
        <v>37</v>
      </c>
      <c r="T190" s="195">
        <v>600050</v>
      </c>
      <c r="U190" s="195" t="s">
        <v>38</v>
      </c>
      <c r="V190" s="195" t="s">
        <v>23</v>
      </c>
      <c r="W190" s="193">
        <v>4</v>
      </c>
      <c r="X190" s="195">
        <v>0</v>
      </c>
      <c r="Y190" s="195">
        <v>4</v>
      </c>
      <c r="Z190" s="195">
        <v>1</v>
      </c>
      <c r="AA190" s="193" t="s">
        <v>4148</v>
      </c>
      <c r="AB190" s="2"/>
    </row>
    <row r="191" spans="1:28" ht="15" customHeight="1">
      <c r="A191" s="16">
        <v>190</v>
      </c>
      <c r="B191" s="14" t="s">
        <v>962</v>
      </c>
      <c r="C191" s="14" t="str">
        <f>_xlfn.CONCAT(B191&amp;" "&amp;W191&amp;X191&amp;Y191&amp;Z191)</f>
        <v>KSH International P Ltd 2421</v>
      </c>
      <c r="D191" s="16">
        <v>226</v>
      </c>
      <c r="E191" s="14" t="s">
        <v>42</v>
      </c>
      <c r="F191" s="14"/>
      <c r="G191" s="30">
        <v>40546</v>
      </c>
      <c r="H191" s="30"/>
      <c r="I191" s="30"/>
      <c r="J191" s="24"/>
      <c r="K191" s="24"/>
      <c r="L191" s="32">
        <v>3</v>
      </c>
      <c r="M191" s="14" t="s">
        <v>963</v>
      </c>
      <c r="N191" s="14" t="s">
        <v>964</v>
      </c>
      <c r="O191" s="18" t="s">
        <v>965</v>
      </c>
      <c r="P191" s="195" t="s">
        <v>480</v>
      </c>
      <c r="Q191" s="195" t="s">
        <v>4333</v>
      </c>
      <c r="R191" s="193"/>
      <c r="S191" s="195" t="s">
        <v>215</v>
      </c>
      <c r="T191" s="195">
        <v>410501</v>
      </c>
      <c r="U191" s="195" t="s">
        <v>172</v>
      </c>
      <c r="V191" s="195" t="s">
        <v>23</v>
      </c>
      <c r="W191" s="193">
        <v>2</v>
      </c>
      <c r="X191" s="195">
        <v>4</v>
      </c>
      <c r="Y191" s="195">
        <v>2</v>
      </c>
      <c r="Z191" s="195">
        <v>1</v>
      </c>
      <c r="AA191" s="193" t="s">
        <v>4151</v>
      </c>
      <c r="AB191" s="2"/>
    </row>
    <row r="192" spans="1:28" ht="15" customHeight="1">
      <c r="A192" s="16">
        <v>191</v>
      </c>
      <c r="B192" s="14" t="s">
        <v>966</v>
      </c>
      <c r="C192" s="14" t="str">
        <f>_xlfn.CONCAT(B192&amp;" "&amp;W192&amp;X192&amp;Y192&amp;Z192)</f>
        <v>Yazaki India Pvt Ltd (Tata Yazaki Autocomp Ltd) 5011</v>
      </c>
      <c r="D192" s="16">
        <v>220</v>
      </c>
      <c r="E192" s="14" t="s">
        <v>42</v>
      </c>
      <c r="F192" s="14"/>
      <c r="G192" s="30">
        <v>40550</v>
      </c>
      <c r="H192" s="30"/>
      <c r="I192" s="30"/>
      <c r="J192" s="24">
        <v>44487</v>
      </c>
      <c r="K192" s="24">
        <v>44851</v>
      </c>
      <c r="L192" s="32">
        <v>3</v>
      </c>
      <c r="M192" s="14" t="s">
        <v>967</v>
      </c>
      <c r="N192" s="14" t="s">
        <v>968</v>
      </c>
      <c r="O192" s="19"/>
      <c r="P192" s="195" t="s">
        <v>969</v>
      </c>
      <c r="Q192" s="195" t="s">
        <v>4334</v>
      </c>
      <c r="R192" s="195" t="s">
        <v>970</v>
      </c>
      <c r="S192" s="195" t="s">
        <v>215</v>
      </c>
      <c r="T192" s="195">
        <v>412207</v>
      </c>
      <c r="U192" s="195" t="s">
        <v>172</v>
      </c>
      <c r="V192" s="195" t="s">
        <v>23</v>
      </c>
      <c r="W192" s="193">
        <v>5</v>
      </c>
      <c r="X192" s="195">
        <v>0</v>
      </c>
      <c r="Y192" s="195">
        <v>1</v>
      </c>
      <c r="Z192" s="195">
        <v>1</v>
      </c>
      <c r="AA192" s="193" t="s">
        <v>4118</v>
      </c>
      <c r="AB192" s="2"/>
    </row>
    <row r="193" spans="1:28" ht="15" customHeight="1">
      <c r="A193" s="16">
        <v>192</v>
      </c>
      <c r="B193" s="14" t="s">
        <v>971</v>
      </c>
      <c r="C193" s="14" t="str">
        <f>_xlfn.CONCAT(B193&amp;" "&amp;W193&amp;X193&amp;Y193&amp;Z193)</f>
        <v>S.N Metallurgical Services 2021</v>
      </c>
      <c r="D193" s="16">
        <v>224</v>
      </c>
      <c r="E193" s="14" t="s">
        <v>823</v>
      </c>
      <c r="F193" s="14"/>
      <c r="G193" s="14"/>
      <c r="H193" s="14"/>
      <c r="I193" s="14"/>
      <c r="J193" s="24"/>
      <c r="K193" s="24"/>
      <c r="L193" s="32">
        <v>3</v>
      </c>
      <c r="M193" s="14" t="s">
        <v>972</v>
      </c>
      <c r="N193" s="8"/>
      <c r="O193" s="18" t="s">
        <v>973</v>
      </c>
      <c r="P193" s="195" t="s">
        <v>974</v>
      </c>
      <c r="Q193" s="195" t="s">
        <v>4335</v>
      </c>
      <c r="R193" s="195" t="s">
        <v>908</v>
      </c>
      <c r="S193" s="195" t="s">
        <v>171</v>
      </c>
      <c r="T193" s="195">
        <v>431136</v>
      </c>
      <c r="U193" s="195" t="s">
        <v>172</v>
      </c>
      <c r="V193" s="195" t="s">
        <v>23</v>
      </c>
      <c r="W193" s="193">
        <v>2</v>
      </c>
      <c r="X193" s="195">
        <v>0</v>
      </c>
      <c r="Y193" s="195">
        <v>2</v>
      </c>
      <c r="Z193" s="195">
        <v>1</v>
      </c>
      <c r="AA193" s="193" t="s">
        <v>4118</v>
      </c>
      <c r="AB193" s="2"/>
    </row>
    <row r="194" spans="1:28" ht="15" customHeight="1">
      <c r="A194" s="16">
        <v>193</v>
      </c>
      <c r="B194" s="14" t="s">
        <v>975</v>
      </c>
      <c r="C194" s="14" t="str">
        <f>_xlfn.CONCAT(B194&amp;" "&amp;W194&amp;X194&amp;Y194&amp;Z194)</f>
        <v>SMP Autotech P Ltd 2301</v>
      </c>
      <c r="D194" s="16">
        <v>233</v>
      </c>
      <c r="E194" s="14" t="s">
        <v>90</v>
      </c>
      <c r="F194" s="14"/>
      <c r="G194" s="30">
        <v>40588</v>
      </c>
      <c r="H194" s="30"/>
      <c r="I194" s="30"/>
      <c r="J194" s="24">
        <v>45474</v>
      </c>
      <c r="K194" s="24">
        <v>45838</v>
      </c>
      <c r="L194" s="32">
        <v>3</v>
      </c>
      <c r="M194" s="14" t="s">
        <v>976</v>
      </c>
      <c r="N194" s="14" t="s">
        <v>71</v>
      </c>
      <c r="O194" s="18" t="s">
        <v>977</v>
      </c>
      <c r="P194" s="195" t="s">
        <v>502</v>
      </c>
      <c r="Q194" s="195" t="s">
        <v>4336</v>
      </c>
      <c r="R194" s="193"/>
      <c r="S194" s="195" t="s">
        <v>321</v>
      </c>
      <c r="T194" s="195">
        <v>422010</v>
      </c>
      <c r="U194" s="195" t="s">
        <v>172</v>
      </c>
      <c r="V194" s="195" t="s">
        <v>23</v>
      </c>
      <c r="W194" s="193">
        <v>2</v>
      </c>
      <c r="X194" s="195">
        <v>3</v>
      </c>
      <c r="Y194" s="195">
        <v>0</v>
      </c>
      <c r="Z194" s="195">
        <v>1</v>
      </c>
      <c r="AA194" s="193" t="s">
        <v>5215</v>
      </c>
      <c r="AB194" s="2"/>
    </row>
    <row r="195" spans="1:28" ht="15" customHeight="1">
      <c r="A195" s="16">
        <v>194</v>
      </c>
      <c r="B195" s="14" t="s">
        <v>430</v>
      </c>
      <c r="C195" s="14" t="str">
        <f>_xlfn.CONCAT(B195&amp;" "&amp;W195&amp;X195&amp;Y195&amp;Z195)</f>
        <v>Mindarika (P) Ltd 1111</v>
      </c>
      <c r="D195" s="16">
        <v>229</v>
      </c>
      <c r="E195" s="14" t="s">
        <v>42</v>
      </c>
      <c r="F195" s="14"/>
      <c r="G195" s="14"/>
      <c r="H195" s="14"/>
      <c r="I195" s="14"/>
      <c r="J195" s="24">
        <v>44600</v>
      </c>
      <c r="K195" s="24">
        <v>44964</v>
      </c>
      <c r="L195" s="32">
        <v>3</v>
      </c>
      <c r="M195" s="14" t="s">
        <v>978</v>
      </c>
      <c r="N195" s="14" t="s">
        <v>979</v>
      </c>
      <c r="O195" s="18" t="s">
        <v>980</v>
      </c>
      <c r="P195" s="195" t="s">
        <v>981</v>
      </c>
      <c r="Q195" s="195" t="s">
        <v>4337</v>
      </c>
      <c r="R195" s="193"/>
      <c r="S195" s="195" t="s">
        <v>428</v>
      </c>
      <c r="T195" s="195">
        <v>122004</v>
      </c>
      <c r="U195" s="195" t="s">
        <v>429</v>
      </c>
      <c r="V195" s="195" t="s">
        <v>23</v>
      </c>
      <c r="W195" s="193">
        <v>1</v>
      </c>
      <c r="X195" s="195">
        <v>1</v>
      </c>
      <c r="Y195" s="195">
        <v>1</v>
      </c>
      <c r="Z195" s="195">
        <v>1</v>
      </c>
      <c r="AA195" s="193" t="s">
        <v>4118</v>
      </c>
      <c r="AB195" s="2"/>
    </row>
    <row r="196" spans="1:28" ht="15" customHeight="1">
      <c r="A196" s="16">
        <v>195</v>
      </c>
      <c r="B196" s="14" t="s">
        <v>982</v>
      </c>
      <c r="C196" s="14" t="str">
        <f>_xlfn.CONCAT(B196&amp;" "&amp;W196&amp;X196&amp;Y196&amp;Z196)</f>
        <v>Ashvini Magnets P Ltd 2421</v>
      </c>
      <c r="D196" s="16">
        <v>237</v>
      </c>
      <c r="E196" s="14" t="s">
        <v>42</v>
      </c>
      <c r="F196" s="14"/>
      <c r="G196" s="14"/>
      <c r="H196" s="14"/>
      <c r="I196" s="14"/>
      <c r="J196" s="24">
        <v>45821</v>
      </c>
      <c r="K196" s="24">
        <v>46185</v>
      </c>
      <c r="L196" s="32">
        <v>3</v>
      </c>
      <c r="M196" s="14" t="s">
        <v>983</v>
      </c>
      <c r="N196" s="14" t="s">
        <v>71</v>
      </c>
      <c r="O196" s="18" t="s">
        <v>984</v>
      </c>
      <c r="P196" s="195" t="s">
        <v>985</v>
      </c>
      <c r="Q196" s="195" t="s">
        <v>4338</v>
      </c>
      <c r="R196" s="193"/>
      <c r="S196" s="195" t="s">
        <v>215</v>
      </c>
      <c r="T196" s="195">
        <v>411057</v>
      </c>
      <c r="U196" s="195" t="s">
        <v>172</v>
      </c>
      <c r="V196" s="195" t="s">
        <v>23</v>
      </c>
      <c r="W196" s="193">
        <v>2</v>
      </c>
      <c r="X196" s="195">
        <v>4</v>
      </c>
      <c r="Y196" s="195">
        <v>2</v>
      </c>
      <c r="Z196" s="195">
        <v>1</v>
      </c>
      <c r="AA196" s="193" t="s">
        <v>4151</v>
      </c>
      <c r="AB196" s="2"/>
    </row>
    <row r="197" spans="1:28" ht="15" customHeight="1">
      <c r="A197" s="16">
        <v>196</v>
      </c>
      <c r="B197" s="14" t="s">
        <v>89</v>
      </c>
      <c r="C197" s="14" t="str">
        <f>_xlfn.CONCAT(B197&amp;" "&amp;W197&amp;X197&amp;Y197&amp;Z197)</f>
        <v>Mastercraft Engineers P Ltd 8012</v>
      </c>
      <c r="D197" s="16">
        <v>260</v>
      </c>
      <c r="E197" s="14" t="s">
        <v>90</v>
      </c>
      <c r="F197" s="14"/>
      <c r="G197" s="14"/>
      <c r="H197" s="14"/>
      <c r="I197" s="14"/>
      <c r="J197" s="24">
        <v>44596</v>
      </c>
      <c r="K197" s="24">
        <v>44960</v>
      </c>
      <c r="L197" s="32">
        <v>3</v>
      </c>
      <c r="M197" s="14" t="s">
        <v>91</v>
      </c>
      <c r="N197" s="14" t="s">
        <v>92</v>
      </c>
      <c r="O197" s="18" t="s">
        <v>93</v>
      </c>
      <c r="P197" s="195" t="s">
        <v>94</v>
      </c>
      <c r="Q197" s="195" t="s">
        <v>4164</v>
      </c>
      <c r="R197" s="195" t="s">
        <v>95</v>
      </c>
      <c r="S197" s="195" t="s">
        <v>21</v>
      </c>
      <c r="T197" s="195">
        <v>560099</v>
      </c>
      <c r="U197" s="195" t="s">
        <v>22</v>
      </c>
      <c r="V197" s="195" t="s">
        <v>23</v>
      </c>
      <c r="W197" s="193">
        <v>8</v>
      </c>
      <c r="X197" s="195">
        <v>0</v>
      </c>
      <c r="Y197" s="195">
        <v>1</v>
      </c>
      <c r="Z197" s="195">
        <v>2</v>
      </c>
      <c r="AA197" s="193" t="s">
        <v>4118</v>
      </c>
      <c r="AB197" s="2"/>
    </row>
    <row r="198" spans="1:28" ht="15" customHeight="1">
      <c r="A198" s="16">
        <v>197</v>
      </c>
      <c r="B198" s="14" t="s">
        <v>986</v>
      </c>
      <c r="C198" s="14" t="str">
        <f>_xlfn.CONCAT(B198&amp;" "&amp;W198&amp;X198&amp;Y198&amp;Z198)</f>
        <v>Aurolab 4101</v>
      </c>
      <c r="D198" s="16">
        <v>232</v>
      </c>
      <c r="E198" s="14" t="s">
        <v>42</v>
      </c>
      <c r="F198" s="14"/>
      <c r="G198" s="14"/>
      <c r="H198" s="14"/>
      <c r="I198" s="14"/>
      <c r="J198" s="24">
        <v>44623</v>
      </c>
      <c r="K198" s="24">
        <v>44987</v>
      </c>
      <c r="L198" s="32">
        <v>3</v>
      </c>
      <c r="M198" s="14" t="s">
        <v>987</v>
      </c>
      <c r="N198" s="14" t="s">
        <v>988</v>
      </c>
      <c r="O198" s="18" t="s">
        <v>989</v>
      </c>
      <c r="P198" s="195" t="s">
        <v>990</v>
      </c>
      <c r="Q198" s="195" t="s">
        <v>4339</v>
      </c>
      <c r="R198" s="193"/>
      <c r="S198" s="195" t="s">
        <v>894</v>
      </c>
      <c r="T198" s="195">
        <v>6250201</v>
      </c>
      <c r="U198" s="195" t="s">
        <v>38</v>
      </c>
      <c r="V198" s="195" t="s">
        <v>23</v>
      </c>
      <c r="W198" s="193">
        <v>4</v>
      </c>
      <c r="X198" s="195">
        <v>1</v>
      </c>
      <c r="Y198" s="195">
        <v>0</v>
      </c>
      <c r="Z198" s="195">
        <v>1</v>
      </c>
      <c r="AA198" s="193" t="s">
        <v>4148</v>
      </c>
      <c r="AB198" s="2"/>
    </row>
    <row r="199" spans="1:28" ht="15" customHeight="1">
      <c r="A199" s="16">
        <v>198</v>
      </c>
      <c r="B199" s="14" t="s">
        <v>991</v>
      </c>
      <c r="C199" s="14" t="str">
        <f>_xlfn.CONCAT(B199&amp;" "&amp;W199&amp;X199&amp;Y199&amp;Z199)</f>
        <v>Appasamy Associates 4013</v>
      </c>
      <c r="D199" s="16">
        <v>359</v>
      </c>
      <c r="E199" s="14" t="s">
        <v>42</v>
      </c>
      <c r="F199" s="14"/>
      <c r="G199" s="30">
        <v>41336</v>
      </c>
      <c r="H199" s="30"/>
      <c r="I199" s="30"/>
      <c r="J199" s="24">
        <v>45762</v>
      </c>
      <c r="K199" s="24">
        <v>46126</v>
      </c>
      <c r="L199" s="32">
        <v>3</v>
      </c>
      <c r="M199" s="14" t="s">
        <v>992</v>
      </c>
      <c r="N199" s="14" t="s">
        <v>993</v>
      </c>
      <c r="O199" s="18" t="s">
        <v>994</v>
      </c>
      <c r="P199" s="195" t="s">
        <v>995</v>
      </c>
      <c r="Q199" s="195" t="s">
        <v>4340</v>
      </c>
      <c r="R199" s="195" t="s">
        <v>996</v>
      </c>
      <c r="S199" s="195" t="s">
        <v>997</v>
      </c>
      <c r="T199" s="195">
        <v>605102</v>
      </c>
      <c r="U199" s="195" t="s">
        <v>38</v>
      </c>
      <c r="V199" s="195" t="s">
        <v>23</v>
      </c>
      <c r="W199" s="193">
        <v>4</v>
      </c>
      <c r="X199" s="195">
        <v>0</v>
      </c>
      <c r="Y199" s="195">
        <v>1</v>
      </c>
      <c r="Z199" s="195">
        <v>3</v>
      </c>
      <c r="AA199" s="193" t="s">
        <v>4148</v>
      </c>
      <c r="AB199" s="2"/>
    </row>
    <row r="200" spans="1:28" ht="15" customHeight="1">
      <c r="A200" s="16">
        <v>199</v>
      </c>
      <c r="B200" s="14" t="s">
        <v>998</v>
      </c>
      <c r="C200" s="14" t="str">
        <f>_xlfn.CONCAT(B200&amp;" "&amp;W200&amp;X200&amp;Y200&amp;Z200)</f>
        <v>Saturn Industries 8081</v>
      </c>
      <c r="D200" s="16">
        <v>235</v>
      </c>
      <c r="E200" s="14" t="s">
        <v>42</v>
      </c>
      <c r="F200" s="14"/>
      <c r="G200" s="30">
        <v>40627</v>
      </c>
      <c r="H200" s="30"/>
      <c r="I200" s="30"/>
      <c r="J200" s="24">
        <v>45427</v>
      </c>
      <c r="K200" s="24">
        <v>45791</v>
      </c>
      <c r="L200" s="32">
        <v>3</v>
      </c>
      <c r="M200" s="14" t="s">
        <v>999</v>
      </c>
      <c r="N200" s="14" t="s">
        <v>1000</v>
      </c>
      <c r="O200" s="18" t="s">
        <v>1001</v>
      </c>
      <c r="P200" s="195" t="s">
        <v>1002</v>
      </c>
      <c r="Q200" s="195" t="s">
        <v>4341</v>
      </c>
      <c r="R200" s="195" t="s">
        <v>398</v>
      </c>
      <c r="S200" s="195" t="s">
        <v>21</v>
      </c>
      <c r="T200" s="195" t="s">
        <v>1003</v>
      </c>
      <c r="U200" s="195" t="s">
        <v>22</v>
      </c>
      <c r="V200" s="195" t="s">
        <v>23</v>
      </c>
      <c r="W200" s="193">
        <v>8</v>
      </c>
      <c r="X200" s="195">
        <v>0</v>
      </c>
      <c r="Y200" s="195">
        <v>8</v>
      </c>
      <c r="Z200" s="195">
        <v>1</v>
      </c>
      <c r="AA200" s="193" t="s">
        <v>4118</v>
      </c>
      <c r="AB200" s="2"/>
    </row>
    <row r="201" spans="1:28" ht="15" customHeight="1">
      <c r="A201" s="16">
        <v>200</v>
      </c>
      <c r="B201" s="14" t="s">
        <v>1004</v>
      </c>
      <c r="C201" s="14" t="str">
        <f>_xlfn.CONCAT(B201&amp;" "&amp;W201&amp;X201&amp;Y201&amp;Z201)</f>
        <v>Brakes India Ltd 4031</v>
      </c>
      <c r="D201" s="16">
        <v>242</v>
      </c>
      <c r="E201" s="14" t="s">
        <v>90</v>
      </c>
      <c r="F201" s="14"/>
      <c r="G201" s="14"/>
      <c r="H201" s="14"/>
      <c r="I201" s="14"/>
      <c r="J201" s="24">
        <v>44440</v>
      </c>
      <c r="K201" s="24">
        <v>44620</v>
      </c>
      <c r="L201" s="32">
        <v>3</v>
      </c>
      <c r="M201" s="14" t="s">
        <v>1005</v>
      </c>
      <c r="N201" s="14" t="s">
        <v>1006</v>
      </c>
      <c r="O201" s="18" t="s">
        <v>1007</v>
      </c>
      <c r="P201" s="195" t="s">
        <v>866</v>
      </c>
      <c r="Q201" s="195" t="s">
        <v>4342</v>
      </c>
      <c r="R201" s="193"/>
      <c r="S201" s="195" t="s">
        <v>354</v>
      </c>
      <c r="T201" s="195">
        <v>603309</v>
      </c>
      <c r="U201" s="195" t="s">
        <v>38</v>
      </c>
      <c r="V201" s="195" t="s">
        <v>23</v>
      </c>
      <c r="W201" s="193">
        <v>4</v>
      </c>
      <c r="X201" s="195">
        <v>0</v>
      </c>
      <c r="Y201" s="195">
        <v>3</v>
      </c>
      <c r="Z201" s="195">
        <v>1</v>
      </c>
      <c r="AA201" s="193" t="s">
        <v>4148</v>
      </c>
      <c r="AB201" s="2"/>
    </row>
    <row r="202" spans="1:28" ht="15" customHeight="1">
      <c r="A202" s="16">
        <v>201</v>
      </c>
      <c r="B202" s="14" t="s">
        <v>1008</v>
      </c>
      <c r="C202" s="14" t="str">
        <f>_xlfn.CONCAT(B202&amp;" "&amp;W202&amp;X202&amp;Y202&amp;Z202)</f>
        <v>Unique Instruments &amp; Mfrs P Ltd 8051</v>
      </c>
      <c r="D202" s="16">
        <v>225</v>
      </c>
      <c r="E202" s="14" t="s">
        <v>90</v>
      </c>
      <c r="F202" s="14"/>
      <c r="G202" s="14"/>
      <c r="H202" s="14"/>
      <c r="I202" s="14"/>
      <c r="J202" s="24"/>
      <c r="K202" s="24"/>
      <c r="L202" s="32">
        <v>3</v>
      </c>
      <c r="M202" s="14" t="s">
        <v>1009</v>
      </c>
      <c r="N202" s="14" t="s">
        <v>339</v>
      </c>
      <c r="O202" s="18" t="s">
        <v>1010</v>
      </c>
      <c r="P202" s="195" t="s">
        <v>403</v>
      </c>
      <c r="Q202" s="195" t="s">
        <v>4343</v>
      </c>
      <c r="R202" s="195" t="s">
        <v>1011</v>
      </c>
      <c r="S202" s="195" t="s">
        <v>21</v>
      </c>
      <c r="T202" s="195">
        <v>560058</v>
      </c>
      <c r="U202" s="195" t="s">
        <v>22</v>
      </c>
      <c r="V202" s="195" t="s">
        <v>23</v>
      </c>
      <c r="W202" s="193">
        <v>8</v>
      </c>
      <c r="X202" s="195">
        <v>0</v>
      </c>
      <c r="Y202" s="195">
        <v>5</v>
      </c>
      <c r="Z202" s="195">
        <v>1</v>
      </c>
      <c r="AA202" s="193" t="s">
        <v>4118</v>
      </c>
      <c r="AB202" s="2"/>
    </row>
    <row r="203" spans="1:28" ht="15" customHeight="1">
      <c r="A203" s="16">
        <v>202</v>
      </c>
      <c r="B203" s="14" t="s">
        <v>532</v>
      </c>
      <c r="C203" s="14" t="str">
        <f>_xlfn.CONCAT(B203&amp;" "&amp;W203&amp;X203&amp;Y203&amp;Z203)</f>
        <v>Reliance Diamond Tools 4041</v>
      </c>
      <c r="D203" s="16">
        <v>236</v>
      </c>
      <c r="E203" s="14" t="s">
        <v>42</v>
      </c>
      <c r="F203" s="14"/>
      <c r="G203" s="14"/>
      <c r="H203" s="14"/>
      <c r="I203" s="14"/>
      <c r="J203" s="24"/>
      <c r="K203" s="24"/>
      <c r="L203" s="32">
        <v>3</v>
      </c>
      <c r="M203" s="14" t="s">
        <v>1012</v>
      </c>
      <c r="N203" s="8"/>
      <c r="O203" s="18" t="s">
        <v>1013</v>
      </c>
      <c r="P203" s="195" t="s">
        <v>536</v>
      </c>
      <c r="Q203" s="195" t="s">
        <v>4344</v>
      </c>
      <c r="R203" s="195" t="s">
        <v>537</v>
      </c>
      <c r="S203" s="195" t="s">
        <v>37</v>
      </c>
      <c r="T203" s="195">
        <v>600011</v>
      </c>
      <c r="U203" s="195" t="s">
        <v>38</v>
      </c>
      <c r="V203" s="195" t="s">
        <v>23</v>
      </c>
      <c r="W203" s="193">
        <v>4</v>
      </c>
      <c r="X203" s="195">
        <v>0</v>
      </c>
      <c r="Y203" s="195">
        <v>4</v>
      </c>
      <c r="Z203" s="195">
        <v>1</v>
      </c>
      <c r="AA203" s="193" t="s">
        <v>4148</v>
      </c>
      <c r="AB203" s="2"/>
    </row>
    <row r="204" spans="1:28" ht="15" customHeight="1">
      <c r="A204" s="16">
        <v>203</v>
      </c>
      <c r="B204" s="14" t="s">
        <v>1014</v>
      </c>
      <c r="C204" s="14" t="str">
        <f>_xlfn.CONCAT(B204&amp;" "&amp;W204&amp;X204&amp;Y204&amp;Z204)</f>
        <v>Alfanar Electrical System 0000</v>
      </c>
      <c r="D204" s="16" t="s">
        <v>5222</v>
      </c>
      <c r="E204" s="14"/>
      <c r="F204" s="14"/>
      <c r="G204" s="14"/>
      <c r="H204" s="14"/>
      <c r="I204" s="14"/>
      <c r="J204" s="24"/>
      <c r="K204" s="24"/>
      <c r="L204" s="32">
        <v>3</v>
      </c>
      <c r="M204" s="14" t="s">
        <v>1015</v>
      </c>
      <c r="N204" s="14" t="s">
        <v>1006</v>
      </c>
      <c r="O204" s="18" t="s">
        <v>1016</v>
      </c>
      <c r="P204" s="195" t="s">
        <v>1017</v>
      </c>
      <c r="Q204" s="195" t="s">
        <v>4345</v>
      </c>
      <c r="R204" s="202" t="s">
        <v>1018</v>
      </c>
      <c r="S204" s="202"/>
      <c r="T204" s="195">
        <v>11411</v>
      </c>
      <c r="U204" s="193" t="s">
        <v>574</v>
      </c>
      <c r="V204" s="195" t="s">
        <v>1019</v>
      </c>
      <c r="W204" s="193">
        <v>0</v>
      </c>
      <c r="X204" s="195">
        <v>0</v>
      </c>
      <c r="Y204" s="195">
        <v>0</v>
      </c>
      <c r="Z204" s="195">
        <v>0</v>
      </c>
      <c r="AA204" s="193">
        <v>0</v>
      </c>
      <c r="AB204" s="2"/>
    </row>
    <row r="205" spans="1:28" ht="15" customHeight="1">
      <c r="A205" s="16">
        <v>204</v>
      </c>
      <c r="B205" s="14" t="s">
        <v>817</v>
      </c>
      <c r="C205" s="14" t="str">
        <f>_xlfn.CONCAT(B205&amp;" "&amp;W205&amp;X205&amp;Y205&amp;Z205)</f>
        <v>PT. Minda Asean Automotive 0000</v>
      </c>
      <c r="D205" s="16">
        <v>124</v>
      </c>
      <c r="E205" s="14" t="s">
        <v>42</v>
      </c>
      <c r="F205" s="14"/>
      <c r="G205" s="14"/>
      <c r="H205" s="14"/>
      <c r="I205" s="14"/>
      <c r="J205" s="24"/>
      <c r="K205" s="24"/>
      <c r="L205" s="32">
        <v>3</v>
      </c>
      <c r="M205" s="8"/>
      <c r="N205" s="8"/>
      <c r="O205" s="18" t="s">
        <v>819</v>
      </c>
      <c r="P205" s="195" t="s">
        <v>820</v>
      </c>
      <c r="Q205" s="195" t="s">
        <v>4303</v>
      </c>
      <c r="R205" s="195" t="s">
        <v>821</v>
      </c>
      <c r="S205" s="195" t="s">
        <v>595</v>
      </c>
      <c r="T205" s="195">
        <v>41361</v>
      </c>
      <c r="U205" s="193" t="s">
        <v>574</v>
      </c>
      <c r="V205" s="195" t="s">
        <v>596</v>
      </c>
      <c r="W205" s="193">
        <v>0</v>
      </c>
      <c r="X205" s="195">
        <v>0</v>
      </c>
      <c r="Y205" s="195">
        <v>0</v>
      </c>
      <c r="Z205" s="195">
        <v>0</v>
      </c>
      <c r="AA205" s="193">
        <v>0</v>
      </c>
      <c r="AB205" s="2"/>
    </row>
    <row r="206" spans="1:28" ht="15" customHeight="1">
      <c r="A206" s="16">
        <v>205</v>
      </c>
      <c r="B206" s="14" t="s">
        <v>1020</v>
      </c>
      <c r="C206" s="14" t="str">
        <f>_xlfn.CONCAT(B206&amp;" "&amp;W206&amp;X206&amp;Y206&amp;Z206)</f>
        <v>Maruthi Suzuki India Ltd 1111</v>
      </c>
      <c r="D206" s="16">
        <v>234</v>
      </c>
      <c r="E206" s="14" t="s">
        <v>90</v>
      </c>
      <c r="F206" s="14"/>
      <c r="G206" s="14"/>
      <c r="H206" s="14"/>
      <c r="I206" s="14"/>
      <c r="J206" s="24"/>
      <c r="K206" s="24"/>
      <c r="L206" s="32">
        <v>3</v>
      </c>
      <c r="M206" s="14" t="s">
        <v>1021</v>
      </c>
      <c r="N206" s="14" t="s">
        <v>1006</v>
      </c>
      <c r="O206" s="18" t="s">
        <v>1022</v>
      </c>
      <c r="P206" s="193"/>
      <c r="Q206" s="193" t="s">
        <v>4346</v>
      </c>
      <c r="R206" s="193"/>
      <c r="S206" s="195" t="s">
        <v>428</v>
      </c>
      <c r="T206" s="195">
        <v>122015</v>
      </c>
      <c r="U206" s="195" t="s">
        <v>429</v>
      </c>
      <c r="V206" s="195" t="s">
        <v>23</v>
      </c>
      <c r="W206" s="193">
        <v>1</v>
      </c>
      <c r="X206" s="195">
        <v>1</v>
      </c>
      <c r="Y206" s="195">
        <v>1</v>
      </c>
      <c r="Z206" s="195">
        <v>1</v>
      </c>
      <c r="AA206" s="193" t="s">
        <v>4118</v>
      </c>
      <c r="AB206" s="2"/>
    </row>
    <row r="207" spans="1:28" ht="15" customHeight="1">
      <c r="A207" s="16">
        <v>206</v>
      </c>
      <c r="B207" s="14" t="s">
        <v>1023</v>
      </c>
      <c r="C207" s="14" t="str">
        <f>_xlfn.CONCAT(B207&amp;" "&amp;W207&amp;X207&amp;Y207&amp;Z207)</f>
        <v>Napino Auto &amp; Electronics Ltd 1111</v>
      </c>
      <c r="D207" s="16">
        <v>274</v>
      </c>
      <c r="E207" s="14" t="s">
        <v>42</v>
      </c>
      <c r="F207" s="14"/>
      <c r="G207" s="14"/>
      <c r="H207" s="14"/>
      <c r="I207" s="14"/>
      <c r="J207" s="24"/>
      <c r="K207" s="24"/>
      <c r="L207" s="32">
        <v>3</v>
      </c>
      <c r="M207" s="14" t="s">
        <v>1024</v>
      </c>
      <c r="N207" s="14" t="s">
        <v>1006</v>
      </c>
      <c r="O207" s="19"/>
      <c r="P207" s="195" t="s">
        <v>1025</v>
      </c>
      <c r="Q207" s="195" t="s">
        <v>4347</v>
      </c>
      <c r="R207" s="193"/>
      <c r="S207" s="195" t="s">
        <v>428</v>
      </c>
      <c r="T207" s="195" t="s">
        <v>1026</v>
      </c>
      <c r="U207" s="195" t="s">
        <v>429</v>
      </c>
      <c r="V207" s="195" t="s">
        <v>23</v>
      </c>
      <c r="W207" s="193">
        <v>1</v>
      </c>
      <c r="X207" s="195">
        <v>1</v>
      </c>
      <c r="Y207" s="195">
        <v>1</v>
      </c>
      <c r="Z207" s="195">
        <v>1</v>
      </c>
      <c r="AA207" s="193" t="s">
        <v>4118</v>
      </c>
      <c r="AB207" s="2"/>
    </row>
    <row r="208" spans="1:28" ht="15" customHeight="1">
      <c r="A208" s="16">
        <v>207</v>
      </c>
      <c r="B208" s="14" t="s">
        <v>179</v>
      </c>
      <c r="C208" s="14" t="str">
        <f>_xlfn.CONCAT(B208&amp;" "&amp;W208&amp;X208&amp;Y208&amp;Z208)</f>
        <v>Quality Needles (P) Ltd 1151</v>
      </c>
      <c r="D208" s="16">
        <v>248</v>
      </c>
      <c r="E208" s="14" t="s">
        <v>1027</v>
      </c>
      <c r="F208" s="14"/>
      <c r="G208" s="30">
        <v>41177</v>
      </c>
      <c r="H208" s="30"/>
      <c r="I208" s="30"/>
      <c r="J208" s="24"/>
      <c r="K208" s="24"/>
      <c r="L208" s="32">
        <v>3</v>
      </c>
      <c r="M208" s="14" t="s">
        <v>1028</v>
      </c>
      <c r="N208" s="14" t="s">
        <v>71</v>
      </c>
      <c r="O208" s="18" t="s">
        <v>1029</v>
      </c>
      <c r="P208" s="15" t="s">
        <v>1030</v>
      </c>
      <c r="Q208" s="15" t="s">
        <v>4348</v>
      </c>
      <c r="R208" s="15"/>
      <c r="S208" s="195" t="s">
        <v>183</v>
      </c>
      <c r="T208" s="195">
        <v>201307</v>
      </c>
      <c r="U208" s="195" t="s">
        <v>184</v>
      </c>
      <c r="V208" s="195" t="s">
        <v>23</v>
      </c>
      <c r="W208" s="193">
        <v>1</v>
      </c>
      <c r="X208" s="195">
        <v>1</v>
      </c>
      <c r="Y208" s="195">
        <v>5</v>
      </c>
      <c r="Z208" s="195">
        <v>1</v>
      </c>
      <c r="AA208" s="193" t="s">
        <v>4118</v>
      </c>
      <c r="AB208" s="2"/>
    </row>
    <row r="209" spans="1:28" ht="15" customHeight="1">
      <c r="A209" s="16">
        <v>208</v>
      </c>
      <c r="B209" s="14" t="s">
        <v>1031</v>
      </c>
      <c r="C209" s="14" t="str">
        <f>_xlfn.CONCAT(B209&amp;" "&amp;W209&amp;X209&amp;Y209&amp;Z209)</f>
        <v>Vikson Spring Pvt Ltd 2421</v>
      </c>
      <c r="D209" s="16">
        <v>247</v>
      </c>
      <c r="E209" s="14" t="s">
        <v>42</v>
      </c>
      <c r="F209" s="14"/>
      <c r="G209" s="14"/>
      <c r="H209" s="14"/>
      <c r="I209" s="14"/>
      <c r="J209" s="24">
        <v>45603</v>
      </c>
      <c r="K209" s="24">
        <v>45967</v>
      </c>
      <c r="L209" s="32">
        <v>3</v>
      </c>
      <c r="M209" s="14" t="s">
        <v>1032</v>
      </c>
      <c r="N209" s="8"/>
      <c r="O209" s="19"/>
      <c r="P209" s="195" t="s">
        <v>697</v>
      </c>
      <c r="Q209" s="195" t="s">
        <v>4349</v>
      </c>
      <c r="R209" s="195" t="s">
        <v>1033</v>
      </c>
      <c r="S209" s="195" t="s">
        <v>215</v>
      </c>
      <c r="T209" s="195">
        <v>410501</v>
      </c>
      <c r="U209" s="195" t="s">
        <v>172</v>
      </c>
      <c r="V209" s="195" t="s">
        <v>23</v>
      </c>
      <c r="W209" s="2">
        <v>2</v>
      </c>
      <c r="X209" s="195">
        <v>4</v>
      </c>
      <c r="Y209" s="195">
        <v>2</v>
      </c>
      <c r="Z209" s="195">
        <v>1</v>
      </c>
      <c r="AA209" s="193" t="s">
        <v>4151</v>
      </c>
      <c r="AB209" s="2"/>
    </row>
    <row r="210" spans="1:28" ht="15" customHeight="1">
      <c r="A210" s="16">
        <v>209</v>
      </c>
      <c r="B210" s="14" t="s">
        <v>1034</v>
      </c>
      <c r="C210" s="14" t="str">
        <f>_xlfn.CONCAT(B210&amp;" "&amp;W210&amp;X210&amp;Y210&amp;Z210)</f>
        <v>MSS India Private Limited 2301</v>
      </c>
      <c r="D210" s="16">
        <v>256</v>
      </c>
      <c r="E210" s="14" t="s">
        <v>90</v>
      </c>
      <c r="F210" s="14"/>
      <c r="G210" s="14"/>
      <c r="H210" s="14"/>
      <c r="I210" s="14"/>
      <c r="J210" s="24">
        <v>45945</v>
      </c>
      <c r="K210" s="24">
        <v>46309</v>
      </c>
      <c r="L210" s="32">
        <v>3</v>
      </c>
      <c r="M210" s="14" t="s">
        <v>1035</v>
      </c>
      <c r="N210" s="8"/>
      <c r="O210" s="18" t="s">
        <v>1036</v>
      </c>
      <c r="P210" s="195" t="s">
        <v>502</v>
      </c>
      <c r="Q210" s="195" t="s">
        <v>4350</v>
      </c>
      <c r="R210" s="195" t="s">
        <v>1038</v>
      </c>
      <c r="S210" s="195" t="s">
        <v>321</v>
      </c>
      <c r="T210" s="195" t="s">
        <v>1039</v>
      </c>
      <c r="U210" s="195" t="s">
        <v>172</v>
      </c>
      <c r="V210" s="195" t="s">
        <v>23</v>
      </c>
      <c r="W210" s="195">
        <v>2</v>
      </c>
      <c r="X210" s="195">
        <v>3</v>
      </c>
      <c r="Y210" s="195">
        <v>0</v>
      </c>
      <c r="Z210" s="195">
        <v>1</v>
      </c>
      <c r="AA210" s="193" t="s">
        <v>5221</v>
      </c>
      <c r="AB210" s="2"/>
    </row>
    <row r="211" spans="1:28" ht="15" customHeight="1">
      <c r="A211" s="16">
        <v>210</v>
      </c>
      <c r="B211" s="14" t="s">
        <v>1040</v>
      </c>
      <c r="C211" s="14" t="str">
        <f>_xlfn.CONCAT(B211&amp;" "&amp;W211&amp;X211&amp;Y211&amp;Z211)</f>
        <v>CG Power &amp; Industrial soln Ltd (Crompton Greaves Ltd) 2301</v>
      </c>
      <c r="D211" s="16">
        <v>269</v>
      </c>
      <c r="E211" s="14" t="s">
        <v>90</v>
      </c>
      <c r="F211" s="14"/>
      <c r="G211" s="14"/>
      <c r="H211" s="14"/>
      <c r="I211" s="14"/>
      <c r="J211" s="24">
        <v>44546</v>
      </c>
      <c r="K211" s="24">
        <v>44727</v>
      </c>
      <c r="L211" s="32">
        <v>3</v>
      </c>
      <c r="M211" s="9" t="s">
        <v>1041</v>
      </c>
      <c r="N211" s="9"/>
      <c r="O211" s="18" t="s">
        <v>1042</v>
      </c>
      <c r="P211" s="195" t="s">
        <v>502</v>
      </c>
      <c r="Q211" s="195" t="s">
        <v>4351</v>
      </c>
      <c r="R211" s="195" t="s">
        <v>1038</v>
      </c>
      <c r="S211" s="195" t="s">
        <v>321</v>
      </c>
      <c r="T211" s="195">
        <v>422010</v>
      </c>
      <c r="U211" s="195" t="s">
        <v>172</v>
      </c>
      <c r="V211" s="195" t="s">
        <v>23</v>
      </c>
      <c r="W211" s="193">
        <v>2</v>
      </c>
      <c r="X211" s="195">
        <v>3</v>
      </c>
      <c r="Y211" s="195">
        <v>0</v>
      </c>
      <c r="Z211" s="195">
        <v>1</v>
      </c>
      <c r="AA211" s="193" t="s">
        <v>5221</v>
      </c>
      <c r="AB211" s="2"/>
    </row>
    <row r="212" spans="1:28" ht="15" customHeight="1">
      <c r="A212" s="16">
        <v>211</v>
      </c>
      <c r="B212" s="14" t="s">
        <v>1043</v>
      </c>
      <c r="C212" s="14" t="str">
        <f>_xlfn.CONCAT(B212&amp;" "&amp;W212&amp;X212&amp;Y212&amp;Z212)</f>
        <v>DS Techno Rubber 4022</v>
      </c>
      <c r="D212" s="16">
        <v>245</v>
      </c>
      <c r="E212" s="14" t="s">
        <v>42</v>
      </c>
      <c r="F212" s="14"/>
      <c r="G212" s="14"/>
      <c r="H212" s="14"/>
      <c r="I212" s="14"/>
      <c r="J212" s="24">
        <v>44140</v>
      </c>
      <c r="K212" s="24">
        <v>44504</v>
      </c>
      <c r="L212" s="32">
        <v>3</v>
      </c>
      <c r="M212" s="8"/>
      <c r="N212" s="8"/>
      <c r="O212" s="19"/>
      <c r="P212" s="195" t="s">
        <v>363</v>
      </c>
      <c r="Q212" s="195" t="s">
        <v>4352</v>
      </c>
      <c r="R212" s="195" t="s">
        <v>1044</v>
      </c>
      <c r="S212" s="195" t="s">
        <v>37</v>
      </c>
      <c r="T212" s="193"/>
      <c r="U212" s="195" t="s">
        <v>38</v>
      </c>
      <c r="V212" s="195" t="s">
        <v>23</v>
      </c>
      <c r="W212" s="193">
        <v>4</v>
      </c>
      <c r="X212" s="195">
        <v>0</v>
      </c>
      <c r="Y212" s="195">
        <v>2</v>
      </c>
      <c r="Z212" s="195">
        <v>2</v>
      </c>
      <c r="AA212" s="193" t="s">
        <v>4148</v>
      </c>
      <c r="AB212" s="2"/>
    </row>
    <row r="213" spans="1:28" ht="15" customHeight="1">
      <c r="A213" s="16">
        <v>212</v>
      </c>
      <c r="B213" s="14" t="s">
        <v>1045</v>
      </c>
      <c r="C213" s="14" t="str">
        <f>_xlfn.CONCAT(B213&amp;" "&amp;W213&amp;X213&amp;Y213&amp;Z213)</f>
        <v>Sealtite Dichtungs Pvt Ltd 8012</v>
      </c>
      <c r="D213" s="16">
        <v>243</v>
      </c>
      <c r="E213" s="14" t="s">
        <v>42</v>
      </c>
      <c r="F213" s="14"/>
      <c r="G213" s="30">
        <v>40701</v>
      </c>
      <c r="H213" s="30"/>
      <c r="I213" s="30"/>
      <c r="J213" s="24">
        <v>44249</v>
      </c>
      <c r="K213" s="24">
        <v>44613</v>
      </c>
      <c r="L213" s="32">
        <v>3</v>
      </c>
      <c r="M213" s="8"/>
      <c r="N213" s="8"/>
      <c r="O213" s="19"/>
      <c r="P213" s="195" t="s">
        <v>718</v>
      </c>
      <c r="Q213" s="195" t="s">
        <v>4353</v>
      </c>
      <c r="R213" s="193"/>
      <c r="S213" s="195" t="s">
        <v>21</v>
      </c>
      <c r="T213" s="193"/>
      <c r="U213" s="195" t="s">
        <v>22</v>
      </c>
      <c r="V213" s="195" t="s">
        <v>23</v>
      </c>
      <c r="W213" s="193">
        <v>8</v>
      </c>
      <c r="X213" s="195">
        <v>0</v>
      </c>
      <c r="Y213" s="195">
        <v>1</v>
      </c>
      <c r="Z213" s="195">
        <v>2</v>
      </c>
      <c r="AA213" s="193" t="s">
        <v>4118</v>
      </c>
      <c r="AB213" s="2"/>
    </row>
    <row r="214" spans="1:28" ht="15" customHeight="1">
      <c r="A214" s="16">
        <v>213</v>
      </c>
      <c r="B214" s="14" t="s">
        <v>1046</v>
      </c>
      <c r="C214" s="14" t="str">
        <f>_xlfn.CONCAT(B214&amp;" "&amp;W214&amp;X214&amp;Y214&amp;Z214)</f>
        <v>Esya Engg Pvt Ltd 4041</v>
      </c>
      <c r="D214" s="16" t="s">
        <v>5222</v>
      </c>
      <c r="E214" s="14"/>
      <c r="F214" s="14"/>
      <c r="G214" s="14"/>
      <c r="H214" s="14"/>
      <c r="I214" s="14"/>
      <c r="J214" s="24"/>
      <c r="K214" s="24"/>
      <c r="L214" s="32">
        <v>3</v>
      </c>
      <c r="M214" s="8"/>
      <c r="N214" s="8"/>
      <c r="O214" s="19"/>
      <c r="P214" s="195" t="s">
        <v>1047</v>
      </c>
      <c r="Q214" s="195" t="s">
        <v>4354</v>
      </c>
      <c r="R214" s="193"/>
      <c r="S214" s="195" t="s">
        <v>37</v>
      </c>
      <c r="T214" s="195" t="s">
        <v>1048</v>
      </c>
      <c r="U214" s="195" t="s">
        <v>38</v>
      </c>
      <c r="V214" s="195" t="s">
        <v>23</v>
      </c>
      <c r="W214" s="193">
        <v>4</v>
      </c>
      <c r="X214" s="195">
        <v>0</v>
      </c>
      <c r="Y214" s="195">
        <v>4</v>
      </c>
      <c r="Z214" s="195">
        <v>1</v>
      </c>
      <c r="AA214" s="193" t="s">
        <v>4148</v>
      </c>
      <c r="AB214" s="2"/>
    </row>
    <row r="215" spans="1:28" ht="15" customHeight="1">
      <c r="A215" s="16">
        <v>214</v>
      </c>
      <c r="B215" s="14" t="s">
        <v>1049</v>
      </c>
      <c r="C215" s="14" t="str">
        <f>_xlfn.CONCAT(B215&amp;" "&amp;W215&amp;X215&amp;Y215&amp;Z215)</f>
        <v>Sri Engg Works 8081</v>
      </c>
      <c r="D215" s="16">
        <v>257</v>
      </c>
      <c r="E215" s="14" t="s">
        <v>90</v>
      </c>
      <c r="F215" s="14"/>
      <c r="G215" s="14"/>
      <c r="H215" s="14"/>
      <c r="I215" s="14"/>
      <c r="J215" s="24"/>
      <c r="K215" s="24"/>
      <c r="L215" s="32">
        <v>3</v>
      </c>
      <c r="M215" s="14" t="s">
        <v>1050</v>
      </c>
      <c r="N215" s="14" t="s">
        <v>1051</v>
      </c>
      <c r="O215" s="19"/>
      <c r="P215" s="195" t="s">
        <v>1052</v>
      </c>
      <c r="Q215" s="195" t="s">
        <v>4355</v>
      </c>
      <c r="R215" s="195" t="s">
        <v>1053</v>
      </c>
      <c r="S215" s="195" t="s">
        <v>21</v>
      </c>
      <c r="T215" s="195" t="s">
        <v>1003</v>
      </c>
      <c r="U215" s="195" t="s">
        <v>22</v>
      </c>
      <c r="V215" s="195" t="s">
        <v>23</v>
      </c>
      <c r="W215" s="193">
        <v>8</v>
      </c>
      <c r="X215" s="195">
        <v>0</v>
      </c>
      <c r="Y215" s="195">
        <v>8</v>
      </c>
      <c r="Z215" s="195">
        <v>1</v>
      </c>
      <c r="AA215" s="193" t="s">
        <v>4118</v>
      </c>
      <c r="AB215" s="2"/>
    </row>
    <row r="216" spans="1:28" ht="15" customHeight="1">
      <c r="A216" s="16">
        <v>215</v>
      </c>
      <c r="B216" s="14" t="s">
        <v>311</v>
      </c>
      <c r="C216" s="14" t="str">
        <f>_xlfn.CONCAT(B216&amp;" "&amp;W216&amp;X216&amp;Y216&amp;Z216)</f>
        <v>Accusharp 2411</v>
      </c>
      <c r="D216" s="16">
        <v>252</v>
      </c>
      <c r="E216" s="14" t="s">
        <v>302</v>
      </c>
      <c r="F216" s="14"/>
      <c r="G216" s="14"/>
      <c r="H216" s="14"/>
      <c r="I216" s="14"/>
      <c r="J216" s="24"/>
      <c r="K216" s="24"/>
      <c r="L216" s="32">
        <v>3</v>
      </c>
      <c r="M216" s="14" t="s">
        <v>1054</v>
      </c>
      <c r="N216" s="14" t="s">
        <v>1055</v>
      </c>
      <c r="O216" s="18" t="s">
        <v>315</v>
      </c>
      <c r="P216" s="195" t="s">
        <v>1056</v>
      </c>
      <c r="Q216" s="195" t="s">
        <v>4356</v>
      </c>
      <c r="R216" s="195" t="s">
        <v>1057</v>
      </c>
      <c r="S216" s="195" t="s">
        <v>215</v>
      </c>
      <c r="T216" s="195">
        <v>411026</v>
      </c>
      <c r="U216" s="195" t="s">
        <v>172</v>
      </c>
      <c r="V216" s="195" t="s">
        <v>23</v>
      </c>
      <c r="W216" s="193">
        <v>2</v>
      </c>
      <c r="X216" s="195">
        <v>4</v>
      </c>
      <c r="Y216" s="195">
        <v>1</v>
      </c>
      <c r="Z216" s="195">
        <v>1</v>
      </c>
      <c r="AA216" s="193" t="s">
        <v>4150</v>
      </c>
      <c r="AB216" s="2"/>
    </row>
    <row r="217" spans="1:28" ht="15" customHeight="1">
      <c r="A217" s="16">
        <v>216</v>
      </c>
      <c r="B217" s="14" t="s">
        <v>1058</v>
      </c>
      <c r="C217" s="14" t="str">
        <f>_xlfn.CONCAT(B217&amp;" "&amp;W217&amp;X217&amp;Y217&amp;Z217)</f>
        <v>Rane (Madras) Ltd ((Rane Engine Valve Ltd (Kar Mobiles Limited)) 4021</v>
      </c>
      <c r="D217" s="16">
        <v>251</v>
      </c>
      <c r="E217" s="14" t="s">
        <v>42</v>
      </c>
      <c r="F217" s="14"/>
      <c r="G217" s="14"/>
      <c r="H217" s="14"/>
      <c r="I217" s="14"/>
      <c r="J217" s="24">
        <v>44224</v>
      </c>
      <c r="K217" s="24">
        <v>44588</v>
      </c>
      <c r="L217" s="32">
        <v>3</v>
      </c>
      <c r="M217" s="14" t="s">
        <v>1059</v>
      </c>
      <c r="N217" s="14" t="s">
        <v>1060</v>
      </c>
      <c r="O217" s="18">
        <v>9551609822</v>
      </c>
      <c r="P217" s="195" t="s">
        <v>1061</v>
      </c>
      <c r="Q217" s="195" t="s">
        <v>4357</v>
      </c>
      <c r="R217" s="195" t="s">
        <v>1062</v>
      </c>
      <c r="S217" s="195" t="s">
        <v>1063</v>
      </c>
      <c r="T217" s="195">
        <v>601204</v>
      </c>
      <c r="U217" s="195" t="s">
        <v>38</v>
      </c>
      <c r="V217" s="195" t="s">
        <v>23</v>
      </c>
      <c r="W217" s="193">
        <v>4</v>
      </c>
      <c r="X217" s="195">
        <v>0</v>
      </c>
      <c r="Y217" s="195">
        <v>2</v>
      </c>
      <c r="Z217" s="195">
        <v>1</v>
      </c>
      <c r="AA217" s="193" t="s">
        <v>4148</v>
      </c>
      <c r="AB217" s="2"/>
    </row>
    <row r="218" spans="1:28" ht="15" customHeight="1">
      <c r="A218" s="16">
        <v>217</v>
      </c>
      <c r="B218" s="14" t="s">
        <v>1064</v>
      </c>
      <c r="C218" s="14" t="str">
        <f>_xlfn.CONCAT(B218&amp;" "&amp;W218&amp;X218&amp;Y218&amp;Z218)</f>
        <v>Polycab India Ltd (Polycab Wires Pvt Ltd) 2301</v>
      </c>
      <c r="D218" s="16">
        <v>246</v>
      </c>
      <c r="E218" s="14" t="s">
        <v>42</v>
      </c>
      <c r="F218" s="14"/>
      <c r="G218" s="14"/>
      <c r="H218" s="14"/>
      <c r="I218" s="14"/>
      <c r="J218" s="24">
        <v>44766</v>
      </c>
      <c r="K218" s="24">
        <v>45130</v>
      </c>
      <c r="L218" s="32">
        <v>3</v>
      </c>
      <c r="M218" s="14" t="s">
        <v>1065</v>
      </c>
      <c r="N218" s="8"/>
      <c r="O218" s="18" t="s">
        <v>1066</v>
      </c>
      <c r="P218" s="195" t="s">
        <v>1037</v>
      </c>
      <c r="Q218" s="195" t="s">
        <v>4358</v>
      </c>
      <c r="R218" s="195" t="s">
        <v>502</v>
      </c>
      <c r="S218" s="195" t="s">
        <v>321</v>
      </c>
      <c r="T218" s="195">
        <v>422010</v>
      </c>
      <c r="U218" s="195" t="s">
        <v>172</v>
      </c>
      <c r="V218" s="195" t="s">
        <v>23</v>
      </c>
      <c r="W218" s="193">
        <v>2</v>
      </c>
      <c r="X218" s="195">
        <v>3</v>
      </c>
      <c r="Y218" s="195">
        <v>0</v>
      </c>
      <c r="Z218" s="195">
        <v>1</v>
      </c>
      <c r="AA218" s="193" t="s">
        <v>5221</v>
      </c>
      <c r="AB218" s="2"/>
    </row>
    <row r="219" spans="1:28" ht="15" customHeight="1">
      <c r="A219" s="16">
        <v>218</v>
      </c>
      <c r="B219" s="14" t="s">
        <v>1067</v>
      </c>
      <c r="C219" s="14" t="str">
        <f>_xlfn.CONCAT(B219&amp;" "&amp;W219&amp;X219&amp;Y219&amp;Z219)</f>
        <v>Classic Stripes Pvt Ltd 2222</v>
      </c>
      <c r="D219" s="16">
        <v>258</v>
      </c>
      <c r="E219" s="14" t="s">
        <v>90</v>
      </c>
      <c r="F219" s="14"/>
      <c r="G219" s="30">
        <v>40774</v>
      </c>
      <c r="H219" s="30"/>
      <c r="I219" s="30"/>
      <c r="J219" s="24">
        <v>44523</v>
      </c>
      <c r="K219" s="24">
        <v>44887</v>
      </c>
      <c r="L219" s="32">
        <v>3</v>
      </c>
      <c r="M219" s="14" t="s">
        <v>1068</v>
      </c>
      <c r="N219" s="14" t="s">
        <v>1069</v>
      </c>
      <c r="O219" s="18" t="s">
        <v>1070</v>
      </c>
      <c r="P219" s="195" t="s">
        <v>1071</v>
      </c>
      <c r="Q219" s="195" t="s">
        <v>4359</v>
      </c>
      <c r="R219" s="195" t="s">
        <v>1072</v>
      </c>
      <c r="S219" s="195" t="s">
        <v>177</v>
      </c>
      <c r="T219" s="195">
        <v>401208</v>
      </c>
      <c r="U219" s="195" t="s">
        <v>172</v>
      </c>
      <c r="V219" s="195" t="s">
        <v>23</v>
      </c>
      <c r="W219" s="193">
        <v>2</v>
      </c>
      <c r="X219" s="195">
        <v>2</v>
      </c>
      <c r="Y219" s="195">
        <v>2</v>
      </c>
      <c r="Z219" s="195">
        <v>2</v>
      </c>
      <c r="AA219" s="193" t="s">
        <v>4118</v>
      </c>
      <c r="AB219" s="2"/>
    </row>
    <row r="220" spans="1:28" ht="15" customHeight="1">
      <c r="A220" s="16">
        <v>219</v>
      </c>
      <c r="B220" s="14" t="s">
        <v>282</v>
      </c>
      <c r="C220" s="14" t="str">
        <f>_xlfn.CONCAT(B220&amp;" "&amp;W220&amp;X220&amp;Y220&amp;Z220)</f>
        <v>Stumpp Schuele &amp; Somappa Springs Pvt Ltd 8012</v>
      </c>
      <c r="D220" s="16">
        <v>303</v>
      </c>
      <c r="E220" s="14" t="s">
        <v>42</v>
      </c>
      <c r="F220" s="14"/>
      <c r="G220" s="14"/>
      <c r="H220" s="14"/>
      <c r="I220" s="14"/>
      <c r="J220" s="24">
        <v>44586</v>
      </c>
      <c r="K220" s="24">
        <v>44950</v>
      </c>
      <c r="L220" s="32">
        <v>3</v>
      </c>
      <c r="M220" s="14" t="s">
        <v>283</v>
      </c>
      <c r="N220" s="14" t="s">
        <v>284</v>
      </c>
      <c r="O220" s="18" t="s">
        <v>285</v>
      </c>
      <c r="P220" s="195" t="s">
        <v>160</v>
      </c>
      <c r="Q220" s="195" t="s">
        <v>4197</v>
      </c>
      <c r="R220" s="193"/>
      <c r="S220" s="195" t="s">
        <v>21</v>
      </c>
      <c r="T220" s="195">
        <v>560095</v>
      </c>
      <c r="U220" s="195" t="s">
        <v>22</v>
      </c>
      <c r="V220" s="195" t="s">
        <v>23</v>
      </c>
      <c r="W220" s="193">
        <v>8</v>
      </c>
      <c r="X220" s="195">
        <v>0</v>
      </c>
      <c r="Y220" s="195">
        <v>1</v>
      </c>
      <c r="Z220" s="195">
        <v>2</v>
      </c>
      <c r="AA220" s="193" t="s">
        <v>4118</v>
      </c>
      <c r="AB220" s="2"/>
    </row>
    <row r="221" spans="1:28" ht="15" customHeight="1">
      <c r="A221" s="16">
        <v>220</v>
      </c>
      <c r="B221" s="14" t="s">
        <v>1073</v>
      </c>
      <c r="C221" s="14" t="str">
        <f>_xlfn.CONCAT(B221&amp;" "&amp;W221&amp;X221&amp;Y221&amp;Z221)</f>
        <v>Esbee Industrial Combines 2411</v>
      </c>
      <c r="D221" s="16">
        <v>250</v>
      </c>
      <c r="E221" s="14" t="s">
        <v>42</v>
      </c>
      <c r="F221" s="14"/>
      <c r="G221" s="14"/>
      <c r="H221" s="14"/>
      <c r="I221" s="14"/>
      <c r="J221" s="24">
        <v>45782</v>
      </c>
      <c r="K221" s="24">
        <v>46146</v>
      </c>
      <c r="L221" s="32">
        <v>3</v>
      </c>
      <c r="M221" s="9" t="s">
        <v>1074</v>
      </c>
      <c r="N221" s="9"/>
      <c r="O221" s="18" t="s">
        <v>1075</v>
      </c>
      <c r="P221" s="195" t="s">
        <v>214</v>
      </c>
      <c r="Q221" s="195" t="s">
        <v>4360</v>
      </c>
      <c r="R221" s="195" t="s">
        <v>215</v>
      </c>
      <c r="S221" s="195" t="s">
        <v>215</v>
      </c>
      <c r="T221" s="195">
        <v>411026</v>
      </c>
      <c r="U221" s="195" t="s">
        <v>172</v>
      </c>
      <c r="V221" s="195" t="s">
        <v>23</v>
      </c>
      <c r="W221" s="193">
        <v>2</v>
      </c>
      <c r="X221" s="195">
        <v>4</v>
      </c>
      <c r="Y221" s="195">
        <v>1</v>
      </c>
      <c r="Z221" s="195">
        <v>1</v>
      </c>
      <c r="AA221" s="193" t="s">
        <v>4150</v>
      </c>
      <c r="AB221" s="2"/>
    </row>
    <row r="222" spans="1:28" ht="15" customHeight="1">
      <c r="A222" s="16">
        <v>221</v>
      </c>
      <c r="B222" s="14" t="s">
        <v>1076</v>
      </c>
      <c r="C222" s="14" t="str">
        <f>_xlfn.CONCAT(B222&amp;" "&amp;W222&amp;X222&amp;Y222&amp;Z222)</f>
        <v>Pappu Engg Works, 2224</v>
      </c>
      <c r="D222" s="16">
        <v>253</v>
      </c>
      <c r="E222" s="14" t="s">
        <v>42</v>
      </c>
      <c r="F222" s="14"/>
      <c r="G222" s="14"/>
      <c r="H222" s="14"/>
      <c r="I222" s="14"/>
      <c r="J222" s="24"/>
      <c r="K222" s="24"/>
      <c r="L222" s="32">
        <v>3</v>
      </c>
      <c r="M222" s="14" t="s">
        <v>1077</v>
      </c>
      <c r="N222" s="8"/>
      <c r="O222" s="18" t="s">
        <v>1078</v>
      </c>
      <c r="P222" s="195" t="s">
        <v>1079</v>
      </c>
      <c r="Q222" s="195" t="s">
        <v>4361</v>
      </c>
      <c r="R222" s="195" t="s">
        <v>1080</v>
      </c>
      <c r="S222" s="195" t="s">
        <v>221</v>
      </c>
      <c r="T222" s="195">
        <v>400013</v>
      </c>
      <c r="U222" s="195" t="s">
        <v>172</v>
      </c>
      <c r="V222" s="195" t="s">
        <v>23</v>
      </c>
      <c r="W222" s="193">
        <v>2</v>
      </c>
      <c r="X222" s="195">
        <v>2</v>
      </c>
      <c r="Y222" s="195">
        <v>2</v>
      </c>
      <c r="Z222" s="195">
        <v>4</v>
      </c>
      <c r="AA222" s="193" t="s">
        <v>4148</v>
      </c>
      <c r="AB222" s="2"/>
    </row>
    <row r="223" spans="1:28" ht="15" customHeight="1">
      <c r="A223" s="16">
        <v>222</v>
      </c>
      <c r="B223" s="14" t="s">
        <v>1081</v>
      </c>
      <c r="C223" s="14" t="str">
        <f>_xlfn.CONCAT(B223&amp;" "&amp;W223&amp;X223&amp;Y223&amp;Z223)</f>
        <v>Paloma Turning Co. Pvt. Ltd 8013</v>
      </c>
      <c r="D223" s="16">
        <v>262</v>
      </c>
      <c r="E223" s="14" t="s">
        <v>42</v>
      </c>
      <c r="F223" s="14"/>
      <c r="G223" s="14"/>
      <c r="H223" s="14"/>
      <c r="I223" s="14"/>
      <c r="J223" s="24">
        <v>44470</v>
      </c>
      <c r="K223" s="24">
        <v>44834</v>
      </c>
      <c r="L223" s="32">
        <v>3</v>
      </c>
      <c r="M223" s="14" t="s">
        <v>1082</v>
      </c>
      <c r="N223" s="8"/>
      <c r="O223" s="18" t="s">
        <v>1083</v>
      </c>
      <c r="P223" s="195" t="s">
        <v>1084</v>
      </c>
      <c r="Q223" s="195" t="s">
        <v>4362</v>
      </c>
      <c r="R223" s="195" t="s">
        <v>1085</v>
      </c>
      <c r="S223" s="195" t="s">
        <v>21</v>
      </c>
      <c r="T223" s="195">
        <v>562106</v>
      </c>
      <c r="U223" s="195" t="s">
        <v>22</v>
      </c>
      <c r="V223" s="195" t="s">
        <v>23</v>
      </c>
      <c r="W223" s="193">
        <v>8</v>
      </c>
      <c r="X223" s="195">
        <v>0</v>
      </c>
      <c r="Y223" s="195">
        <v>1</v>
      </c>
      <c r="Z223" s="195">
        <v>3</v>
      </c>
      <c r="AA223" s="193" t="s">
        <v>4118</v>
      </c>
      <c r="AB223" s="2"/>
    </row>
    <row r="224" spans="1:28" ht="15" customHeight="1">
      <c r="A224" s="16">
        <v>223</v>
      </c>
      <c r="B224" s="14" t="s">
        <v>1086</v>
      </c>
      <c r="C224" s="14" t="str">
        <f>_xlfn.CONCAT(B224&amp;" "&amp;W224&amp;X224&amp;Y224&amp;Z224)</f>
        <v>Schneider Electric India Pvt. Ltd. 8012</v>
      </c>
      <c r="D224" s="16">
        <v>259</v>
      </c>
      <c r="E224" s="14" t="s">
        <v>90</v>
      </c>
      <c r="F224" s="14"/>
      <c r="G224" s="14"/>
      <c r="H224" s="14"/>
      <c r="I224" s="14"/>
      <c r="J224" s="24">
        <v>44501</v>
      </c>
      <c r="K224" s="24">
        <v>44865</v>
      </c>
      <c r="L224" s="32">
        <v>3</v>
      </c>
      <c r="M224" s="14" t="s">
        <v>1087</v>
      </c>
      <c r="N224" s="14" t="s">
        <v>1088</v>
      </c>
      <c r="O224" s="18" t="s">
        <v>1089</v>
      </c>
      <c r="P224" s="195" t="s">
        <v>1090</v>
      </c>
      <c r="Q224" s="195" t="s">
        <v>4363</v>
      </c>
      <c r="R224" s="195" t="s">
        <v>1091</v>
      </c>
      <c r="S224" s="195" t="s">
        <v>21</v>
      </c>
      <c r="T224" s="195">
        <v>562107</v>
      </c>
      <c r="U224" s="195" t="s">
        <v>22</v>
      </c>
      <c r="V224" s="195" t="s">
        <v>23</v>
      </c>
      <c r="W224" s="193">
        <v>8</v>
      </c>
      <c r="X224" s="195">
        <v>0</v>
      </c>
      <c r="Y224" s="195">
        <v>1</v>
      </c>
      <c r="Z224" s="195">
        <v>2</v>
      </c>
      <c r="AA224" s="193" t="s">
        <v>4118</v>
      </c>
      <c r="AB224" s="2"/>
    </row>
    <row r="225" spans="1:28" ht="15" customHeight="1">
      <c r="A225" s="16">
        <v>224</v>
      </c>
      <c r="B225" s="14" t="s">
        <v>1092</v>
      </c>
      <c r="C225" s="14" t="str">
        <f>_xlfn.CONCAT(B225&amp;" "&amp;W225&amp;X225&amp;Y225&amp;Z225)</f>
        <v>Phoenix Precision Parts 8051</v>
      </c>
      <c r="D225" s="16">
        <v>261</v>
      </c>
      <c r="E225" s="14" t="s">
        <v>42</v>
      </c>
      <c r="F225" s="14"/>
      <c r="G225" s="14"/>
      <c r="H225" s="14"/>
      <c r="I225" s="14"/>
      <c r="J225" s="24"/>
      <c r="K225" s="24"/>
      <c r="L225" s="32">
        <v>3</v>
      </c>
      <c r="M225" s="14" t="s">
        <v>1093</v>
      </c>
      <c r="N225" s="8"/>
      <c r="O225" s="18" t="s">
        <v>1094</v>
      </c>
      <c r="P225" s="195" t="s">
        <v>1095</v>
      </c>
      <c r="Q225" s="195" t="s">
        <v>4364</v>
      </c>
      <c r="R225" s="195" t="s">
        <v>154</v>
      </c>
      <c r="S225" s="195" t="s">
        <v>21</v>
      </c>
      <c r="T225" s="195">
        <v>560058</v>
      </c>
      <c r="U225" s="195" t="s">
        <v>22</v>
      </c>
      <c r="V225" s="195" t="s">
        <v>23</v>
      </c>
      <c r="W225" s="193">
        <v>8</v>
      </c>
      <c r="X225" s="195">
        <v>0</v>
      </c>
      <c r="Y225" s="195">
        <v>5</v>
      </c>
      <c r="Z225" s="195">
        <v>1</v>
      </c>
      <c r="AA225" s="193" t="s">
        <v>4118</v>
      </c>
      <c r="AB225" s="2"/>
    </row>
    <row r="226" spans="1:28" ht="15" customHeight="1">
      <c r="A226" s="16">
        <v>225</v>
      </c>
      <c r="B226" s="14" t="s">
        <v>1096</v>
      </c>
      <c r="C226" s="14" t="str">
        <f>_xlfn.CONCAT(B226&amp;" "&amp;W226&amp;X226&amp;Y226&amp;Z226)</f>
        <v>Sandhar Automotives 1111</v>
      </c>
      <c r="D226" s="16">
        <v>266</v>
      </c>
      <c r="E226" s="14" t="s">
        <v>90</v>
      </c>
      <c r="F226" s="14"/>
      <c r="G226" s="30">
        <v>40824</v>
      </c>
      <c r="H226" s="30"/>
      <c r="I226" s="30"/>
      <c r="J226" s="24">
        <v>43374</v>
      </c>
      <c r="K226" s="24">
        <v>43738</v>
      </c>
      <c r="L226" s="32">
        <v>3</v>
      </c>
      <c r="M226" s="14" t="s">
        <v>1097</v>
      </c>
      <c r="N226" s="14" t="s">
        <v>325</v>
      </c>
      <c r="O226" s="18" t="s">
        <v>1098</v>
      </c>
      <c r="P226" s="195" t="s">
        <v>1100</v>
      </c>
      <c r="Q226" s="195" t="s">
        <v>4365</v>
      </c>
      <c r="R226" s="195" t="s">
        <v>428</v>
      </c>
      <c r="S226" s="195" t="s">
        <v>428</v>
      </c>
      <c r="T226" s="195">
        <v>122015</v>
      </c>
      <c r="U226" s="195" t="s">
        <v>429</v>
      </c>
      <c r="V226" s="195" t="s">
        <v>23</v>
      </c>
      <c r="W226" s="193">
        <v>1</v>
      </c>
      <c r="X226" s="195">
        <v>1</v>
      </c>
      <c r="Y226" s="195">
        <v>1</v>
      </c>
      <c r="Z226" s="195">
        <v>1</v>
      </c>
      <c r="AA226" s="193" t="s">
        <v>4118</v>
      </c>
      <c r="AB226" s="2"/>
    </row>
    <row r="227" spans="1:28" ht="15" customHeight="1">
      <c r="A227" s="16">
        <v>226</v>
      </c>
      <c r="B227" s="14" t="s">
        <v>1101</v>
      </c>
      <c r="C227" s="14" t="str">
        <f>_xlfn.CONCAT(B227&amp;" "&amp;W227&amp;X227&amp;Y227&amp;Z227)</f>
        <v>HPL Electric &amp; Power Pvt. Ltd 1132</v>
      </c>
      <c r="D227" s="16">
        <v>264</v>
      </c>
      <c r="E227" s="14" t="s">
        <v>42</v>
      </c>
      <c r="F227" s="14"/>
      <c r="G227" s="14"/>
      <c r="H227" s="14"/>
      <c r="I227" s="14"/>
      <c r="J227" s="24">
        <v>44473</v>
      </c>
      <c r="K227" s="24">
        <v>44837</v>
      </c>
      <c r="L227" s="32">
        <v>3</v>
      </c>
      <c r="M227" s="8"/>
      <c r="N227" s="8"/>
      <c r="O227" s="19"/>
      <c r="P227" s="15" t="s">
        <v>1102</v>
      </c>
      <c r="Q227" s="15" t="s">
        <v>4366</v>
      </c>
      <c r="R227" s="15"/>
      <c r="S227" s="195" t="s">
        <v>1103</v>
      </c>
      <c r="T227" s="195">
        <v>131028</v>
      </c>
      <c r="U227" s="195" t="s">
        <v>429</v>
      </c>
      <c r="V227" s="195" t="s">
        <v>23</v>
      </c>
      <c r="W227" s="193">
        <v>1</v>
      </c>
      <c r="X227" s="195">
        <v>1</v>
      </c>
      <c r="Y227" s="195">
        <v>3</v>
      </c>
      <c r="Z227" s="195">
        <v>2</v>
      </c>
      <c r="AA227" s="193" t="s">
        <v>4118</v>
      </c>
      <c r="AB227" s="2"/>
    </row>
    <row r="228" spans="1:28" ht="15" customHeight="1">
      <c r="A228" s="16">
        <v>227</v>
      </c>
      <c r="B228" s="14" t="s">
        <v>1104</v>
      </c>
      <c r="C228" s="14" t="str">
        <f>_xlfn.CONCAT(B228&amp;" "&amp;W228&amp;X228&amp;Y228&amp;Z228)</f>
        <v>Indo-MIM Pvt Ltd (INDO MIM Tec Pvt Ltd) 8061</v>
      </c>
      <c r="D228" s="16">
        <v>926</v>
      </c>
      <c r="E228" s="14" t="s">
        <v>90</v>
      </c>
      <c r="F228" s="14"/>
      <c r="G228" s="30">
        <v>44572</v>
      </c>
      <c r="H228" s="30"/>
      <c r="I228" s="30"/>
      <c r="J228" s="24">
        <v>44572</v>
      </c>
      <c r="K228" s="24">
        <v>44936</v>
      </c>
      <c r="L228" s="32">
        <v>3</v>
      </c>
      <c r="M228" s="14" t="s">
        <v>1082</v>
      </c>
      <c r="N228" s="14" t="s">
        <v>206</v>
      </c>
      <c r="O228" s="18">
        <v>8892880778</v>
      </c>
      <c r="P228" s="195" t="s">
        <v>1105</v>
      </c>
      <c r="Q228" s="195" t="s">
        <v>4367</v>
      </c>
      <c r="R228" s="195" t="s">
        <v>1106</v>
      </c>
      <c r="S228" s="195" t="s">
        <v>21</v>
      </c>
      <c r="T228" s="195">
        <v>561203</v>
      </c>
      <c r="U228" s="195" t="s">
        <v>22</v>
      </c>
      <c r="V228" s="195" t="s">
        <v>23</v>
      </c>
      <c r="W228" s="193">
        <v>8</v>
      </c>
      <c r="X228" s="195">
        <v>0</v>
      </c>
      <c r="Y228" s="195">
        <v>6</v>
      </c>
      <c r="Z228" s="195">
        <v>1</v>
      </c>
      <c r="AA228" s="193" t="s">
        <v>4118</v>
      </c>
      <c r="AB228" s="2"/>
    </row>
    <row r="229" spans="1:28" ht="15" customHeight="1">
      <c r="A229" s="16">
        <v>228</v>
      </c>
      <c r="B229" s="14" t="s">
        <v>1107</v>
      </c>
      <c r="C229" s="14" t="str">
        <f>_xlfn.CONCAT(B229&amp;" "&amp;W229&amp;X229&amp;Y229&amp;Z229)</f>
        <v>Magna Automotive India Pvt Ltd (Magna Closures Automotive P Ltd) 4024</v>
      </c>
      <c r="D229" s="16">
        <v>268</v>
      </c>
      <c r="E229" s="14" t="s">
        <v>90</v>
      </c>
      <c r="F229" s="14"/>
      <c r="G229" s="14"/>
      <c r="H229" s="14"/>
      <c r="I229" s="14"/>
      <c r="J229" s="24">
        <v>44420</v>
      </c>
      <c r="K229" s="24">
        <v>44784</v>
      </c>
      <c r="L229" s="32">
        <v>3</v>
      </c>
      <c r="M229" s="14" t="s">
        <v>1108</v>
      </c>
      <c r="N229" s="8"/>
      <c r="O229" s="19"/>
      <c r="P229" s="195" t="s">
        <v>1109</v>
      </c>
      <c r="Q229" s="195" t="s">
        <v>4368</v>
      </c>
      <c r="R229" s="195" t="s">
        <v>1110</v>
      </c>
      <c r="S229" s="195" t="s">
        <v>37</v>
      </c>
      <c r="T229" s="195">
        <v>603209</v>
      </c>
      <c r="U229" s="195" t="s">
        <v>38</v>
      </c>
      <c r="V229" s="195" t="s">
        <v>23</v>
      </c>
      <c r="W229" s="193">
        <v>4</v>
      </c>
      <c r="X229" s="195">
        <v>0</v>
      </c>
      <c r="Y229" s="195">
        <v>2</v>
      </c>
      <c r="Z229" s="195">
        <v>4</v>
      </c>
      <c r="AA229" s="193" t="s">
        <v>4148</v>
      </c>
      <c r="AB229" s="2"/>
    </row>
    <row r="230" spans="1:28" ht="15" customHeight="1">
      <c r="A230" s="16">
        <v>229</v>
      </c>
      <c r="B230" s="14" t="s">
        <v>508</v>
      </c>
      <c r="C230" s="14" t="str">
        <f>_xlfn.CONCAT(B230&amp;" "&amp;W230&amp;X230&amp;Y230&amp;Z230)</f>
        <v>Delphi TVS Diesel Systems Ltd. 4031</v>
      </c>
      <c r="D230" s="16">
        <v>254</v>
      </c>
      <c r="E230" s="14" t="s">
        <v>42</v>
      </c>
      <c r="F230" s="14"/>
      <c r="G230" s="14"/>
      <c r="H230" s="14"/>
      <c r="I230" s="14"/>
      <c r="J230" s="24"/>
      <c r="K230" s="24"/>
      <c r="L230" s="32">
        <v>3</v>
      </c>
      <c r="M230" s="14" t="s">
        <v>1111</v>
      </c>
      <c r="N230" s="14" t="s">
        <v>1112</v>
      </c>
      <c r="O230" s="18" t="s">
        <v>511</v>
      </c>
      <c r="P230" s="193"/>
      <c r="Q230" s="193" t="s">
        <v>4238</v>
      </c>
      <c r="R230" s="193"/>
      <c r="S230" s="195" t="s">
        <v>353</v>
      </c>
      <c r="T230" s="195">
        <v>602105</v>
      </c>
      <c r="U230" s="195" t="s">
        <v>38</v>
      </c>
      <c r="V230" s="195" t="s">
        <v>23</v>
      </c>
      <c r="W230" s="193">
        <v>4</v>
      </c>
      <c r="X230" s="195">
        <v>0</v>
      </c>
      <c r="Y230" s="195">
        <v>3</v>
      </c>
      <c r="Z230" s="195">
        <v>1</v>
      </c>
      <c r="AA230" s="193" t="s">
        <v>4148</v>
      </c>
      <c r="AB230" s="2"/>
    </row>
    <row r="231" spans="1:28" ht="15" customHeight="1">
      <c r="A231" s="16">
        <v>230</v>
      </c>
      <c r="B231" s="14" t="s">
        <v>1113</v>
      </c>
      <c r="C231" s="14" t="str">
        <f>_xlfn.CONCAT(B231&amp;" "&amp;W231&amp;X231&amp;Y231&amp;Z231)</f>
        <v>Navkar Technologies 2301</v>
      </c>
      <c r="D231" s="16">
        <v>221</v>
      </c>
      <c r="E231" s="14" t="s">
        <v>42</v>
      </c>
      <c r="F231" s="14"/>
      <c r="G231" s="14"/>
      <c r="H231" s="14"/>
      <c r="I231" s="14"/>
      <c r="J231" s="24"/>
      <c r="K231" s="24"/>
      <c r="L231" s="32">
        <v>3</v>
      </c>
      <c r="M231" s="9" t="s">
        <v>1114</v>
      </c>
      <c r="N231" s="9"/>
      <c r="O231" s="18" t="s">
        <v>1115</v>
      </c>
      <c r="P231" s="195" t="s">
        <v>1116</v>
      </c>
      <c r="Q231" s="195" t="s">
        <v>4369</v>
      </c>
      <c r="R231" s="193"/>
      <c r="S231" s="195" t="s">
        <v>321</v>
      </c>
      <c r="T231" s="195">
        <v>422007</v>
      </c>
      <c r="U231" s="195" t="s">
        <v>172</v>
      </c>
      <c r="V231" s="195" t="s">
        <v>23</v>
      </c>
      <c r="W231" s="193">
        <v>2</v>
      </c>
      <c r="X231" s="195">
        <v>3</v>
      </c>
      <c r="Y231" s="195">
        <v>0</v>
      </c>
      <c r="Z231" s="195">
        <v>1</v>
      </c>
      <c r="AA231" s="193" t="s">
        <v>5221</v>
      </c>
      <c r="AB231" s="2"/>
    </row>
    <row r="232" spans="1:28" ht="15" customHeight="1">
      <c r="A232" s="16">
        <v>231</v>
      </c>
      <c r="B232" s="14" t="s">
        <v>1117</v>
      </c>
      <c r="C232" s="14" t="str">
        <f>_xlfn.CONCAT(B232&amp;" "&amp;W232&amp;X232&amp;Y232&amp;Z232)</f>
        <v>Rane Engine Valves Ltd (Kar Mobiles Limited) 8052</v>
      </c>
      <c r="D232" s="16">
        <v>238</v>
      </c>
      <c r="E232" s="14" t="s">
        <v>42</v>
      </c>
      <c r="F232" s="14"/>
      <c r="G232" s="14"/>
      <c r="H232" s="14"/>
      <c r="I232" s="14"/>
      <c r="J232" s="24">
        <v>44367</v>
      </c>
      <c r="K232" s="24">
        <v>44731</v>
      </c>
      <c r="L232" s="32">
        <v>3</v>
      </c>
      <c r="M232" s="9" t="s">
        <v>1118</v>
      </c>
      <c r="N232" s="9"/>
      <c r="O232" s="18" t="s">
        <v>1119</v>
      </c>
      <c r="P232" s="195" t="s">
        <v>1120</v>
      </c>
      <c r="Q232" s="195" t="s">
        <v>4370</v>
      </c>
      <c r="R232" s="193"/>
      <c r="S232" s="195" t="s">
        <v>1120</v>
      </c>
      <c r="T232" s="195">
        <v>572168</v>
      </c>
      <c r="U232" s="195" t="s">
        <v>22</v>
      </c>
      <c r="V232" s="195" t="s">
        <v>23</v>
      </c>
      <c r="W232" s="193">
        <v>8</v>
      </c>
      <c r="X232" s="195">
        <v>0</v>
      </c>
      <c r="Y232" s="195">
        <v>5</v>
      </c>
      <c r="Z232" s="195">
        <v>2</v>
      </c>
      <c r="AA232" s="193" t="s">
        <v>4118</v>
      </c>
      <c r="AB232" s="2"/>
    </row>
    <row r="233" spans="1:28" ht="15" customHeight="1">
      <c r="A233" s="16">
        <v>232</v>
      </c>
      <c r="B233" s="14" t="s">
        <v>1121</v>
      </c>
      <c r="C233" s="14" t="str">
        <f>_xlfn.CONCAT(B233&amp;" "&amp;W233&amp;X233&amp;Y233&amp;Z233)</f>
        <v>Fastenex Pvt Ltd (Leo Fasteners) 4013</v>
      </c>
      <c r="D233" s="16">
        <v>285</v>
      </c>
      <c r="E233" s="14" t="s">
        <v>90</v>
      </c>
      <c r="F233" s="14"/>
      <c r="G233" s="14"/>
      <c r="H233" s="14"/>
      <c r="I233" s="14"/>
      <c r="J233" s="24">
        <v>44490</v>
      </c>
      <c r="K233" s="24">
        <v>44854</v>
      </c>
      <c r="L233" s="32">
        <v>3</v>
      </c>
      <c r="M233" s="14" t="s">
        <v>1122</v>
      </c>
      <c r="N233" s="8"/>
      <c r="O233" s="18" t="s">
        <v>1123</v>
      </c>
      <c r="P233" s="195" t="s">
        <v>1124</v>
      </c>
      <c r="Q233" s="195" t="s">
        <v>4371</v>
      </c>
      <c r="R233" s="195" t="s">
        <v>1125</v>
      </c>
      <c r="S233" s="195" t="s">
        <v>235</v>
      </c>
      <c r="T233" s="195" t="s">
        <v>1126</v>
      </c>
      <c r="U233" s="195" t="s">
        <v>38</v>
      </c>
      <c r="V233" s="195" t="s">
        <v>23</v>
      </c>
      <c r="W233" s="193">
        <v>4</v>
      </c>
      <c r="X233" s="195">
        <v>0</v>
      </c>
      <c r="Y233" s="195">
        <v>1</v>
      </c>
      <c r="Z233" s="195">
        <v>3</v>
      </c>
      <c r="AA233" s="193" t="s">
        <v>4148</v>
      </c>
      <c r="AB233" s="2"/>
    </row>
    <row r="234" spans="1:28" ht="15" customHeight="1">
      <c r="A234" s="16">
        <v>233</v>
      </c>
      <c r="B234" s="14" t="s">
        <v>1127</v>
      </c>
      <c r="C234" s="14" t="str">
        <f>_xlfn.CONCAT(B234&amp;" "&amp;W234&amp;X234&amp;Y234&amp;Z234)</f>
        <v>Shining Tools Pvt Ltd (Shine Industries) 5301</v>
      </c>
      <c r="D234" s="16">
        <v>273</v>
      </c>
      <c r="E234" s="14" t="s">
        <v>42</v>
      </c>
      <c r="F234" s="14"/>
      <c r="G234" s="30">
        <v>41255</v>
      </c>
      <c r="H234" s="30"/>
      <c r="I234" s="30"/>
      <c r="J234" s="24"/>
      <c r="K234" s="24"/>
      <c r="L234" s="32">
        <v>3</v>
      </c>
      <c r="M234" s="14" t="s">
        <v>1128</v>
      </c>
      <c r="N234" s="8"/>
      <c r="O234" s="18">
        <v>9825121514</v>
      </c>
      <c r="P234" s="195" t="s">
        <v>1129</v>
      </c>
      <c r="Q234" s="195" t="s">
        <v>4372</v>
      </c>
      <c r="R234" s="195" t="s">
        <v>1130</v>
      </c>
      <c r="S234" s="195" t="s">
        <v>1131</v>
      </c>
      <c r="T234" s="195">
        <v>360004</v>
      </c>
      <c r="U234" s="195" t="s">
        <v>144</v>
      </c>
      <c r="V234" s="195" t="s">
        <v>23</v>
      </c>
      <c r="W234" s="193">
        <v>5</v>
      </c>
      <c r="X234" s="195">
        <v>3</v>
      </c>
      <c r="Y234" s="195">
        <v>0</v>
      </c>
      <c r="Z234" s="195">
        <v>1</v>
      </c>
      <c r="AA234" s="193" t="s">
        <v>4135</v>
      </c>
      <c r="AB234" s="2"/>
    </row>
    <row r="235" spans="1:28" ht="15" customHeight="1">
      <c r="A235" s="16">
        <v>234</v>
      </c>
      <c r="B235" s="14" t="s">
        <v>1132</v>
      </c>
      <c r="C235" s="14" t="str">
        <f>_xlfn.CONCAT(B235&amp;" "&amp;W235&amp;X235&amp;Y235&amp;Z235)</f>
        <v>Sanjith Moulds Pvt. Ltd., 2301</v>
      </c>
      <c r="D235" s="16">
        <v>275</v>
      </c>
      <c r="E235" s="14" t="s">
        <v>42</v>
      </c>
      <c r="F235" s="14"/>
      <c r="G235" s="14"/>
      <c r="H235" s="14"/>
      <c r="I235" s="14"/>
      <c r="J235" s="24">
        <v>44466</v>
      </c>
      <c r="K235" s="24">
        <v>44830</v>
      </c>
      <c r="L235" s="32">
        <v>3</v>
      </c>
      <c r="M235" s="14" t="s">
        <v>1133</v>
      </c>
      <c r="N235" s="14" t="s">
        <v>339</v>
      </c>
      <c r="O235" s="18" t="s">
        <v>1134</v>
      </c>
      <c r="P235" s="195" t="s">
        <v>502</v>
      </c>
      <c r="Q235" s="195" t="s">
        <v>4373</v>
      </c>
      <c r="R235" s="195" t="s">
        <v>321</v>
      </c>
      <c r="S235" s="195" t="s">
        <v>321</v>
      </c>
      <c r="T235" s="195">
        <v>422010</v>
      </c>
      <c r="U235" s="195" t="s">
        <v>172</v>
      </c>
      <c r="V235" s="195" t="s">
        <v>23</v>
      </c>
      <c r="W235" s="193">
        <v>2</v>
      </c>
      <c r="X235" s="195">
        <v>3</v>
      </c>
      <c r="Y235" s="195">
        <v>0</v>
      </c>
      <c r="Z235" s="195">
        <v>1</v>
      </c>
      <c r="AA235" s="193" t="s">
        <v>5221</v>
      </c>
      <c r="AB235" s="2"/>
    </row>
    <row r="236" spans="1:28" ht="15" customHeight="1">
      <c r="A236" s="16">
        <v>235</v>
      </c>
      <c r="B236" s="14" t="s">
        <v>1135</v>
      </c>
      <c r="C236" s="14" t="str">
        <f>_xlfn.CONCAT(B236&amp;" "&amp;W236&amp;X236&amp;Y236&amp;Z236)</f>
        <v>AG Industries 1042</v>
      </c>
      <c r="D236" s="16">
        <v>281</v>
      </c>
      <c r="E236" s="14" t="s">
        <v>1136</v>
      </c>
      <c r="F236" s="14"/>
      <c r="G236" s="30">
        <v>40889</v>
      </c>
      <c r="H236" s="30"/>
      <c r="I236" s="30"/>
      <c r="J236" s="24"/>
      <c r="K236" s="24"/>
      <c r="L236" s="32">
        <v>3</v>
      </c>
      <c r="M236" s="8"/>
      <c r="N236" s="8"/>
      <c r="O236" s="19"/>
      <c r="P236" s="195" t="s">
        <v>1137</v>
      </c>
      <c r="Q236" s="195" t="s">
        <v>4374</v>
      </c>
      <c r="R236" s="195" t="s">
        <v>1138</v>
      </c>
      <c r="S236" s="195" t="s">
        <v>1138</v>
      </c>
      <c r="T236" s="195">
        <v>123401</v>
      </c>
      <c r="U236" s="195" t="s">
        <v>429</v>
      </c>
      <c r="V236" s="195" t="s">
        <v>23</v>
      </c>
      <c r="W236" s="193">
        <v>1</v>
      </c>
      <c r="X236" s="195">
        <v>0</v>
      </c>
      <c r="Y236" s="195">
        <v>4</v>
      </c>
      <c r="Z236" s="195">
        <v>2</v>
      </c>
      <c r="AA236" s="193" t="s">
        <v>4118</v>
      </c>
      <c r="AB236" s="2"/>
    </row>
    <row r="237" spans="1:28" ht="15" customHeight="1">
      <c r="A237" s="16">
        <v>236</v>
      </c>
      <c r="B237" s="14" t="s">
        <v>1139</v>
      </c>
      <c r="C237" s="14" t="str">
        <f>_xlfn.CONCAT(B237&amp;" "&amp;W237&amp;X237&amp;Y237&amp;Z237)</f>
        <v>RC Engg 4021</v>
      </c>
      <c r="D237" s="16">
        <v>271</v>
      </c>
      <c r="E237" s="14" t="s">
        <v>42</v>
      </c>
      <c r="F237" s="14"/>
      <c r="G237" s="30">
        <v>41001</v>
      </c>
      <c r="H237" s="30"/>
      <c r="I237" s="30"/>
      <c r="J237" s="24"/>
      <c r="K237" s="24"/>
      <c r="L237" s="32">
        <v>3</v>
      </c>
      <c r="M237" s="14" t="s">
        <v>1140</v>
      </c>
      <c r="N237" s="14" t="s">
        <v>339</v>
      </c>
      <c r="O237" s="18">
        <v>9382506380</v>
      </c>
      <c r="P237" s="195" t="s">
        <v>957</v>
      </c>
      <c r="Q237" s="195" t="s">
        <v>4375</v>
      </c>
      <c r="R237" s="195" t="s">
        <v>358</v>
      </c>
      <c r="S237" s="195" t="s">
        <v>37</v>
      </c>
      <c r="T237" s="195">
        <v>600096</v>
      </c>
      <c r="U237" s="195" t="s">
        <v>38</v>
      </c>
      <c r="V237" s="195" t="s">
        <v>23</v>
      </c>
      <c r="W237" s="193">
        <v>4</v>
      </c>
      <c r="X237" s="195">
        <v>0</v>
      </c>
      <c r="Y237" s="195">
        <v>2</v>
      </c>
      <c r="Z237" s="195">
        <v>1</v>
      </c>
      <c r="AA237" s="193" t="s">
        <v>4148</v>
      </c>
      <c r="AB237" s="2"/>
    </row>
    <row r="238" spans="1:28" ht="15" customHeight="1">
      <c r="A238" s="16">
        <v>237</v>
      </c>
      <c r="B238" s="14" t="s">
        <v>110</v>
      </c>
      <c r="C238" s="14" t="str">
        <f>_xlfn.CONCAT(B238&amp;" "&amp;W238&amp;X238&amp;Y238&amp;Z238)</f>
        <v>Bosch Limited 2301</v>
      </c>
      <c r="D238" s="16">
        <v>276</v>
      </c>
      <c r="E238" s="14" t="s">
        <v>42</v>
      </c>
      <c r="F238" s="14"/>
      <c r="G238" s="14"/>
      <c r="H238" s="14"/>
      <c r="I238" s="14"/>
      <c r="J238" s="24">
        <v>45248</v>
      </c>
      <c r="K238" s="24">
        <v>45613</v>
      </c>
      <c r="L238" s="32">
        <v>3</v>
      </c>
      <c r="M238" s="14" t="s">
        <v>1141</v>
      </c>
      <c r="N238" s="8"/>
      <c r="O238" s="18" t="s">
        <v>1142</v>
      </c>
      <c r="P238" s="195" t="s">
        <v>1143</v>
      </c>
      <c r="Q238" s="195" t="s">
        <v>4376</v>
      </c>
      <c r="R238" s="193"/>
      <c r="S238" s="195" t="s">
        <v>321</v>
      </c>
      <c r="T238" s="195">
        <v>422007</v>
      </c>
      <c r="U238" s="195" t="s">
        <v>172</v>
      </c>
      <c r="V238" s="195" t="s">
        <v>23</v>
      </c>
      <c r="W238" s="193">
        <v>2</v>
      </c>
      <c r="X238" s="195">
        <v>3</v>
      </c>
      <c r="Y238" s="195">
        <v>0</v>
      </c>
      <c r="Z238" s="195">
        <v>1</v>
      </c>
      <c r="AA238" s="193" t="s">
        <v>5221</v>
      </c>
      <c r="AB238" s="2"/>
    </row>
    <row r="239" spans="1:28" ht="15" customHeight="1">
      <c r="A239" s="16">
        <v>238</v>
      </c>
      <c r="B239" s="14" t="s">
        <v>110</v>
      </c>
      <c r="C239" s="14" t="str">
        <f>_xlfn.CONCAT(B239&amp;" "&amp;W239&amp;X239&amp;Y239&amp;Z239)</f>
        <v>Bosch Limited 2301</v>
      </c>
      <c r="D239" s="16">
        <v>277</v>
      </c>
      <c r="E239" s="14" t="s">
        <v>42</v>
      </c>
      <c r="F239" s="14"/>
      <c r="G239" s="14"/>
      <c r="H239" s="14"/>
      <c r="I239" s="14"/>
      <c r="J239" s="24">
        <v>45248</v>
      </c>
      <c r="K239" s="24">
        <v>45613</v>
      </c>
      <c r="L239" s="32">
        <v>3</v>
      </c>
      <c r="M239" s="9" t="s">
        <v>1144</v>
      </c>
      <c r="N239" s="9"/>
      <c r="O239" s="18" t="s">
        <v>1142</v>
      </c>
      <c r="P239" s="195" t="s">
        <v>1143</v>
      </c>
      <c r="Q239" s="195" t="s">
        <v>4376</v>
      </c>
      <c r="R239" s="193"/>
      <c r="S239" s="195" t="s">
        <v>321</v>
      </c>
      <c r="T239" s="195">
        <v>422007</v>
      </c>
      <c r="U239" s="195" t="s">
        <v>172</v>
      </c>
      <c r="V239" s="195" t="s">
        <v>23</v>
      </c>
      <c r="W239" s="193">
        <v>2</v>
      </c>
      <c r="X239" s="195">
        <v>3</v>
      </c>
      <c r="Y239" s="195">
        <v>0</v>
      </c>
      <c r="Z239" s="195">
        <v>1</v>
      </c>
      <c r="AA239" s="193" t="s">
        <v>5221</v>
      </c>
      <c r="AB239" s="2"/>
    </row>
    <row r="240" spans="1:28" ht="15" customHeight="1">
      <c r="A240" s="16">
        <v>239</v>
      </c>
      <c r="B240" s="14" t="s">
        <v>1145</v>
      </c>
      <c r="C240" s="14" t="str">
        <f>_xlfn.CONCAT(B240&amp;" "&amp;W240&amp;X240&amp;Y240&amp;Z240)</f>
        <v>Narmada Rings Pvt Ltd 5301</v>
      </c>
      <c r="D240" s="16">
        <v>265</v>
      </c>
      <c r="E240" s="14" t="s">
        <v>42</v>
      </c>
      <c r="F240" s="14"/>
      <c r="G240" s="14"/>
      <c r="H240" s="14"/>
      <c r="I240" s="14"/>
      <c r="J240" s="24"/>
      <c r="K240" s="24"/>
      <c r="L240" s="32">
        <v>3</v>
      </c>
      <c r="M240" s="14" t="s">
        <v>1146</v>
      </c>
      <c r="N240" s="14" t="s">
        <v>339</v>
      </c>
      <c r="O240" s="18" t="s">
        <v>1147</v>
      </c>
      <c r="P240" s="195" t="s">
        <v>1148</v>
      </c>
      <c r="Q240" s="195" t="s">
        <v>4377</v>
      </c>
      <c r="R240" s="195" t="s">
        <v>1149</v>
      </c>
      <c r="S240" s="195" t="s">
        <v>1131</v>
      </c>
      <c r="T240" s="193"/>
      <c r="U240" s="195" t="s">
        <v>74</v>
      </c>
      <c r="V240" s="195" t="s">
        <v>23</v>
      </c>
      <c r="W240" s="193">
        <v>5</v>
      </c>
      <c r="X240" s="195">
        <v>3</v>
      </c>
      <c r="Y240" s="195">
        <v>0</v>
      </c>
      <c r="Z240" s="195">
        <v>1</v>
      </c>
      <c r="AA240" s="193" t="s">
        <v>4135</v>
      </c>
      <c r="AB240" s="2"/>
    </row>
    <row r="241" spans="1:28" ht="15" customHeight="1">
      <c r="A241" s="16">
        <v>240</v>
      </c>
      <c r="B241" s="14" t="s">
        <v>1150</v>
      </c>
      <c r="C241" s="14" t="str">
        <f>_xlfn.CONCAT(B241&amp;" "&amp;W241&amp;X241&amp;Y241&amp;Z241)</f>
        <v>Allison Transmission India Pvt Ltd 4031</v>
      </c>
      <c r="D241" s="16">
        <v>283</v>
      </c>
      <c r="E241" s="14" t="s">
        <v>90</v>
      </c>
      <c r="F241" s="14"/>
      <c r="G241" s="14"/>
      <c r="H241" s="14"/>
      <c r="I241" s="14"/>
      <c r="J241" s="24">
        <v>44543</v>
      </c>
      <c r="K241" s="24">
        <v>44907</v>
      </c>
      <c r="L241" s="32">
        <v>3</v>
      </c>
      <c r="M241" s="14" t="s">
        <v>1151</v>
      </c>
      <c r="N241" s="8"/>
      <c r="O241" s="19"/>
      <c r="P241" s="195" t="s">
        <v>281</v>
      </c>
      <c r="Q241" s="195" t="s">
        <v>4378</v>
      </c>
      <c r="R241" s="195" t="s">
        <v>1152</v>
      </c>
      <c r="S241" s="195" t="s">
        <v>37</v>
      </c>
      <c r="T241" s="195">
        <v>602105</v>
      </c>
      <c r="U241" s="195" t="s">
        <v>38</v>
      </c>
      <c r="V241" s="195" t="s">
        <v>23</v>
      </c>
      <c r="W241" s="193">
        <v>4</v>
      </c>
      <c r="X241" s="195">
        <v>0</v>
      </c>
      <c r="Y241" s="195">
        <v>3</v>
      </c>
      <c r="Z241" s="195">
        <v>1</v>
      </c>
      <c r="AA241" s="193" t="s">
        <v>4148</v>
      </c>
      <c r="AB241" s="2"/>
    </row>
    <row r="242" spans="1:28" ht="15" customHeight="1">
      <c r="A242" s="16">
        <v>241</v>
      </c>
      <c r="B242" s="14" t="s">
        <v>1153</v>
      </c>
      <c r="C242" s="14" t="str">
        <f>_xlfn.CONCAT(B242&amp;" "&amp;W242&amp;X242&amp;Y242&amp;Z242)</f>
        <v>Aurolab (Moulding Dept) 4101</v>
      </c>
      <c r="D242" s="16">
        <v>401</v>
      </c>
      <c r="E242" s="14" t="s">
        <v>42</v>
      </c>
      <c r="F242" s="14"/>
      <c r="G242" s="14"/>
      <c r="H242" s="14"/>
      <c r="I242" s="14"/>
      <c r="J242" s="24">
        <v>44232</v>
      </c>
      <c r="K242" s="24">
        <v>44596</v>
      </c>
      <c r="L242" s="32">
        <v>3</v>
      </c>
      <c r="M242" s="14" t="s">
        <v>987</v>
      </c>
      <c r="N242" s="14" t="s">
        <v>988</v>
      </c>
      <c r="O242" s="18" t="s">
        <v>989</v>
      </c>
      <c r="P242" s="195" t="s">
        <v>990</v>
      </c>
      <c r="Q242" s="195" t="s">
        <v>4379</v>
      </c>
      <c r="R242" s="193"/>
      <c r="S242" s="195" t="s">
        <v>894</v>
      </c>
      <c r="T242" s="195">
        <v>6250201</v>
      </c>
      <c r="U242" s="195" t="s">
        <v>38</v>
      </c>
      <c r="V242" s="195" t="s">
        <v>23</v>
      </c>
      <c r="W242" s="193">
        <v>4</v>
      </c>
      <c r="X242" s="195">
        <v>1</v>
      </c>
      <c r="Y242" s="195">
        <v>0</v>
      </c>
      <c r="Z242" s="195">
        <v>1</v>
      </c>
      <c r="AA242" s="193" t="s">
        <v>4148</v>
      </c>
      <c r="AB242" s="2"/>
    </row>
    <row r="243" spans="1:28" ht="15" customHeight="1">
      <c r="A243" s="16">
        <v>242</v>
      </c>
      <c r="B243" s="14" t="s">
        <v>693</v>
      </c>
      <c r="C243" s="14" t="str">
        <f>_xlfn.CONCAT(B243&amp;" "&amp;W243&amp;X243&amp;Y243&amp;Z243)</f>
        <v>Continental Automotive Components (I) P L 1111</v>
      </c>
      <c r="D243" s="16">
        <v>282</v>
      </c>
      <c r="E243" s="14" t="s">
        <v>90</v>
      </c>
      <c r="F243" s="14"/>
      <c r="G243" s="14"/>
      <c r="H243" s="14"/>
      <c r="I243" s="14"/>
      <c r="J243" s="24">
        <v>44479</v>
      </c>
      <c r="K243" s="24">
        <v>44843</v>
      </c>
      <c r="L243" s="32">
        <v>3</v>
      </c>
      <c r="M243" s="14" t="s">
        <v>1154</v>
      </c>
      <c r="N243" s="14" t="s">
        <v>1155</v>
      </c>
      <c r="O243" s="18" t="s">
        <v>1156</v>
      </c>
      <c r="P243" s="195" t="s">
        <v>1157</v>
      </c>
      <c r="Q243" s="195" t="s">
        <v>4380</v>
      </c>
      <c r="R243" s="195" t="s">
        <v>1158</v>
      </c>
      <c r="S243" s="195" t="s">
        <v>428</v>
      </c>
      <c r="T243" s="195">
        <v>122001</v>
      </c>
      <c r="U243" s="195" t="s">
        <v>429</v>
      </c>
      <c r="V243" s="195" t="s">
        <v>23</v>
      </c>
      <c r="W243" s="193">
        <v>1</v>
      </c>
      <c r="X243" s="195">
        <v>1</v>
      </c>
      <c r="Y243" s="195">
        <v>1</v>
      </c>
      <c r="Z243" s="195">
        <v>1</v>
      </c>
      <c r="AA243" s="193" t="s">
        <v>4118</v>
      </c>
      <c r="AB243" s="2"/>
    </row>
    <row r="244" spans="1:28" ht="15" customHeight="1">
      <c r="A244" s="16">
        <v>243</v>
      </c>
      <c r="B244" s="14" t="s">
        <v>1159</v>
      </c>
      <c r="C244" s="14" t="str">
        <f>_xlfn.CONCAT(B244&amp;" "&amp;W244&amp;X244&amp;Y244&amp;Z244)</f>
        <v>Vitesco Technologies India Pvt Ltd (Continental Automotive Components (I) P L) 2421</v>
      </c>
      <c r="D244" s="16">
        <v>284</v>
      </c>
      <c r="E244" s="14" t="s">
        <v>90</v>
      </c>
      <c r="F244" s="14"/>
      <c r="G244" s="30">
        <v>40915</v>
      </c>
      <c r="H244" s="30"/>
      <c r="I244" s="30"/>
      <c r="J244" s="24">
        <v>45492</v>
      </c>
      <c r="K244" s="24">
        <v>45856</v>
      </c>
      <c r="L244" s="32">
        <v>3</v>
      </c>
      <c r="M244" s="14" t="s">
        <v>1160</v>
      </c>
      <c r="N244" s="14" t="s">
        <v>1161</v>
      </c>
      <c r="O244" s="18">
        <v>8390220045</v>
      </c>
      <c r="P244" s="193" t="s">
        <v>1162</v>
      </c>
      <c r="Q244" s="193" t="s">
        <v>4381</v>
      </c>
      <c r="R244" s="193" t="s">
        <v>1163</v>
      </c>
      <c r="S244" s="195" t="s">
        <v>215</v>
      </c>
      <c r="T244" s="193">
        <v>410507</v>
      </c>
      <c r="U244" s="195" t="s">
        <v>172</v>
      </c>
      <c r="V244" s="195" t="s">
        <v>23</v>
      </c>
      <c r="W244" s="193">
        <v>2</v>
      </c>
      <c r="X244" s="195">
        <v>4</v>
      </c>
      <c r="Y244" s="195">
        <v>2</v>
      </c>
      <c r="Z244" s="195">
        <v>1</v>
      </c>
      <c r="AA244" s="193" t="s">
        <v>4151</v>
      </c>
      <c r="AB244" s="2"/>
    </row>
    <row r="245" spans="1:28" ht="15" customHeight="1">
      <c r="A245" s="16">
        <v>244</v>
      </c>
      <c r="B245" s="14" t="s">
        <v>1164</v>
      </c>
      <c r="C245" s="14" t="str">
        <f>_xlfn.CONCAT(B245&amp;" "&amp;W245&amp;X245&amp;Y245&amp;Z245)</f>
        <v>Mahindra CIE Automotive Ltd (Bill Forge Private Limited) 8021</v>
      </c>
      <c r="D245" s="16">
        <v>272</v>
      </c>
      <c r="E245" s="14" t="s">
        <v>348</v>
      </c>
      <c r="F245" s="14"/>
      <c r="G245" s="14"/>
      <c r="H245" s="14"/>
      <c r="I245" s="14"/>
      <c r="J245" s="24">
        <v>44368</v>
      </c>
      <c r="K245" s="24">
        <v>44732</v>
      </c>
      <c r="L245" s="32">
        <v>3</v>
      </c>
      <c r="M245" s="14" t="s">
        <v>1165</v>
      </c>
      <c r="N245" s="8"/>
      <c r="O245" s="18" t="s">
        <v>1166</v>
      </c>
      <c r="P245" s="195" t="s">
        <v>1167</v>
      </c>
      <c r="Q245" s="195" t="s">
        <v>4382</v>
      </c>
      <c r="R245" s="195" t="s">
        <v>725</v>
      </c>
      <c r="S245" s="195" t="s">
        <v>21</v>
      </c>
      <c r="T245" s="195">
        <v>560105</v>
      </c>
      <c r="U245" s="195" t="s">
        <v>22</v>
      </c>
      <c r="V245" s="195" t="s">
        <v>23</v>
      </c>
      <c r="W245" s="193">
        <v>8</v>
      </c>
      <c r="X245" s="195">
        <v>0</v>
      </c>
      <c r="Y245" s="195">
        <v>2</v>
      </c>
      <c r="Z245" s="195">
        <v>1</v>
      </c>
      <c r="AA245" s="193" t="s">
        <v>4118</v>
      </c>
      <c r="AB245" s="2"/>
    </row>
    <row r="246" spans="1:28" ht="15" customHeight="1">
      <c r="A246" s="16">
        <v>245</v>
      </c>
      <c r="B246" s="14" t="s">
        <v>1168</v>
      </c>
      <c r="C246" s="14" t="str">
        <f>_xlfn.CONCAT(B246&amp;" "&amp;W246&amp;X246&amp;Y246&amp;Z246)</f>
        <v>Fine Care Biosystems 5301</v>
      </c>
      <c r="D246" s="16">
        <v>278</v>
      </c>
      <c r="E246" s="14" t="s">
        <v>42</v>
      </c>
      <c r="F246" s="14"/>
      <c r="G246" s="30">
        <v>40921</v>
      </c>
      <c r="H246" s="30"/>
      <c r="I246" s="30"/>
      <c r="J246" s="24"/>
      <c r="K246" s="24"/>
      <c r="L246" s="32">
        <v>3</v>
      </c>
      <c r="M246" s="14" t="s">
        <v>1169</v>
      </c>
      <c r="N246" s="14" t="s">
        <v>325</v>
      </c>
      <c r="O246" s="19"/>
      <c r="P246" s="195" t="s">
        <v>1170</v>
      </c>
      <c r="Q246" s="195" t="s">
        <v>4383</v>
      </c>
      <c r="R246" s="195" t="s">
        <v>1171</v>
      </c>
      <c r="S246" s="195" t="s">
        <v>1172</v>
      </c>
      <c r="T246" s="195">
        <v>382721</v>
      </c>
      <c r="U246" s="195" t="s">
        <v>144</v>
      </c>
      <c r="V246" s="195" t="s">
        <v>23</v>
      </c>
      <c r="W246" s="193">
        <v>5</v>
      </c>
      <c r="X246" s="195">
        <v>3</v>
      </c>
      <c r="Y246" s="195">
        <v>0</v>
      </c>
      <c r="Z246" s="195">
        <v>1</v>
      </c>
      <c r="AA246" s="193" t="s">
        <v>4135</v>
      </c>
      <c r="AB246" s="2"/>
    </row>
    <row r="247" spans="1:28" ht="15" customHeight="1">
      <c r="A247" s="16">
        <v>246</v>
      </c>
      <c r="B247" s="14" t="s">
        <v>1173</v>
      </c>
      <c r="C247" s="14" t="str">
        <f>_xlfn.CONCAT(B247&amp;" "&amp;W247&amp;X247&amp;Y247&amp;Z247)</f>
        <v>Sathvik Engineers 8051</v>
      </c>
      <c r="D247" s="16">
        <v>263</v>
      </c>
      <c r="E247" s="14" t="s">
        <v>42</v>
      </c>
      <c r="F247" s="14"/>
      <c r="G247" s="14"/>
      <c r="H247" s="14"/>
      <c r="I247" s="14"/>
      <c r="J247" s="24">
        <v>44415</v>
      </c>
      <c r="K247" s="24">
        <v>44779</v>
      </c>
      <c r="L247" s="32">
        <v>3</v>
      </c>
      <c r="M247" s="14" t="s">
        <v>1174</v>
      </c>
      <c r="N247" s="8"/>
      <c r="O247" s="18" t="s">
        <v>1175</v>
      </c>
      <c r="P247" s="195" t="s">
        <v>1176</v>
      </c>
      <c r="Q247" s="195" t="s">
        <v>4384</v>
      </c>
      <c r="R247" s="195" t="s">
        <v>1177</v>
      </c>
      <c r="S247" s="195" t="s">
        <v>21</v>
      </c>
      <c r="T247" s="195" t="s">
        <v>1178</v>
      </c>
      <c r="U247" s="195" t="s">
        <v>22</v>
      </c>
      <c r="V247" s="195" t="s">
        <v>23</v>
      </c>
      <c r="W247" s="193">
        <v>8</v>
      </c>
      <c r="X247" s="195">
        <v>0</v>
      </c>
      <c r="Y247" s="195">
        <v>5</v>
      </c>
      <c r="Z247" s="195">
        <v>1</v>
      </c>
      <c r="AA247" s="193" t="s">
        <v>4118</v>
      </c>
      <c r="AB247" s="2"/>
    </row>
    <row r="248" spans="1:28" ht="15" customHeight="1">
      <c r="A248" s="16">
        <v>247</v>
      </c>
      <c r="B248" s="14" t="s">
        <v>1179</v>
      </c>
      <c r="C248" s="14" t="str">
        <f>_xlfn.CONCAT(B248&amp;" "&amp;W248&amp;X248&amp;Y248&amp;Z248)</f>
        <v>Metro - Gijutsu Center 5301</v>
      </c>
      <c r="D248" s="16">
        <v>289</v>
      </c>
      <c r="E248" s="14" t="s">
        <v>42</v>
      </c>
      <c r="F248" s="14"/>
      <c r="G248" s="14"/>
      <c r="H248" s="14"/>
      <c r="I248" s="14"/>
      <c r="J248" s="24"/>
      <c r="K248" s="24"/>
      <c r="L248" s="32">
        <v>3</v>
      </c>
      <c r="M248" s="14" t="s">
        <v>1180</v>
      </c>
      <c r="N248" s="8"/>
      <c r="O248" s="18" t="s">
        <v>1181</v>
      </c>
      <c r="P248" s="195" t="s">
        <v>1182</v>
      </c>
      <c r="Q248" s="195" t="s">
        <v>4385</v>
      </c>
      <c r="R248" s="193"/>
      <c r="S248" s="195" t="s">
        <v>1131</v>
      </c>
      <c r="T248" s="195">
        <v>360002</v>
      </c>
      <c r="U248" s="195" t="s">
        <v>144</v>
      </c>
      <c r="V248" s="195" t="s">
        <v>23</v>
      </c>
      <c r="W248" s="193">
        <v>5</v>
      </c>
      <c r="X248" s="195">
        <v>3</v>
      </c>
      <c r="Y248" s="195">
        <v>0</v>
      </c>
      <c r="Z248" s="195">
        <v>1</v>
      </c>
      <c r="AA248" s="193" t="s">
        <v>4135</v>
      </c>
      <c r="AB248" s="2"/>
    </row>
    <row r="249" spans="1:28" ht="15" customHeight="1">
      <c r="A249" s="16">
        <v>248</v>
      </c>
      <c r="B249" s="14" t="s">
        <v>1183</v>
      </c>
      <c r="C249" s="14" t="str">
        <f>_xlfn.CONCAT(B249&amp;" "&amp;W249&amp;X249&amp;Y249&amp;Z249)</f>
        <v>Precision Sintered Products 5301</v>
      </c>
      <c r="D249" s="16">
        <v>329</v>
      </c>
      <c r="E249" s="14" t="s">
        <v>533</v>
      </c>
      <c r="F249" s="14"/>
      <c r="G249" s="14"/>
      <c r="H249" s="14"/>
      <c r="I249" s="14"/>
      <c r="J249" s="24"/>
      <c r="K249" s="24"/>
      <c r="L249" s="32">
        <v>3</v>
      </c>
      <c r="M249" s="9" t="s">
        <v>1184</v>
      </c>
      <c r="N249" s="9"/>
      <c r="O249" s="18" t="s">
        <v>1185</v>
      </c>
      <c r="P249" s="195" t="s">
        <v>1186</v>
      </c>
      <c r="Q249" s="195" t="s">
        <v>4386</v>
      </c>
      <c r="R249" s="195" t="s">
        <v>1187</v>
      </c>
      <c r="S249" s="195" t="s">
        <v>1131</v>
      </c>
      <c r="T249" s="195">
        <v>360021</v>
      </c>
      <c r="U249" s="195" t="s">
        <v>144</v>
      </c>
      <c r="V249" s="195" t="s">
        <v>23</v>
      </c>
      <c r="W249" s="193">
        <v>5</v>
      </c>
      <c r="X249" s="195">
        <v>3</v>
      </c>
      <c r="Y249" s="195">
        <v>0</v>
      </c>
      <c r="Z249" s="195">
        <v>1</v>
      </c>
      <c r="AA249" s="193" t="s">
        <v>4135</v>
      </c>
      <c r="AB249" s="2"/>
    </row>
    <row r="250" spans="1:28" ht="15" customHeight="1">
      <c r="A250" s="16">
        <v>249</v>
      </c>
      <c r="B250" s="14" t="s">
        <v>1121</v>
      </c>
      <c r="C250" s="14" t="str">
        <f>_xlfn.CONCAT(B250&amp;" "&amp;W250&amp;X250&amp;Y250&amp;Z250)</f>
        <v>Fastenex Pvt Ltd (Leo Fasteners) 4013</v>
      </c>
      <c r="D250" s="16">
        <v>296</v>
      </c>
      <c r="E250" s="14" t="s">
        <v>90</v>
      </c>
      <c r="F250" s="14"/>
      <c r="G250" s="14"/>
      <c r="H250" s="14"/>
      <c r="I250" s="14"/>
      <c r="J250" s="24">
        <v>44490</v>
      </c>
      <c r="K250" s="24">
        <v>44854</v>
      </c>
      <c r="L250" s="32">
        <v>3</v>
      </c>
      <c r="M250" s="14" t="s">
        <v>1122</v>
      </c>
      <c r="N250" s="8"/>
      <c r="O250" s="18" t="s">
        <v>1123</v>
      </c>
      <c r="P250" s="195" t="s">
        <v>1124</v>
      </c>
      <c r="Q250" s="195" t="s">
        <v>4371</v>
      </c>
      <c r="R250" s="195" t="s">
        <v>1125</v>
      </c>
      <c r="S250" s="195" t="s">
        <v>235</v>
      </c>
      <c r="T250" s="195" t="s">
        <v>1126</v>
      </c>
      <c r="U250" s="195" t="s">
        <v>38</v>
      </c>
      <c r="V250" s="195" t="s">
        <v>23</v>
      </c>
      <c r="W250" s="193">
        <v>4</v>
      </c>
      <c r="X250" s="195">
        <v>0</v>
      </c>
      <c r="Y250" s="195">
        <v>1</v>
      </c>
      <c r="Z250" s="195">
        <v>3</v>
      </c>
      <c r="AA250" s="193" t="s">
        <v>4148</v>
      </c>
      <c r="AB250" s="2"/>
    </row>
    <row r="251" spans="1:28" ht="15" customHeight="1">
      <c r="A251" s="16">
        <v>250</v>
      </c>
      <c r="B251" s="14" t="s">
        <v>1121</v>
      </c>
      <c r="C251" s="14" t="str">
        <f>_xlfn.CONCAT(B251&amp;" "&amp;W251&amp;X251&amp;Y251&amp;Z251)</f>
        <v>Fastenex Pvt Ltd (Leo Fasteners) 4013</v>
      </c>
      <c r="D251" s="16">
        <v>270</v>
      </c>
      <c r="E251" s="14" t="s">
        <v>90</v>
      </c>
      <c r="F251" s="14"/>
      <c r="G251" s="14"/>
      <c r="H251" s="14"/>
      <c r="I251" s="14"/>
      <c r="J251" s="24">
        <v>44490</v>
      </c>
      <c r="K251" s="24">
        <v>44854</v>
      </c>
      <c r="L251" s="32">
        <v>3</v>
      </c>
      <c r="M251" s="14" t="s">
        <v>1122</v>
      </c>
      <c r="N251" s="8"/>
      <c r="O251" s="18" t="s">
        <v>1123</v>
      </c>
      <c r="P251" s="195" t="s">
        <v>1189</v>
      </c>
      <c r="Q251" s="195" t="s">
        <v>4387</v>
      </c>
      <c r="R251" s="195" t="s">
        <v>235</v>
      </c>
      <c r="S251" s="195" t="s">
        <v>235</v>
      </c>
      <c r="T251" s="195" t="s">
        <v>1126</v>
      </c>
      <c r="U251" s="195" t="s">
        <v>38</v>
      </c>
      <c r="V251" s="195" t="s">
        <v>23</v>
      </c>
      <c r="W251" s="193">
        <v>4</v>
      </c>
      <c r="X251" s="195">
        <v>0</v>
      </c>
      <c r="Y251" s="195">
        <v>1</v>
      </c>
      <c r="Z251" s="195">
        <v>3</v>
      </c>
      <c r="AA251" s="193" t="s">
        <v>4148</v>
      </c>
      <c r="AB251" s="2"/>
    </row>
    <row r="252" spans="1:28" ht="15" customHeight="1">
      <c r="A252" s="16">
        <v>251</v>
      </c>
      <c r="B252" s="14" t="s">
        <v>1023</v>
      </c>
      <c r="C252" s="14" t="str">
        <f>_xlfn.CONCAT(B252&amp;" "&amp;W252&amp;X252&amp;Y252&amp;Z252)</f>
        <v>Napino Auto &amp; Electronics Ltd 1111</v>
      </c>
      <c r="D252" s="16">
        <v>295</v>
      </c>
      <c r="E252" s="14" t="s">
        <v>42</v>
      </c>
      <c r="F252" s="14"/>
      <c r="G252" s="14"/>
      <c r="H252" s="14"/>
      <c r="I252" s="14"/>
      <c r="J252" s="24">
        <v>44348</v>
      </c>
      <c r="K252" s="24">
        <v>44711</v>
      </c>
      <c r="L252" s="32">
        <v>3</v>
      </c>
      <c r="M252" s="14" t="s">
        <v>1024</v>
      </c>
      <c r="N252" s="14" t="s">
        <v>325</v>
      </c>
      <c r="O252" s="19"/>
      <c r="P252" s="195" t="s">
        <v>859</v>
      </c>
      <c r="Q252" s="195" t="s">
        <v>4388</v>
      </c>
      <c r="R252" s="193"/>
      <c r="S252" s="195" t="s">
        <v>428</v>
      </c>
      <c r="T252" s="195">
        <v>122050</v>
      </c>
      <c r="U252" s="195" t="s">
        <v>429</v>
      </c>
      <c r="V252" s="195" t="s">
        <v>23</v>
      </c>
      <c r="W252" s="193">
        <v>1</v>
      </c>
      <c r="X252" s="195">
        <v>1</v>
      </c>
      <c r="Y252" s="195">
        <v>1</v>
      </c>
      <c r="Z252" s="195">
        <v>1</v>
      </c>
      <c r="AA252" s="193" t="s">
        <v>4118</v>
      </c>
      <c r="AB252" s="2"/>
    </row>
    <row r="253" spans="1:28" ht="15" customHeight="1">
      <c r="A253" s="16">
        <v>252</v>
      </c>
      <c r="B253" s="14" t="s">
        <v>1023</v>
      </c>
      <c r="C253" s="14" t="str">
        <f>_xlfn.CONCAT(B253&amp;" "&amp;W253&amp;X253&amp;Y253&amp;Z253)</f>
        <v>Napino Auto &amp; Electronics Ltd 1111</v>
      </c>
      <c r="D253" s="16">
        <v>304</v>
      </c>
      <c r="E253" s="14" t="s">
        <v>42</v>
      </c>
      <c r="F253" s="14"/>
      <c r="G253" s="14"/>
      <c r="H253" s="14"/>
      <c r="I253" s="14"/>
      <c r="J253" s="24">
        <v>45858</v>
      </c>
      <c r="K253" s="24">
        <v>46222</v>
      </c>
      <c r="L253" s="32">
        <v>3</v>
      </c>
      <c r="M253" s="14" t="s">
        <v>1024</v>
      </c>
      <c r="N253" s="14" t="s">
        <v>325</v>
      </c>
      <c r="O253" s="18" t="s">
        <v>1190</v>
      </c>
      <c r="P253" s="195" t="s">
        <v>859</v>
      </c>
      <c r="Q253" s="195" t="s">
        <v>4389</v>
      </c>
      <c r="R253" s="193"/>
      <c r="S253" s="195" t="s">
        <v>428</v>
      </c>
      <c r="T253" s="195">
        <v>122050</v>
      </c>
      <c r="U253" s="195" t="s">
        <v>429</v>
      </c>
      <c r="V253" s="195" t="s">
        <v>23</v>
      </c>
      <c r="W253" s="193">
        <v>1</v>
      </c>
      <c r="X253" s="195">
        <v>1</v>
      </c>
      <c r="Y253" s="195">
        <v>1</v>
      </c>
      <c r="Z253" s="195">
        <v>1</v>
      </c>
      <c r="AA253" s="193" t="s">
        <v>4118</v>
      </c>
      <c r="AB253" s="2"/>
    </row>
    <row r="254" spans="1:28" ht="15" customHeight="1">
      <c r="A254" s="16">
        <v>253</v>
      </c>
      <c r="B254" s="14" t="s">
        <v>1191</v>
      </c>
      <c r="C254" s="14" t="str">
        <f>_xlfn.CONCAT(B254&amp;" "&amp;W254&amp;X254&amp;Y254&amp;Z254)</f>
        <v>Ceratizit India Pvt Ltd 8005</v>
      </c>
      <c r="D254" s="16">
        <v>294</v>
      </c>
      <c r="E254" s="14" t="s">
        <v>42</v>
      </c>
      <c r="F254" s="14"/>
      <c r="G254" s="14"/>
      <c r="H254" s="14"/>
      <c r="I254" s="14"/>
      <c r="J254" s="24">
        <v>45805</v>
      </c>
      <c r="K254" s="24">
        <v>46139</v>
      </c>
      <c r="L254" s="32">
        <v>3</v>
      </c>
      <c r="M254" s="14" t="s">
        <v>1192</v>
      </c>
      <c r="N254" s="14" t="s">
        <v>1193</v>
      </c>
      <c r="O254" s="18" t="s">
        <v>1194</v>
      </c>
      <c r="P254" s="195" t="s">
        <v>1195</v>
      </c>
      <c r="Q254" s="195" t="s">
        <v>4390</v>
      </c>
      <c r="R254" s="193"/>
      <c r="S254" s="195" t="s">
        <v>327</v>
      </c>
      <c r="T254" s="195">
        <v>700008</v>
      </c>
      <c r="U254" s="195" t="s">
        <v>328</v>
      </c>
      <c r="V254" s="195" t="s">
        <v>23</v>
      </c>
      <c r="W254" s="193">
        <v>8</v>
      </c>
      <c r="X254" s="195">
        <v>0</v>
      </c>
      <c r="Y254" s="195">
        <v>0</v>
      </c>
      <c r="Z254" s="195">
        <v>5</v>
      </c>
      <c r="AA254" s="193" t="s">
        <v>4118</v>
      </c>
      <c r="AB254" s="2"/>
    </row>
    <row r="255" spans="1:28" ht="15" customHeight="1">
      <c r="A255" s="16">
        <v>254</v>
      </c>
      <c r="B255" s="14" t="s">
        <v>1196</v>
      </c>
      <c r="C255" s="14" t="str">
        <f>_xlfn.CONCAT(B255&amp;" "&amp;W255&amp;X255&amp;Y255&amp;Z255)</f>
        <v>Bhabha Atomic Research Centre 2224</v>
      </c>
      <c r="D255" s="16">
        <v>286</v>
      </c>
      <c r="E255" s="14" t="s">
        <v>42</v>
      </c>
      <c r="F255" s="14"/>
      <c r="G255" s="14"/>
      <c r="H255" s="14"/>
      <c r="I255" s="14"/>
      <c r="J255" s="24">
        <v>44571</v>
      </c>
      <c r="K255" s="24">
        <v>44935</v>
      </c>
      <c r="L255" s="32">
        <v>3</v>
      </c>
      <c r="M255" s="8"/>
      <c r="N255" s="8"/>
      <c r="O255" s="18" t="s">
        <v>1197</v>
      </c>
      <c r="P255" s="193"/>
      <c r="Q255" s="193" t="s">
        <v>4391</v>
      </c>
      <c r="R255" s="193"/>
      <c r="S255" s="195" t="s">
        <v>221</v>
      </c>
      <c r="T255" s="195" t="s">
        <v>1198</v>
      </c>
      <c r="U255" s="195" t="s">
        <v>172</v>
      </c>
      <c r="V255" s="195" t="s">
        <v>23</v>
      </c>
      <c r="W255" s="193">
        <v>2</v>
      </c>
      <c r="X255" s="195">
        <v>2</v>
      </c>
      <c r="Y255" s="195">
        <v>2</v>
      </c>
      <c r="Z255" s="195">
        <v>4</v>
      </c>
      <c r="AA255" s="193" t="s">
        <v>4148</v>
      </c>
      <c r="AB255" s="2"/>
    </row>
    <row r="256" spans="1:28" ht="15" customHeight="1">
      <c r="A256" s="16">
        <v>255</v>
      </c>
      <c r="B256" s="14" t="s">
        <v>582</v>
      </c>
      <c r="C256" s="14" t="str">
        <f>_xlfn.CONCAT(B256&amp;" "&amp;W256&amp;X256&amp;Y256&amp;Z256)</f>
        <v>Chakradhara Aerospace &amp; Cargo Pvt Ltd 4111</v>
      </c>
      <c r="D256" s="16">
        <v>298</v>
      </c>
      <c r="E256" s="14" t="s">
        <v>90</v>
      </c>
      <c r="F256" s="14"/>
      <c r="G256" s="14"/>
      <c r="H256" s="14"/>
      <c r="I256" s="14"/>
      <c r="J256" s="24">
        <v>44483</v>
      </c>
      <c r="K256" s="24">
        <v>44847</v>
      </c>
      <c r="L256" s="32">
        <v>3</v>
      </c>
      <c r="M256" s="8"/>
      <c r="N256" s="8"/>
      <c r="O256" s="18" t="s">
        <v>1199</v>
      </c>
      <c r="P256" s="195" t="s">
        <v>586</v>
      </c>
      <c r="Q256" s="195" t="s">
        <v>4392</v>
      </c>
      <c r="R256" s="193"/>
      <c r="S256" s="195" t="s">
        <v>101</v>
      </c>
      <c r="T256" s="195" t="s">
        <v>1200</v>
      </c>
      <c r="U256" s="195" t="s">
        <v>38</v>
      </c>
      <c r="V256" s="195" t="s">
        <v>23</v>
      </c>
      <c r="W256" s="193">
        <v>4</v>
      </c>
      <c r="X256" s="195">
        <v>1</v>
      </c>
      <c r="Y256" s="195">
        <v>1</v>
      </c>
      <c r="Z256" s="195">
        <v>1</v>
      </c>
      <c r="AA256" s="193" t="s">
        <v>4148</v>
      </c>
      <c r="AB256" s="2"/>
    </row>
    <row r="257" spans="1:28" ht="15" customHeight="1">
      <c r="A257" s="16">
        <v>256</v>
      </c>
      <c r="B257" s="14" t="s">
        <v>1201</v>
      </c>
      <c r="C257" s="14" t="str">
        <f>_xlfn.CONCAT(B257&amp;" "&amp;W257&amp;X257&amp;Y257&amp;Z257)</f>
        <v>Imperial Pharmachines Pvt Ltd 2224</v>
      </c>
      <c r="D257" s="16">
        <v>307</v>
      </c>
      <c r="E257" s="14" t="s">
        <v>42</v>
      </c>
      <c r="F257" s="14"/>
      <c r="G257" s="14"/>
      <c r="H257" s="14"/>
      <c r="I257" s="14"/>
      <c r="J257" s="24">
        <v>44413</v>
      </c>
      <c r="K257" s="24">
        <v>44777</v>
      </c>
      <c r="L257" s="32">
        <v>3</v>
      </c>
      <c r="M257" s="9" t="s">
        <v>1202</v>
      </c>
      <c r="N257" s="9"/>
      <c r="O257" s="18" t="s">
        <v>1203</v>
      </c>
      <c r="P257" s="195" t="s">
        <v>1204</v>
      </c>
      <c r="Q257" s="195" t="s">
        <v>4393</v>
      </c>
      <c r="R257" s="195" t="s">
        <v>1205</v>
      </c>
      <c r="S257" s="195" t="s">
        <v>258</v>
      </c>
      <c r="T257" s="193"/>
      <c r="U257" s="195" t="s">
        <v>172</v>
      </c>
      <c r="V257" s="195" t="s">
        <v>23</v>
      </c>
      <c r="W257" s="193">
        <v>2</v>
      </c>
      <c r="X257" s="195">
        <v>2</v>
      </c>
      <c r="Y257" s="195">
        <v>2</v>
      </c>
      <c r="Z257" s="195">
        <v>4</v>
      </c>
      <c r="AA257" s="193" t="s">
        <v>4148</v>
      </c>
      <c r="AB257" s="2"/>
    </row>
    <row r="258" spans="1:28" ht="15" customHeight="1">
      <c r="A258" s="16">
        <v>257</v>
      </c>
      <c r="B258" s="14" t="s">
        <v>1206</v>
      </c>
      <c r="C258" s="14" t="str">
        <f>_xlfn.CONCAT(B258&amp;" "&amp;W258&amp;X258&amp;Y258&amp;Z258)</f>
        <v>Malvika Jewellery Pvt Ltd 2115</v>
      </c>
      <c r="D258" s="16">
        <v>306</v>
      </c>
      <c r="E258" s="14" t="s">
        <v>42</v>
      </c>
      <c r="F258" s="14"/>
      <c r="G258" s="30">
        <v>41039</v>
      </c>
      <c r="H258" s="30"/>
      <c r="I258" s="30"/>
      <c r="J258" s="24"/>
      <c r="K258" s="24"/>
      <c r="L258" s="32">
        <v>3</v>
      </c>
      <c r="M258" s="14" t="s">
        <v>1207</v>
      </c>
      <c r="N258" s="8"/>
      <c r="O258" s="18" t="s">
        <v>1208</v>
      </c>
      <c r="P258" s="195" t="s">
        <v>1209</v>
      </c>
      <c r="Q258" s="195" t="s">
        <v>4394</v>
      </c>
      <c r="R258" s="193"/>
      <c r="S258" s="195" t="s">
        <v>221</v>
      </c>
      <c r="T258" s="195" t="s">
        <v>1210</v>
      </c>
      <c r="U258" s="195" t="s">
        <v>172</v>
      </c>
      <c r="V258" s="195" t="s">
        <v>23</v>
      </c>
      <c r="W258" s="193">
        <v>2</v>
      </c>
      <c r="X258" s="195">
        <v>1</v>
      </c>
      <c r="Y258" s="195">
        <v>1</v>
      </c>
      <c r="Z258" s="195">
        <v>5</v>
      </c>
      <c r="AA258" s="193" t="s">
        <v>4118</v>
      </c>
      <c r="AB258" s="2"/>
    </row>
    <row r="259" spans="1:28" ht="15" customHeight="1">
      <c r="A259" s="16">
        <v>258</v>
      </c>
      <c r="B259" s="14" t="s">
        <v>1211</v>
      </c>
      <c r="C259" s="14" t="str">
        <f>_xlfn.CONCAT(B259&amp;" "&amp;W259&amp;X259&amp;Y259&amp;Z259)</f>
        <v>Amphenol Interconnect India Pvt Ltd 2411</v>
      </c>
      <c r="D259" s="16">
        <v>305</v>
      </c>
      <c r="E259" s="14" t="s">
        <v>42</v>
      </c>
      <c r="F259" s="14"/>
      <c r="G259" s="30">
        <v>43717</v>
      </c>
      <c r="H259" s="30"/>
      <c r="I259" s="30"/>
      <c r="J259" s="24">
        <v>44620</v>
      </c>
      <c r="K259" s="24">
        <v>44984</v>
      </c>
      <c r="L259" s="32">
        <v>3</v>
      </c>
      <c r="M259" s="14" t="s">
        <v>1212</v>
      </c>
      <c r="N259" s="8"/>
      <c r="O259" s="18" t="s">
        <v>1213</v>
      </c>
      <c r="P259" s="195" t="s">
        <v>1214</v>
      </c>
      <c r="Q259" s="195" t="s">
        <v>4395</v>
      </c>
      <c r="R259" s="195" t="s">
        <v>1215</v>
      </c>
      <c r="S259" s="195" t="s">
        <v>215</v>
      </c>
      <c r="T259" s="195" t="s">
        <v>1216</v>
      </c>
      <c r="U259" s="195" t="s">
        <v>172</v>
      </c>
      <c r="V259" s="195" t="s">
        <v>23</v>
      </c>
      <c r="W259" s="193">
        <v>2</v>
      </c>
      <c r="X259" s="195">
        <v>4</v>
      </c>
      <c r="Y259" s="195">
        <v>1</v>
      </c>
      <c r="Z259" s="195">
        <v>1</v>
      </c>
      <c r="AA259" s="193" t="s">
        <v>4150</v>
      </c>
      <c r="AB259" s="2"/>
    </row>
    <row r="260" spans="1:28" ht="15" customHeight="1">
      <c r="A260" s="16">
        <v>259</v>
      </c>
      <c r="B260" s="14" t="s">
        <v>1217</v>
      </c>
      <c r="C260" s="14" t="str">
        <f>_xlfn.CONCAT(B260&amp;" "&amp;W260&amp;X260&amp;Y260&amp;Z260)</f>
        <v>Mindarika Pvt Ltd 4032</v>
      </c>
      <c r="D260" s="16">
        <v>310</v>
      </c>
      <c r="E260" s="14" t="s">
        <v>42</v>
      </c>
      <c r="F260" s="14"/>
      <c r="G260" s="14"/>
      <c r="H260" s="14"/>
      <c r="I260" s="14"/>
      <c r="J260" s="24">
        <v>45847</v>
      </c>
      <c r="K260" s="24">
        <v>46211</v>
      </c>
      <c r="L260" s="32">
        <v>3</v>
      </c>
      <c r="M260" s="14" t="s">
        <v>1218</v>
      </c>
      <c r="N260" s="8"/>
      <c r="O260" s="18" t="s">
        <v>1219</v>
      </c>
      <c r="P260" s="195" t="s">
        <v>1220</v>
      </c>
      <c r="Q260" s="195" t="s">
        <v>4396</v>
      </c>
      <c r="R260" s="195" t="s">
        <v>1221</v>
      </c>
      <c r="S260" s="195" t="s">
        <v>37</v>
      </c>
      <c r="T260" s="195" t="s">
        <v>1222</v>
      </c>
      <c r="U260" s="195" t="s">
        <v>38</v>
      </c>
      <c r="V260" s="195" t="s">
        <v>23</v>
      </c>
      <c r="W260" s="193">
        <v>4</v>
      </c>
      <c r="X260" s="195">
        <v>0</v>
      </c>
      <c r="Y260" s="195">
        <v>3</v>
      </c>
      <c r="Z260" s="195">
        <v>2</v>
      </c>
      <c r="AA260" s="193" t="s">
        <v>4148</v>
      </c>
      <c r="AB260" s="2"/>
    </row>
    <row r="261" spans="1:28" ht="15" customHeight="1">
      <c r="A261" s="16">
        <v>260</v>
      </c>
      <c r="B261" s="9" t="s">
        <v>1223</v>
      </c>
      <c r="C261" s="14" t="str">
        <f>_xlfn.CONCAT(B261&amp;" "&amp;W261&amp;X261&amp;Y261&amp;Z261)</f>
        <v>Central Manufacturing Technology Institute 5301</v>
      </c>
      <c r="D261" s="16">
        <v>279</v>
      </c>
      <c r="E261" s="9" t="s">
        <v>42</v>
      </c>
      <c r="F261" s="9"/>
      <c r="G261" s="9"/>
      <c r="H261" s="9"/>
      <c r="I261" s="9"/>
      <c r="J261" s="24">
        <v>44526</v>
      </c>
      <c r="K261" s="24">
        <v>44890</v>
      </c>
      <c r="L261" s="32">
        <v>3</v>
      </c>
      <c r="M261" s="9"/>
      <c r="N261" s="8"/>
      <c r="O261" s="19"/>
      <c r="P261" s="195" t="s">
        <v>1224</v>
      </c>
      <c r="Q261" s="195" t="s">
        <v>4397</v>
      </c>
      <c r="R261" s="193"/>
      <c r="S261" s="195" t="s">
        <v>1131</v>
      </c>
      <c r="T261" s="193"/>
      <c r="U261" s="195" t="s">
        <v>144</v>
      </c>
      <c r="V261" s="195" t="s">
        <v>23</v>
      </c>
      <c r="W261" s="193">
        <v>5</v>
      </c>
      <c r="X261" s="195">
        <v>3</v>
      </c>
      <c r="Y261" s="195">
        <v>0</v>
      </c>
      <c r="Z261" s="195">
        <v>1</v>
      </c>
      <c r="AA261" s="193" t="s">
        <v>4135</v>
      </c>
      <c r="AB261" s="2"/>
    </row>
    <row r="262" spans="1:28" ht="15" customHeight="1">
      <c r="A262" s="16">
        <v>261</v>
      </c>
      <c r="B262" s="14" t="s">
        <v>1225</v>
      </c>
      <c r="C262" s="14" t="str">
        <f>_xlfn.CONCAT(B262&amp;" "&amp;W262&amp;X262&amp;Y262&amp;Z262)</f>
        <v>Wonjin Autoparts India Pvt Ltd 4024</v>
      </c>
      <c r="D262" s="16">
        <v>297</v>
      </c>
      <c r="E262" s="14" t="s">
        <v>90</v>
      </c>
      <c r="F262" s="14"/>
      <c r="G262" s="14"/>
      <c r="H262" s="14"/>
      <c r="I262" s="14"/>
      <c r="J262" s="24">
        <v>45899</v>
      </c>
      <c r="K262" s="24">
        <v>46263</v>
      </c>
      <c r="L262" s="32">
        <v>3</v>
      </c>
      <c r="M262" s="14" t="s">
        <v>1226</v>
      </c>
      <c r="N262" s="14" t="s">
        <v>339</v>
      </c>
      <c r="O262" s="18" t="s">
        <v>1227</v>
      </c>
      <c r="P262" s="195" t="s">
        <v>364</v>
      </c>
      <c r="Q262" s="195" t="s">
        <v>4398</v>
      </c>
      <c r="R262" s="193"/>
      <c r="S262" s="195" t="s">
        <v>37</v>
      </c>
      <c r="T262" s="195" t="s">
        <v>1228</v>
      </c>
      <c r="U262" s="195" t="s">
        <v>38</v>
      </c>
      <c r="V262" s="195" t="s">
        <v>23</v>
      </c>
      <c r="W262" s="193">
        <v>4</v>
      </c>
      <c r="X262" s="195">
        <v>0</v>
      </c>
      <c r="Y262" s="195">
        <v>2</v>
      </c>
      <c r="Z262" s="195">
        <v>4</v>
      </c>
      <c r="AA262" s="193" t="s">
        <v>4148</v>
      </c>
      <c r="AB262" s="2"/>
    </row>
    <row r="263" spans="1:28" ht="15" customHeight="1">
      <c r="A263" s="16">
        <v>262</v>
      </c>
      <c r="B263" s="14" t="s">
        <v>1229</v>
      </c>
      <c r="C263" s="14" t="str">
        <f>_xlfn.CONCAT(B263&amp;" "&amp;W263&amp;X263&amp;Y263&amp;Z263)</f>
        <v>Wintage Engineers &amp; Consultants 5111</v>
      </c>
      <c r="D263" s="16">
        <v>309</v>
      </c>
      <c r="E263" s="14" t="s">
        <v>42</v>
      </c>
      <c r="F263" s="14"/>
      <c r="G263" s="14"/>
      <c r="H263" s="14"/>
      <c r="I263" s="14"/>
      <c r="J263" s="24">
        <v>44561</v>
      </c>
      <c r="K263" s="24">
        <v>44925</v>
      </c>
      <c r="L263" s="32">
        <v>3</v>
      </c>
      <c r="M263" s="14" t="s">
        <v>1230</v>
      </c>
      <c r="N263" s="8"/>
      <c r="O263" s="18" t="s">
        <v>1231</v>
      </c>
      <c r="P263" s="195" t="s">
        <v>1232</v>
      </c>
      <c r="Q263" s="195" t="s">
        <v>4399</v>
      </c>
      <c r="R263" s="193"/>
      <c r="S263" s="195" t="s">
        <v>1233</v>
      </c>
      <c r="T263" s="195">
        <v>201010</v>
      </c>
      <c r="U263" s="195" t="s">
        <v>184</v>
      </c>
      <c r="V263" s="195" t="s">
        <v>23</v>
      </c>
      <c r="W263" s="193">
        <v>5</v>
      </c>
      <c r="X263" s="195">
        <v>1</v>
      </c>
      <c r="Y263" s="195">
        <v>1</v>
      </c>
      <c r="Z263" s="195">
        <v>1</v>
      </c>
      <c r="AA263" s="193" t="s">
        <v>4118</v>
      </c>
      <c r="AB263" s="2"/>
    </row>
    <row r="264" spans="1:28" ht="15" customHeight="1">
      <c r="A264" s="16">
        <v>263</v>
      </c>
      <c r="B264" s="14" t="s">
        <v>1235</v>
      </c>
      <c r="C264" s="14" t="str">
        <f>_xlfn.CONCAT(B264&amp;" "&amp;W264&amp;X264&amp;Y264&amp;Z264)</f>
        <v>Hilton Engine Valves 5301</v>
      </c>
      <c r="D264" s="16">
        <v>311</v>
      </c>
      <c r="E264" s="14" t="s">
        <v>42</v>
      </c>
      <c r="F264" s="14"/>
      <c r="G264" s="14"/>
      <c r="H264" s="14"/>
      <c r="I264" s="14"/>
      <c r="J264" s="24"/>
      <c r="K264" s="24"/>
      <c r="L264" s="32">
        <v>3</v>
      </c>
      <c r="M264" s="14" t="s">
        <v>1236</v>
      </c>
      <c r="N264" s="8"/>
      <c r="O264" s="18" t="s">
        <v>1237</v>
      </c>
      <c r="P264" s="195" t="s">
        <v>1238</v>
      </c>
      <c r="Q264" s="195" t="s">
        <v>4400</v>
      </c>
      <c r="R264" s="195" t="s">
        <v>1239</v>
      </c>
      <c r="S264" s="195" t="s">
        <v>1131</v>
      </c>
      <c r="T264" s="195">
        <v>360004</v>
      </c>
      <c r="U264" s="195" t="s">
        <v>144</v>
      </c>
      <c r="V264" s="195" t="s">
        <v>23</v>
      </c>
      <c r="W264" s="193">
        <v>5</v>
      </c>
      <c r="X264" s="195">
        <v>3</v>
      </c>
      <c r="Y264" s="195">
        <v>0</v>
      </c>
      <c r="Z264" s="195">
        <v>1</v>
      </c>
      <c r="AA264" s="193" t="s">
        <v>4135</v>
      </c>
      <c r="AB264" s="2"/>
    </row>
    <row r="265" spans="1:28" ht="15" customHeight="1">
      <c r="A265" s="16">
        <v>264</v>
      </c>
      <c r="B265" s="14" t="s">
        <v>110</v>
      </c>
      <c r="C265" s="14" t="str">
        <f>_xlfn.CONCAT(B265&amp;" "&amp;W265&amp;X265&amp;Y265&amp;Z265)</f>
        <v>Bosch Limited 2301</v>
      </c>
      <c r="D265" s="16">
        <v>308</v>
      </c>
      <c r="E265" s="14" t="s">
        <v>42</v>
      </c>
      <c r="F265" s="14"/>
      <c r="G265" s="14"/>
      <c r="H265" s="14"/>
      <c r="I265" s="14"/>
      <c r="J265" s="24">
        <v>45248</v>
      </c>
      <c r="K265" s="24">
        <v>45613</v>
      </c>
      <c r="L265" s="32">
        <v>3</v>
      </c>
      <c r="M265" s="14" t="s">
        <v>1240</v>
      </c>
      <c r="N265" s="8"/>
      <c r="O265" s="18" t="s">
        <v>1241</v>
      </c>
      <c r="P265" s="195" t="s">
        <v>1242</v>
      </c>
      <c r="Q265" s="195" t="s">
        <v>4401</v>
      </c>
      <c r="R265" s="195" t="s">
        <v>1143</v>
      </c>
      <c r="S265" s="195" t="s">
        <v>321</v>
      </c>
      <c r="T265" s="195">
        <v>422007</v>
      </c>
      <c r="U265" s="195" t="s">
        <v>172</v>
      </c>
      <c r="V265" s="195" t="s">
        <v>23</v>
      </c>
      <c r="W265" s="193">
        <v>2</v>
      </c>
      <c r="X265" s="195">
        <v>3</v>
      </c>
      <c r="Y265" s="195">
        <v>0</v>
      </c>
      <c r="Z265" s="195">
        <v>1</v>
      </c>
      <c r="AA265" s="193" t="s">
        <v>5221</v>
      </c>
      <c r="AB265" s="2"/>
    </row>
    <row r="266" spans="1:28" ht="15" customHeight="1">
      <c r="A266" s="16">
        <v>265</v>
      </c>
      <c r="B266" s="14" t="s">
        <v>1243</v>
      </c>
      <c r="C266" s="14" t="str">
        <f>_xlfn.CONCAT(B266&amp;" "&amp;W266&amp;X266&amp;Y266&amp;Z266)</f>
        <v>Anil Plastics &amp; Enterprises 2421</v>
      </c>
      <c r="D266" s="16">
        <v>299</v>
      </c>
      <c r="E266" s="14" t="s">
        <v>90</v>
      </c>
      <c r="F266" s="14"/>
      <c r="G266" s="14"/>
      <c r="H266" s="14"/>
      <c r="I266" s="14"/>
      <c r="J266" s="24">
        <v>44684</v>
      </c>
      <c r="K266" s="24">
        <v>45048</v>
      </c>
      <c r="L266" s="32">
        <v>3</v>
      </c>
      <c r="M266" s="14" t="s">
        <v>1244</v>
      </c>
      <c r="N266" s="8"/>
      <c r="O266" s="18" t="s">
        <v>1245</v>
      </c>
      <c r="P266" s="195" t="s">
        <v>1246</v>
      </c>
      <c r="Q266" s="195" t="s">
        <v>4402</v>
      </c>
      <c r="R266" s="195" t="s">
        <v>985</v>
      </c>
      <c r="S266" s="195" t="s">
        <v>215</v>
      </c>
      <c r="T266" s="195">
        <v>411057</v>
      </c>
      <c r="U266" s="195" t="s">
        <v>172</v>
      </c>
      <c r="V266" s="195" t="s">
        <v>23</v>
      </c>
      <c r="W266" s="193">
        <v>2</v>
      </c>
      <c r="X266" s="195">
        <v>4</v>
      </c>
      <c r="Y266" s="195">
        <v>2</v>
      </c>
      <c r="Z266" s="195">
        <v>1</v>
      </c>
      <c r="AA266" s="193" t="s">
        <v>4151</v>
      </c>
      <c r="AB266" s="2"/>
    </row>
    <row r="267" spans="1:28" ht="15" customHeight="1">
      <c r="A267" s="16">
        <v>266</v>
      </c>
      <c r="B267" s="14" t="s">
        <v>1247</v>
      </c>
      <c r="C267" s="14" t="str">
        <f>_xlfn.CONCAT(B267&amp;" "&amp;W267&amp;X267&amp;Y267&amp;Z267)</f>
        <v>Kennametal India Ltd 8051</v>
      </c>
      <c r="D267" s="16">
        <v>316</v>
      </c>
      <c r="E267" s="14" t="s">
        <v>1248</v>
      </c>
      <c r="F267" s="14"/>
      <c r="G267" s="30">
        <v>41072</v>
      </c>
      <c r="H267" s="30"/>
      <c r="I267" s="30"/>
      <c r="J267" s="24"/>
      <c r="K267" s="24"/>
      <c r="L267" s="32">
        <v>3</v>
      </c>
      <c r="M267" s="14" t="s">
        <v>1249</v>
      </c>
      <c r="N267" s="14" t="s">
        <v>1250</v>
      </c>
      <c r="O267" s="18" t="s">
        <v>1251</v>
      </c>
      <c r="P267" s="193"/>
      <c r="Q267" s="193" t="s">
        <v>4403</v>
      </c>
      <c r="R267" s="193"/>
      <c r="S267" s="195" t="s">
        <v>21</v>
      </c>
      <c r="T267" s="195" t="s">
        <v>1252</v>
      </c>
      <c r="U267" s="195" t="s">
        <v>22</v>
      </c>
      <c r="V267" s="195" t="s">
        <v>23</v>
      </c>
      <c r="W267" s="193">
        <v>8</v>
      </c>
      <c r="X267" s="195">
        <v>0</v>
      </c>
      <c r="Y267" s="195">
        <v>5</v>
      </c>
      <c r="Z267" s="195">
        <v>1</v>
      </c>
      <c r="AA267" s="193" t="s">
        <v>4118</v>
      </c>
      <c r="AB267" s="2"/>
    </row>
    <row r="268" spans="1:28" ht="15" customHeight="1">
      <c r="A268" s="16">
        <v>267</v>
      </c>
      <c r="B268" s="14" t="s">
        <v>1253</v>
      </c>
      <c r="C268" s="14" t="str">
        <f>_xlfn.CONCAT(B268&amp;" "&amp;W268&amp;X268&amp;Y268&amp;Z268)</f>
        <v>Lucas - TVS Limited 4013</v>
      </c>
      <c r="D268" s="16">
        <v>312</v>
      </c>
      <c r="E268" s="14" t="s">
        <v>1027</v>
      </c>
      <c r="F268" s="14"/>
      <c r="G268" s="30">
        <v>41087</v>
      </c>
      <c r="H268" s="30"/>
      <c r="I268" s="30"/>
      <c r="J268" s="24"/>
      <c r="K268" s="24"/>
      <c r="L268" s="32">
        <v>3</v>
      </c>
      <c r="M268" s="8"/>
      <c r="N268" s="8"/>
      <c r="O268" s="18" t="s">
        <v>1254</v>
      </c>
      <c r="P268" s="15"/>
      <c r="Q268" s="15" t="s">
        <v>4404</v>
      </c>
      <c r="R268" s="193"/>
      <c r="S268" s="195" t="s">
        <v>1255</v>
      </c>
      <c r="T268" s="195">
        <v>605106</v>
      </c>
      <c r="U268" s="195" t="s">
        <v>38</v>
      </c>
      <c r="V268" s="195" t="s">
        <v>23</v>
      </c>
      <c r="W268" s="193">
        <v>4</v>
      </c>
      <c r="X268" s="195">
        <v>0</v>
      </c>
      <c r="Y268" s="195">
        <v>1</v>
      </c>
      <c r="Z268" s="195">
        <v>3</v>
      </c>
      <c r="AA268" s="193" t="s">
        <v>4148</v>
      </c>
      <c r="AB268" s="2"/>
    </row>
    <row r="269" spans="1:28" ht="15" customHeight="1">
      <c r="A269" s="16">
        <v>268</v>
      </c>
      <c r="B269" s="9" t="s">
        <v>1256</v>
      </c>
      <c r="C269" s="14" t="str">
        <f>_xlfn.CONCAT(B269&amp;" "&amp;W269&amp;X269&amp;Y269&amp;Z269)</f>
        <v>Motherson Automotive Technologies And Engg 8032</v>
      </c>
      <c r="D269" s="16">
        <v>300</v>
      </c>
      <c r="E269" s="9" t="s">
        <v>90</v>
      </c>
      <c r="F269" s="9"/>
      <c r="G269" s="9"/>
      <c r="H269" s="9"/>
      <c r="I269" s="9"/>
      <c r="J269" s="24"/>
      <c r="K269" s="24"/>
      <c r="L269" s="32">
        <v>3</v>
      </c>
      <c r="M269" s="9"/>
      <c r="N269" s="8"/>
      <c r="O269" s="18" t="s">
        <v>1257</v>
      </c>
      <c r="P269" s="195" t="s">
        <v>1258</v>
      </c>
      <c r="Q269" s="195" t="s">
        <v>4405</v>
      </c>
      <c r="R269" s="195" t="s">
        <v>1259</v>
      </c>
      <c r="S269" s="195" t="s">
        <v>21</v>
      </c>
      <c r="T269" s="195">
        <v>562109</v>
      </c>
      <c r="U269" s="195" t="s">
        <v>22</v>
      </c>
      <c r="V269" s="195" t="s">
        <v>23</v>
      </c>
      <c r="W269" s="193">
        <v>8</v>
      </c>
      <c r="X269" s="195">
        <v>0</v>
      </c>
      <c r="Y269" s="195">
        <v>3</v>
      </c>
      <c r="Z269" s="195">
        <v>2</v>
      </c>
      <c r="AA269" s="193" t="s">
        <v>4118</v>
      </c>
      <c r="AB269" s="2"/>
    </row>
    <row r="270" spans="1:28" ht="15" customHeight="1">
      <c r="A270" s="16">
        <v>269</v>
      </c>
      <c r="B270" s="14" t="s">
        <v>1260</v>
      </c>
      <c r="C270" s="14" t="str">
        <f>_xlfn.CONCAT(B270&amp;" "&amp;W270&amp;X270&amp;Y270&amp;Z270)</f>
        <v>Jayem Automotives Limited 4131</v>
      </c>
      <c r="D270" s="16">
        <v>313</v>
      </c>
      <c r="E270" s="14" t="s">
        <v>42</v>
      </c>
      <c r="F270" s="14"/>
      <c r="G270" s="14"/>
      <c r="H270" s="14"/>
      <c r="I270" s="14"/>
      <c r="J270" s="24">
        <v>44299</v>
      </c>
      <c r="K270" s="24">
        <v>44663</v>
      </c>
      <c r="L270" s="32">
        <v>3</v>
      </c>
      <c r="M270" s="14" t="s">
        <v>1261</v>
      </c>
      <c r="N270" s="8"/>
      <c r="O270" s="18" t="s">
        <v>1262</v>
      </c>
      <c r="P270" s="195" t="s">
        <v>701</v>
      </c>
      <c r="Q270" s="195" t="s">
        <v>4406</v>
      </c>
      <c r="R270" s="193"/>
      <c r="S270" s="195" t="s">
        <v>101</v>
      </c>
      <c r="T270" s="195">
        <v>641005</v>
      </c>
      <c r="U270" s="195" t="s">
        <v>38</v>
      </c>
      <c r="V270" s="195" t="s">
        <v>23</v>
      </c>
      <c r="W270" s="193">
        <v>4</v>
      </c>
      <c r="X270" s="195">
        <v>1</v>
      </c>
      <c r="Y270" s="195">
        <v>3</v>
      </c>
      <c r="Z270" s="195">
        <v>1</v>
      </c>
      <c r="AA270" s="193" t="s">
        <v>4148</v>
      </c>
      <c r="AB270" s="2"/>
    </row>
    <row r="271" spans="1:28" ht="15" customHeight="1">
      <c r="A271" s="16">
        <v>270</v>
      </c>
      <c r="B271" s="14" t="s">
        <v>1263</v>
      </c>
      <c r="C271" s="14" t="str">
        <f>_xlfn.CONCAT(B271&amp;" "&amp;W271&amp;X271&amp;Y271&amp;Z271)</f>
        <v>Sharma Industries 8081</v>
      </c>
      <c r="D271" s="16">
        <v>325</v>
      </c>
      <c r="E271" s="14" t="s">
        <v>42</v>
      </c>
      <c r="F271" s="14"/>
      <c r="G271" s="30">
        <v>41106</v>
      </c>
      <c r="H271" s="30"/>
      <c r="I271" s="30"/>
      <c r="J271" s="24"/>
      <c r="K271" s="24"/>
      <c r="L271" s="32">
        <v>3</v>
      </c>
      <c r="M271" s="14" t="s">
        <v>1264</v>
      </c>
      <c r="N271" s="9" t="s">
        <v>1265</v>
      </c>
      <c r="O271" s="18"/>
      <c r="P271" s="195" t="s">
        <v>1053</v>
      </c>
      <c r="Q271" s="195" t="s">
        <v>4407</v>
      </c>
      <c r="R271" s="195" t="s">
        <v>398</v>
      </c>
      <c r="S271" s="195" t="s">
        <v>21</v>
      </c>
      <c r="T271" s="195">
        <v>560048</v>
      </c>
      <c r="U271" s="195" t="s">
        <v>22</v>
      </c>
      <c r="V271" s="195" t="s">
        <v>23</v>
      </c>
      <c r="W271" s="193">
        <v>8</v>
      </c>
      <c r="X271" s="195">
        <v>0</v>
      </c>
      <c r="Y271" s="195">
        <v>8</v>
      </c>
      <c r="Z271" s="195">
        <v>1</v>
      </c>
      <c r="AA271" s="193" t="s">
        <v>4118</v>
      </c>
      <c r="AB271" s="2"/>
    </row>
    <row r="272" spans="1:28" ht="15" customHeight="1">
      <c r="A272" s="16">
        <v>271</v>
      </c>
      <c r="B272" s="14" t="s">
        <v>1266</v>
      </c>
      <c r="C272" s="14" t="str">
        <f>_xlfn.CONCAT(B272&amp;" "&amp;W272&amp;X272&amp;Y272&amp;Z272)</f>
        <v>AT India Auto Parts Pvt Ltd 8032</v>
      </c>
      <c r="D272" s="16">
        <v>409</v>
      </c>
      <c r="E272" s="14" t="s">
        <v>42</v>
      </c>
      <c r="F272" s="14"/>
      <c r="G272" s="14"/>
      <c r="H272" s="14"/>
      <c r="I272" s="14"/>
      <c r="J272" s="24">
        <v>44523</v>
      </c>
      <c r="K272" s="24">
        <v>44887</v>
      </c>
      <c r="L272" s="32">
        <v>3</v>
      </c>
      <c r="M272" s="9" t="s">
        <v>1267</v>
      </c>
      <c r="N272" s="9"/>
      <c r="O272" s="18" t="s">
        <v>1268</v>
      </c>
      <c r="P272" s="195" t="s">
        <v>560</v>
      </c>
      <c r="Q272" s="195" t="s">
        <v>4408</v>
      </c>
      <c r="R272" s="193"/>
      <c r="S272" s="195" t="s">
        <v>1269</v>
      </c>
      <c r="T272" s="195">
        <v>562109</v>
      </c>
      <c r="U272" s="195" t="s">
        <v>22</v>
      </c>
      <c r="V272" s="195" t="s">
        <v>23</v>
      </c>
      <c r="W272" s="193">
        <v>8</v>
      </c>
      <c r="X272" s="195">
        <v>0</v>
      </c>
      <c r="Y272" s="195">
        <v>3</v>
      </c>
      <c r="Z272" s="195">
        <v>2</v>
      </c>
      <c r="AA272" s="193" t="s">
        <v>4118</v>
      </c>
      <c r="AB272" s="2"/>
    </row>
    <row r="273" spans="1:28" ht="15" customHeight="1">
      <c r="A273" s="16">
        <v>272</v>
      </c>
      <c r="B273" s="14" t="s">
        <v>1270</v>
      </c>
      <c r="C273" s="14" t="str">
        <f>_xlfn.CONCAT(B273&amp;" "&amp;W273&amp;X273&amp;Y273&amp;Z273)</f>
        <v>JetAvi Engg Private Limited 8071</v>
      </c>
      <c r="D273" s="16">
        <v>317</v>
      </c>
      <c r="E273" s="14" t="s">
        <v>90</v>
      </c>
      <c r="F273" s="14"/>
      <c r="G273" s="14"/>
      <c r="H273" s="14"/>
      <c r="I273" s="14"/>
      <c r="J273" s="24">
        <v>45965</v>
      </c>
      <c r="K273" s="24">
        <v>46329</v>
      </c>
      <c r="L273" s="32">
        <v>3</v>
      </c>
      <c r="M273" s="14" t="s">
        <v>1271</v>
      </c>
      <c r="N273" s="8"/>
      <c r="O273" s="18" t="s">
        <v>1272</v>
      </c>
      <c r="P273" s="195" t="s">
        <v>1273</v>
      </c>
      <c r="Q273" s="195" t="s">
        <v>4409</v>
      </c>
      <c r="R273" s="195" t="s">
        <v>1274</v>
      </c>
      <c r="S273" s="195" t="s">
        <v>21</v>
      </c>
      <c r="T273" s="195">
        <v>560092</v>
      </c>
      <c r="U273" s="195" t="s">
        <v>22</v>
      </c>
      <c r="V273" s="195" t="s">
        <v>23</v>
      </c>
      <c r="W273" s="193">
        <v>8</v>
      </c>
      <c r="X273" s="195">
        <v>0</v>
      </c>
      <c r="Y273" s="195">
        <v>7</v>
      </c>
      <c r="Z273" s="195">
        <v>1</v>
      </c>
      <c r="AA273" s="193" t="s">
        <v>4118</v>
      </c>
      <c r="AB273" s="2"/>
    </row>
    <row r="274" spans="1:28" ht="15" customHeight="1">
      <c r="A274" s="16">
        <v>273</v>
      </c>
      <c r="B274" s="14" t="s">
        <v>1275</v>
      </c>
      <c r="C274" s="14" t="str">
        <f>_xlfn.CONCAT(B274&amp;" "&amp;W274&amp;X274&amp;Y274&amp;Z274)</f>
        <v>Mitsubishi Heavy Industries India Precision 4033</v>
      </c>
      <c r="D274" s="16">
        <v>324</v>
      </c>
      <c r="E274" s="14" t="s">
        <v>302</v>
      </c>
      <c r="F274" s="14"/>
      <c r="G274" s="14"/>
      <c r="H274" s="14"/>
      <c r="I274" s="14"/>
      <c r="J274" s="24">
        <v>44378</v>
      </c>
      <c r="K274" s="24">
        <v>44742</v>
      </c>
      <c r="L274" s="32">
        <v>3</v>
      </c>
      <c r="M274" s="14" t="s">
        <v>1276</v>
      </c>
      <c r="N274" s="14" t="s">
        <v>361</v>
      </c>
      <c r="O274" s="18" t="s">
        <v>1277</v>
      </c>
      <c r="P274" s="15"/>
      <c r="Q274" s="15" t="s">
        <v>4410</v>
      </c>
      <c r="R274" s="193"/>
      <c r="S274" s="195" t="s">
        <v>879</v>
      </c>
      <c r="T274" s="195">
        <v>632403</v>
      </c>
      <c r="U274" s="195" t="s">
        <v>38</v>
      </c>
      <c r="V274" s="195" t="s">
        <v>23</v>
      </c>
      <c r="W274" s="193">
        <v>4</v>
      </c>
      <c r="X274" s="195">
        <v>0</v>
      </c>
      <c r="Y274" s="195">
        <v>3</v>
      </c>
      <c r="Z274" s="195">
        <v>3</v>
      </c>
      <c r="AA274" s="193" t="s">
        <v>4148</v>
      </c>
      <c r="AB274" s="2"/>
    </row>
    <row r="275" spans="1:28" ht="15" customHeight="1">
      <c r="A275" s="16">
        <v>274</v>
      </c>
      <c r="B275" s="14" t="s">
        <v>1278</v>
      </c>
      <c r="C275" s="14" t="str">
        <f>_xlfn.CONCAT(B275&amp;" "&amp;W275&amp;X275&amp;Y275&amp;Z275)</f>
        <v>BSC Rubber Industries 2021</v>
      </c>
      <c r="D275" s="16">
        <v>326</v>
      </c>
      <c r="E275" s="14" t="s">
        <v>42</v>
      </c>
      <c r="F275" s="14"/>
      <c r="G275" s="14"/>
      <c r="H275" s="14"/>
      <c r="I275" s="14"/>
      <c r="J275" s="24">
        <v>44281</v>
      </c>
      <c r="K275" s="24">
        <v>44645</v>
      </c>
      <c r="L275" s="32">
        <v>3</v>
      </c>
      <c r="M275" s="14" t="s">
        <v>1279</v>
      </c>
      <c r="N275" s="8"/>
      <c r="O275" s="18" t="s">
        <v>1280</v>
      </c>
      <c r="P275" s="195" t="s">
        <v>908</v>
      </c>
      <c r="Q275" s="195" t="s">
        <v>4411</v>
      </c>
      <c r="R275" s="193"/>
      <c r="S275" s="195" t="s">
        <v>171</v>
      </c>
      <c r="T275" s="195">
        <v>431136</v>
      </c>
      <c r="U275" s="195" t="s">
        <v>172</v>
      </c>
      <c r="V275" s="195" t="s">
        <v>23</v>
      </c>
      <c r="W275" s="193">
        <v>2</v>
      </c>
      <c r="X275" s="195">
        <v>0</v>
      </c>
      <c r="Y275" s="195">
        <v>2</v>
      </c>
      <c r="Z275" s="195">
        <v>1</v>
      </c>
      <c r="AA275" s="193" t="s">
        <v>4118</v>
      </c>
      <c r="AB275" s="2"/>
    </row>
    <row r="276" spans="1:28" ht="15" customHeight="1">
      <c r="A276" s="16">
        <v>275</v>
      </c>
      <c r="B276" s="14" t="s">
        <v>1281</v>
      </c>
      <c r="C276" s="14" t="str">
        <f>_xlfn.CONCAT(B276&amp;" "&amp;W276&amp;X276&amp;Y276&amp;Z276)</f>
        <v>Novateur Electrical &amp; Digital Systems Pvt. L 1042</v>
      </c>
      <c r="D276" s="16">
        <v>323</v>
      </c>
      <c r="E276" s="14" t="s">
        <v>42</v>
      </c>
      <c r="F276" s="14"/>
      <c r="G276" s="14"/>
      <c r="H276" s="14"/>
      <c r="I276" s="14"/>
      <c r="J276" s="24">
        <v>45658</v>
      </c>
      <c r="K276" s="24">
        <v>46022</v>
      </c>
      <c r="L276" s="32">
        <v>3</v>
      </c>
      <c r="M276" s="14" t="s">
        <v>1282</v>
      </c>
      <c r="N276" s="8"/>
      <c r="O276" s="19"/>
      <c r="P276" s="195" t="s">
        <v>1283</v>
      </c>
      <c r="Q276" s="195" t="s">
        <v>4412</v>
      </c>
      <c r="R276" s="193"/>
      <c r="S276" s="195" t="s">
        <v>835</v>
      </c>
      <c r="T276" s="195">
        <v>249403</v>
      </c>
      <c r="U276" s="195" t="s">
        <v>836</v>
      </c>
      <c r="V276" s="195" t="s">
        <v>23</v>
      </c>
      <c r="W276" s="193">
        <v>1</v>
      </c>
      <c r="X276" s="195">
        <v>0</v>
      </c>
      <c r="Y276" s="195">
        <v>4</v>
      </c>
      <c r="Z276" s="195">
        <v>2</v>
      </c>
      <c r="AA276" s="193" t="s">
        <v>4118</v>
      </c>
      <c r="AB276" s="2"/>
    </row>
    <row r="277" spans="1:28" ht="15" customHeight="1">
      <c r="A277" s="16">
        <v>276</v>
      </c>
      <c r="B277" s="14" t="s">
        <v>1284</v>
      </c>
      <c r="C277" s="14" t="str">
        <f>_xlfn.CONCAT(B277&amp;" "&amp;W277&amp;X277&amp;Y277&amp;Z277)</f>
        <v>Kaizen International 2113</v>
      </c>
      <c r="D277" s="16">
        <v>328</v>
      </c>
      <c r="E277" s="14" t="s">
        <v>42</v>
      </c>
      <c r="F277" s="14"/>
      <c r="G277" s="30">
        <v>41115</v>
      </c>
      <c r="H277" s="30"/>
      <c r="I277" s="30"/>
      <c r="J277" s="24"/>
      <c r="K277" s="24"/>
      <c r="L277" s="32">
        <v>3</v>
      </c>
      <c r="M277" s="8"/>
      <c r="N277" s="8"/>
      <c r="O277" s="18" t="s">
        <v>1285</v>
      </c>
      <c r="P277" s="195" t="s">
        <v>1286</v>
      </c>
      <c r="Q277" s="195" t="s">
        <v>4413</v>
      </c>
      <c r="R277" s="195" t="s">
        <v>1287</v>
      </c>
      <c r="S277" s="195" t="s">
        <v>221</v>
      </c>
      <c r="T277" s="195">
        <v>401210</v>
      </c>
      <c r="U277" s="195" t="s">
        <v>172</v>
      </c>
      <c r="V277" s="195" t="s">
        <v>23</v>
      </c>
      <c r="W277" s="193">
        <v>2</v>
      </c>
      <c r="X277" s="195">
        <v>1</v>
      </c>
      <c r="Y277" s="195">
        <v>1</v>
      </c>
      <c r="Z277" s="195">
        <v>3</v>
      </c>
      <c r="AA277" s="193" t="s">
        <v>4118</v>
      </c>
      <c r="AB277" s="2"/>
    </row>
    <row r="278" spans="1:28" ht="15" customHeight="1">
      <c r="A278" s="16">
        <v>277</v>
      </c>
      <c r="B278" s="14" t="s">
        <v>1289</v>
      </c>
      <c r="C278" s="14" t="str">
        <f>_xlfn.CONCAT(B278&amp;" "&amp;W278&amp;X278&amp;Y278&amp;Z278)</f>
        <v>General Mechanical Industries 2113</v>
      </c>
      <c r="D278" s="16">
        <v>331</v>
      </c>
      <c r="E278" s="14" t="s">
        <v>42</v>
      </c>
      <c r="F278" s="14"/>
      <c r="G278" s="30">
        <v>41128</v>
      </c>
      <c r="H278" s="30"/>
      <c r="I278" s="30"/>
      <c r="J278" s="24"/>
      <c r="K278" s="24"/>
      <c r="L278" s="32">
        <v>3</v>
      </c>
      <c r="M278" s="14" t="s">
        <v>1290</v>
      </c>
      <c r="N278" s="8"/>
      <c r="O278" s="18" t="s">
        <v>1291</v>
      </c>
      <c r="P278" s="195" t="s">
        <v>1292</v>
      </c>
      <c r="Q278" s="195" t="s">
        <v>4414</v>
      </c>
      <c r="R278" s="195" t="s">
        <v>1293</v>
      </c>
      <c r="S278" s="195" t="s">
        <v>221</v>
      </c>
      <c r="T278" s="195">
        <v>400059</v>
      </c>
      <c r="U278" s="195" t="s">
        <v>172</v>
      </c>
      <c r="V278" s="195" t="s">
        <v>23</v>
      </c>
      <c r="W278" s="193">
        <v>2</v>
      </c>
      <c r="X278" s="195">
        <v>1</v>
      </c>
      <c r="Y278" s="195">
        <v>1</v>
      </c>
      <c r="Z278" s="195">
        <v>3</v>
      </c>
      <c r="AA278" s="193" t="s">
        <v>4118</v>
      </c>
      <c r="AB278" s="2"/>
    </row>
    <row r="279" spans="1:28" ht="15" customHeight="1">
      <c r="A279" s="16">
        <v>278</v>
      </c>
      <c r="B279" s="14" t="s">
        <v>1294</v>
      </c>
      <c r="C279" s="14" t="str">
        <f>_xlfn.CONCAT(B279&amp;" "&amp;W279&amp;X279&amp;Y279&amp;Z279)</f>
        <v>Diamond Tooling Systems 0000</v>
      </c>
      <c r="D279" s="16">
        <v>213</v>
      </c>
      <c r="E279" s="14" t="s">
        <v>42</v>
      </c>
      <c r="F279" s="14"/>
      <c r="G279" s="14"/>
      <c r="H279" s="14"/>
      <c r="I279" s="14"/>
      <c r="J279" s="24"/>
      <c r="K279" s="24"/>
      <c r="L279" s="32">
        <v>3</v>
      </c>
      <c r="M279" s="8"/>
      <c r="N279" s="8"/>
      <c r="O279" s="19"/>
      <c r="P279" s="193"/>
      <c r="Q279" s="193" t="s">
        <v>3838</v>
      </c>
      <c r="R279" s="193"/>
      <c r="S279" s="193" t="s">
        <v>1295</v>
      </c>
      <c r="T279" s="193"/>
      <c r="U279" s="195" t="s">
        <v>574</v>
      </c>
      <c r="V279" s="193"/>
      <c r="W279" s="193">
        <v>0</v>
      </c>
      <c r="X279" s="193">
        <v>0</v>
      </c>
      <c r="Y279" s="193">
        <v>0</v>
      </c>
      <c r="Z279" s="193">
        <v>0</v>
      </c>
      <c r="AA279" s="193">
        <v>0</v>
      </c>
      <c r="AB279" s="2"/>
    </row>
    <row r="280" spans="1:28" ht="15" customHeight="1">
      <c r="A280" s="16">
        <v>279</v>
      </c>
      <c r="B280" s="14" t="s">
        <v>1296</v>
      </c>
      <c r="C280" s="14" t="str">
        <f>_xlfn.CONCAT(B280&amp;" "&amp;W280&amp;X280&amp;Y280&amp;Z280)</f>
        <v>Filcomps 8052</v>
      </c>
      <c r="D280" s="16">
        <v>315</v>
      </c>
      <c r="E280" s="14" t="s">
        <v>42</v>
      </c>
      <c r="F280" s="14"/>
      <c r="G280" s="14"/>
      <c r="H280" s="14"/>
      <c r="I280" s="14"/>
      <c r="J280" s="24"/>
      <c r="K280" s="24"/>
      <c r="L280" s="32">
        <v>3</v>
      </c>
      <c r="M280" s="14" t="s">
        <v>1297</v>
      </c>
      <c r="N280" s="8"/>
      <c r="O280" s="19"/>
      <c r="P280" s="195" t="s">
        <v>1298</v>
      </c>
      <c r="Q280" s="195" t="s">
        <v>4415</v>
      </c>
      <c r="R280" s="195" t="s">
        <v>1258</v>
      </c>
      <c r="S280" s="195" t="s">
        <v>1120</v>
      </c>
      <c r="T280" s="195">
        <v>572106</v>
      </c>
      <c r="U280" s="195" t="s">
        <v>22</v>
      </c>
      <c r="V280" s="195" t="s">
        <v>23</v>
      </c>
      <c r="W280" s="193">
        <v>8</v>
      </c>
      <c r="X280" s="195">
        <v>0</v>
      </c>
      <c r="Y280" s="195">
        <v>5</v>
      </c>
      <c r="Z280" s="195">
        <v>2</v>
      </c>
      <c r="AA280" s="193" t="s">
        <v>4118</v>
      </c>
      <c r="AB280" s="2"/>
    </row>
    <row r="281" spans="1:28" ht="15" customHeight="1">
      <c r="A281" s="16">
        <v>280</v>
      </c>
      <c r="B281" s="14" t="s">
        <v>1299</v>
      </c>
      <c r="C281" s="14" t="str">
        <f>_xlfn.CONCAT(B281&amp;" "&amp;W281&amp;X281&amp;Y281&amp;Z281)</f>
        <v>Salcomp Manufacturing India Pvt Ltd 4031</v>
      </c>
      <c r="D281" s="16">
        <v>302</v>
      </c>
      <c r="E281" s="14" t="s">
        <v>90</v>
      </c>
      <c r="F281" s="14"/>
      <c r="G281" s="30">
        <v>41163</v>
      </c>
      <c r="H281" s="30"/>
      <c r="I281" s="30"/>
      <c r="J281" s="24">
        <v>44271</v>
      </c>
      <c r="K281" s="24">
        <v>44635</v>
      </c>
      <c r="L281" s="32">
        <v>3</v>
      </c>
      <c r="M281" s="8"/>
      <c r="N281" s="8"/>
      <c r="O281" s="18" t="s">
        <v>1300</v>
      </c>
      <c r="P281" s="195" t="s">
        <v>353</v>
      </c>
      <c r="Q281" s="195" t="s">
        <v>4416</v>
      </c>
      <c r="R281" s="193"/>
      <c r="S281" s="195" t="s">
        <v>37</v>
      </c>
      <c r="T281" s="195">
        <v>602105</v>
      </c>
      <c r="U281" s="195" t="s">
        <v>38</v>
      </c>
      <c r="V281" s="195" t="s">
        <v>23</v>
      </c>
      <c r="W281" s="193">
        <v>4</v>
      </c>
      <c r="X281" s="195">
        <v>0</v>
      </c>
      <c r="Y281" s="195">
        <v>3</v>
      </c>
      <c r="Z281" s="195">
        <v>1</v>
      </c>
      <c r="AA281" s="193" t="s">
        <v>4148</v>
      </c>
      <c r="AB281" s="2"/>
    </row>
    <row r="282" spans="1:28" ht="15" customHeight="1">
      <c r="A282" s="16">
        <v>281</v>
      </c>
      <c r="B282" s="14" t="s">
        <v>179</v>
      </c>
      <c r="C282" s="14" t="str">
        <f>_xlfn.CONCAT(B282&amp;" "&amp;W282&amp;X282&amp;Y282&amp;Z282)</f>
        <v>Quality Needles (P) Ltd 1151</v>
      </c>
      <c r="D282" s="16">
        <v>337</v>
      </c>
      <c r="E282" s="14" t="s">
        <v>1027</v>
      </c>
      <c r="F282" s="14"/>
      <c r="G282" s="30">
        <v>41177</v>
      </c>
      <c r="H282" s="30"/>
      <c r="I282" s="30"/>
      <c r="J282" s="24"/>
      <c r="K282" s="24"/>
      <c r="L282" s="32">
        <v>3</v>
      </c>
      <c r="M282" s="14" t="s">
        <v>180</v>
      </c>
      <c r="N282" s="14" t="s">
        <v>71</v>
      </c>
      <c r="O282" s="18" t="s">
        <v>181</v>
      </c>
      <c r="P282" s="15" t="s">
        <v>1030</v>
      </c>
      <c r="Q282" s="15" t="s">
        <v>4178</v>
      </c>
      <c r="R282" s="15"/>
      <c r="S282" s="195" t="s">
        <v>183</v>
      </c>
      <c r="T282" s="195">
        <v>201307</v>
      </c>
      <c r="U282" s="195" t="s">
        <v>184</v>
      </c>
      <c r="V282" s="195" t="s">
        <v>23</v>
      </c>
      <c r="W282" s="193">
        <v>1</v>
      </c>
      <c r="X282" s="195">
        <v>1</v>
      </c>
      <c r="Y282" s="195">
        <v>5</v>
      </c>
      <c r="Z282" s="195">
        <v>1</v>
      </c>
      <c r="AA282" s="193" t="s">
        <v>4118</v>
      </c>
      <c r="AB282" s="2"/>
    </row>
    <row r="283" spans="1:28" ht="15" customHeight="1">
      <c r="A283" s="16">
        <v>282</v>
      </c>
      <c r="B283" s="14" t="s">
        <v>179</v>
      </c>
      <c r="C283" s="14" t="str">
        <f>_xlfn.CONCAT(B283&amp;" "&amp;W283&amp;X283&amp;Y283&amp;Z283)</f>
        <v>Quality Needles (P) Ltd 1151</v>
      </c>
      <c r="D283" s="16">
        <v>338</v>
      </c>
      <c r="E283" s="14" t="s">
        <v>1027</v>
      </c>
      <c r="F283" s="14"/>
      <c r="G283" s="30">
        <v>41177</v>
      </c>
      <c r="H283" s="30"/>
      <c r="I283" s="30"/>
      <c r="J283" s="24"/>
      <c r="K283" s="24"/>
      <c r="L283" s="32">
        <v>3</v>
      </c>
      <c r="M283" s="14" t="s">
        <v>180</v>
      </c>
      <c r="N283" s="14" t="s">
        <v>71</v>
      </c>
      <c r="O283" s="18" t="s">
        <v>181</v>
      </c>
      <c r="P283" s="15" t="s">
        <v>1030</v>
      </c>
      <c r="Q283" s="15" t="s">
        <v>4178</v>
      </c>
      <c r="R283" s="15"/>
      <c r="S283" s="195" t="s">
        <v>183</v>
      </c>
      <c r="T283" s="195">
        <v>201307</v>
      </c>
      <c r="U283" s="195" t="s">
        <v>184</v>
      </c>
      <c r="V283" s="195" t="s">
        <v>23</v>
      </c>
      <c r="W283" s="193">
        <v>1</v>
      </c>
      <c r="X283" s="195">
        <v>1</v>
      </c>
      <c r="Y283" s="195">
        <v>5</v>
      </c>
      <c r="Z283" s="195">
        <v>1</v>
      </c>
      <c r="AA283" s="193" t="s">
        <v>4118</v>
      </c>
      <c r="AB283" s="2"/>
    </row>
    <row r="284" spans="1:28" ht="15" customHeight="1">
      <c r="A284" s="16">
        <v>283</v>
      </c>
      <c r="B284" s="14" t="s">
        <v>1301</v>
      </c>
      <c r="C284" s="14" t="str">
        <f>_xlfn.CONCAT(B284&amp;" "&amp;W284&amp;X284&amp;Y284&amp;Z284)</f>
        <v>Prime Precision Pvt Ltd 1054</v>
      </c>
      <c r="D284" s="16">
        <v>334</v>
      </c>
      <c r="E284" s="14" t="s">
        <v>302</v>
      </c>
      <c r="F284" s="14"/>
      <c r="G284" s="30">
        <v>41177</v>
      </c>
      <c r="H284" s="30"/>
      <c r="I284" s="30"/>
      <c r="J284" s="24"/>
      <c r="K284" s="24"/>
      <c r="L284" s="32">
        <v>3</v>
      </c>
      <c r="M284" s="14" t="s">
        <v>1302</v>
      </c>
      <c r="N284" s="8"/>
      <c r="O284" s="18" t="s">
        <v>1303</v>
      </c>
      <c r="P284" s="195" t="s">
        <v>1304</v>
      </c>
      <c r="Q284" s="195" t="s">
        <v>4417</v>
      </c>
      <c r="R284" s="193"/>
      <c r="S284" s="195" t="s">
        <v>1305</v>
      </c>
      <c r="T284" s="195">
        <v>208022</v>
      </c>
      <c r="U284" s="195" t="s">
        <v>184</v>
      </c>
      <c r="V284" s="195" t="s">
        <v>23</v>
      </c>
      <c r="W284" s="193">
        <v>1</v>
      </c>
      <c r="X284" s="195">
        <v>0</v>
      </c>
      <c r="Y284" s="195">
        <v>5</v>
      </c>
      <c r="Z284" s="195">
        <v>4</v>
      </c>
      <c r="AA284" s="193" t="s">
        <v>4118</v>
      </c>
      <c r="AB284" s="2"/>
    </row>
    <row r="285" spans="1:28" ht="15" customHeight="1">
      <c r="A285" s="16">
        <v>284</v>
      </c>
      <c r="B285" s="14" t="s">
        <v>1306</v>
      </c>
      <c r="C285" s="14" t="str">
        <f>_xlfn.CONCAT(B285&amp;" "&amp;W285&amp;X285&amp;Y285&amp;Z285)</f>
        <v>Fine Tools (India) Pvt Ltd 8051</v>
      </c>
      <c r="D285" s="16">
        <v>333</v>
      </c>
      <c r="E285" s="14" t="s">
        <v>42</v>
      </c>
      <c r="F285" s="14"/>
      <c r="G285" s="30">
        <v>41177</v>
      </c>
      <c r="H285" s="30"/>
      <c r="I285" s="30"/>
      <c r="J285" s="24">
        <v>45839</v>
      </c>
      <c r="K285" s="24">
        <v>46203</v>
      </c>
      <c r="L285" s="32">
        <v>3</v>
      </c>
      <c r="M285" s="14" t="s">
        <v>1307</v>
      </c>
      <c r="N285" s="8"/>
      <c r="O285" s="18" t="s">
        <v>1308</v>
      </c>
      <c r="P285" s="195" t="s">
        <v>403</v>
      </c>
      <c r="Q285" s="195" t="s">
        <v>4418</v>
      </c>
      <c r="R285" s="193"/>
      <c r="S285" s="195" t="s">
        <v>21</v>
      </c>
      <c r="T285" s="195">
        <v>560058</v>
      </c>
      <c r="U285" s="195" t="s">
        <v>22</v>
      </c>
      <c r="V285" s="195" t="s">
        <v>23</v>
      </c>
      <c r="W285" s="193">
        <v>8</v>
      </c>
      <c r="X285" s="195">
        <v>0</v>
      </c>
      <c r="Y285" s="195">
        <v>5</v>
      </c>
      <c r="Z285" s="195">
        <v>1</v>
      </c>
      <c r="AA285" s="193" t="s">
        <v>4118</v>
      </c>
      <c r="AB285" s="2"/>
    </row>
    <row r="286" spans="1:28" ht="15" customHeight="1">
      <c r="A286" s="16">
        <v>285</v>
      </c>
      <c r="B286" s="14" t="s">
        <v>1309</v>
      </c>
      <c r="C286" s="14" t="str">
        <f>_xlfn.CONCAT(B286&amp;" "&amp;W286&amp;X286&amp;Y286&amp;Z286)</f>
        <v>Vhignesh Engg. Works 8013</v>
      </c>
      <c r="D286" s="16">
        <v>336</v>
      </c>
      <c r="E286" s="14" t="s">
        <v>1310</v>
      </c>
      <c r="F286" s="14"/>
      <c r="G286" s="30">
        <v>41200</v>
      </c>
      <c r="H286" s="30"/>
      <c r="I286" s="30"/>
      <c r="J286" s="24"/>
      <c r="K286" s="24"/>
      <c r="L286" s="32">
        <v>3</v>
      </c>
      <c r="M286" s="14" t="s">
        <v>1311</v>
      </c>
      <c r="N286" s="8"/>
      <c r="O286" s="19"/>
      <c r="P286" s="195" t="s">
        <v>1312</v>
      </c>
      <c r="Q286" s="195" t="s">
        <v>4419</v>
      </c>
      <c r="R286" s="195" t="s">
        <v>121</v>
      </c>
      <c r="S286" s="195" t="s">
        <v>121</v>
      </c>
      <c r="T286" s="195">
        <v>635109</v>
      </c>
      <c r="U286" s="195" t="s">
        <v>38</v>
      </c>
      <c r="V286" s="195" t="s">
        <v>23</v>
      </c>
      <c r="W286" s="193">
        <v>8</v>
      </c>
      <c r="X286" s="195">
        <v>0</v>
      </c>
      <c r="Y286" s="195">
        <v>1</v>
      </c>
      <c r="Z286" s="195">
        <v>3</v>
      </c>
      <c r="AA286" s="193" t="s">
        <v>4118</v>
      </c>
      <c r="AB286" s="2"/>
    </row>
    <row r="287" spans="1:28" ht="15" customHeight="1">
      <c r="A287" s="16">
        <v>286</v>
      </c>
      <c r="B287" s="14" t="s">
        <v>1313</v>
      </c>
      <c r="C287" s="14" t="str">
        <f>_xlfn.CONCAT(B287&amp;" "&amp;W287&amp;X287&amp;Y287&amp;Z287)</f>
        <v>Parshwa International 1042</v>
      </c>
      <c r="D287" s="16">
        <v>339</v>
      </c>
      <c r="E287" s="14" t="s">
        <v>302</v>
      </c>
      <c r="F287" s="14"/>
      <c r="G287" s="30">
        <v>41194</v>
      </c>
      <c r="H287" s="30"/>
      <c r="I287" s="30"/>
      <c r="J287" s="24"/>
      <c r="K287" s="24"/>
      <c r="L287" s="32">
        <v>3</v>
      </c>
      <c r="M287" s="8"/>
      <c r="N287" s="8"/>
      <c r="O287" s="19"/>
      <c r="P287" s="195" t="s">
        <v>1314</v>
      </c>
      <c r="Q287" s="195" t="s">
        <v>4420</v>
      </c>
      <c r="R287" s="193"/>
      <c r="S287" s="195" t="s">
        <v>835</v>
      </c>
      <c r="T287" s="195">
        <v>249403</v>
      </c>
      <c r="U287" s="195" t="s">
        <v>836</v>
      </c>
      <c r="V287" s="195" t="s">
        <v>23</v>
      </c>
      <c r="W287" s="193">
        <v>1</v>
      </c>
      <c r="X287" s="195">
        <v>0</v>
      </c>
      <c r="Y287" s="195">
        <v>4</v>
      </c>
      <c r="Z287" s="195">
        <v>2</v>
      </c>
      <c r="AA287" s="193" t="s">
        <v>4118</v>
      </c>
      <c r="AB287" s="2"/>
    </row>
    <row r="288" spans="1:28" ht="15" customHeight="1">
      <c r="A288" s="16">
        <v>287</v>
      </c>
      <c r="B288" s="14" t="s">
        <v>1315</v>
      </c>
      <c r="C288" s="14" t="str">
        <f>_xlfn.CONCAT(B288&amp;" "&amp;W288&amp;X288&amp;Y288&amp;Z288)</f>
        <v>JK Files (India) Ltd 2222</v>
      </c>
      <c r="D288" s="16">
        <v>341</v>
      </c>
      <c r="E288" s="14" t="s">
        <v>42</v>
      </c>
      <c r="F288" s="14"/>
      <c r="G288" s="30">
        <v>41233</v>
      </c>
      <c r="H288" s="30"/>
      <c r="I288" s="30"/>
      <c r="J288" s="24"/>
      <c r="K288" s="24"/>
      <c r="L288" s="32">
        <v>3</v>
      </c>
      <c r="M288" s="14" t="s">
        <v>1316</v>
      </c>
      <c r="N288" s="8"/>
      <c r="O288" s="18" t="s">
        <v>1317</v>
      </c>
      <c r="P288" s="193"/>
      <c r="Q288" s="193" t="s">
        <v>4421</v>
      </c>
      <c r="R288" s="193"/>
      <c r="S288" s="195" t="s">
        <v>177</v>
      </c>
      <c r="T288" s="195">
        <v>400606</v>
      </c>
      <c r="U288" s="195" t="s">
        <v>172</v>
      </c>
      <c r="V288" s="195" t="s">
        <v>23</v>
      </c>
      <c r="W288" s="193">
        <v>2</v>
      </c>
      <c r="X288" s="195">
        <v>2</v>
      </c>
      <c r="Y288" s="195">
        <v>2</v>
      </c>
      <c r="Z288" s="195">
        <v>2</v>
      </c>
      <c r="AA288" s="193" t="s">
        <v>4118</v>
      </c>
      <c r="AB288" s="2"/>
    </row>
    <row r="289" spans="1:28" ht="15" customHeight="1">
      <c r="A289" s="16">
        <v>288</v>
      </c>
      <c r="B289" s="14" t="s">
        <v>1318</v>
      </c>
      <c r="C289" s="14" t="str">
        <f>_xlfn.CONCAT(B289&amp;" "&amp;W289&amp;X289&amp;Y289&amp;Z289)</f>
        <v>Amphenol Interconnect India Pvt. Ltd. 8011</v>
      </c>
      <c r="D289" s="16">
        <v>343</v>
      </c>
      <c r="E289" s="14" t="s">
        <v>42</v>
      </c>
      <c r="F289" s="14"/>
      <c r="G289" s="30">
        <v>41229</v>
      </c>
      <c r="H289" s="30"/>
      <c r="I289" s="30"/>
      <c r="J289" s="24">
        <v>44383</v>
      </c>
      <c r="K289" s="24">
        <v>44747</v>
      </c>
      <c r="L289" s="32">
        <v>3</v>
      </c>
      <c r="M289" s="14" t="s">
        <v>1319</v>
      </c>
      <c r="N289" s="8"/>
      <c r="O289" s="18" t="s">
        <v>1320</v>
      </c>
      <c r="P289" s="195" t="s">
        <v>1321</v>
      </c>
      <c r="Q289" s="195" t="s">
        <v>4422</v>
      </c>
      <c r="R289" s="193"/>
      <c r="S289" s="195" t="s">
        <v>21</v>
      </c>
      <c r="T289" s="195">
        <v>560100</v>
      </c>
      <c r="U289" s="195" t="s">
        <v>22</v>
      </c>
      <c r="V289" s="195" t="s">
        <v>23</v>
      </c>
      <c r="W289" s="193">
        <v>8</v>
      </c>
      <c r="X289" s="195">
        <v>0</v>
      </c>
      <c r="Y289" s="195">
        <v>1</v>
      </c>
      <c r="Z289" s="195">
        <v>1</v>
      </c>
      <c r="AA289" s="193" t="s">
        <v>4118</v>
      </c>
      <c r="AB289" s="2"/>
    </row>
    <row r="290" spans="1:28" ht="15" customHeight="1">
      <c r="A290" s="16">
        <v>289</v>
      </c>
      <c r="B290" s="14" t="s">
        <v>1322</v>
      </c>
      <c r="C290" s="14" t="str">
        <f>_xlfn.CONCAT(B290&amp;" "&amp;W290&amp;X290&amp;Y290&amp;Z290)</f>
        <v>Lakshmi Designers 8081</v>
      </c>
      <c r="D290" s="16">
        <v>320</v>
      </c>
      <c r="E290" s="14" t="s">
        <v>90</v>
      </c>
      <c r="F290" s="14"/>
      <c r="G290" s="30">
        <v>41233</v>
      </c>
      <c r="H290" s="30"/>
      <c r="I290" s="30"/>
      <c r="J290" s="24">
        <v>43880</v>
      </c>
      <c r="K290" s="24">
        <v>44245</v>
      </c>
      <c r="L290" s="32">
        <v>3</v>
      </c>
      <c r="M290" s="14" t="s">
        <v>1323</v>
      </c>
      <c r="N290" s="14" t="s">
        <v>968</v>
      </c>
      <c r="O290" s="18" t="s">
        <v>1324</v>
      </c>
      <c r="P290" s="195" t="s">
        <v>1325</v>
      </c>
      <c r="Q290" s="195" t="s">
        <v>4423</v>
      </c>
      <c r="R290" s="193"/>
      <c r="S290" s="195" t="s">
        <v>21</v>
      </c>
      <c r="T290" s="195">
        <v>560048</v>
      </c>
      <c r="U290" s="195" t="s">
        <v>22</v>
      </c>
      <c r="V290" s="195" t="s">
        <v>23</v>
      </c>
      <c r="W290" s="193">
        <v>8</v>
      </c>
      <c r="X290" s="195">
        <v>0</v>
      </c>
      <c r="Y290" s="195">
        <v>8</v>
      </c>
      <c r="Z290" s="195">
        <v>1</v>
      </c>
      <c r="AA290" s="193" t="s">
        <v>4118</v>
      </c>
      <c r="AB290" s="2"/>
    </row>
    <row r="291" spans="1:28" ht="15" customHeight="1">
      <c r="A291" s="16">
        <v>290</v>
      </c>
      <c r="B291" s="14" t="s">
        <v>1326</v>
      </c>
      <c r="C291" s="14" t="str">
        <f>_xlfn.CONCAT(B291&amp;" "&amp;W291&amp;X291&amp;Y291&amp;Z291)</f>
        <v>Headways Industries (Silcotech Bonny Products India Pvt. Ltd) 1151</v>
      </c>
      <c r="D291" s="16">
        <v>342</v>
      </c>
      <c r="E291" s="14" t="s">
        <v>42</v>
      </c>
      <c r="F291" s="14"/>
      <c r="G291" s="30">
        <v>41233</v>
      </c>
      <c r="H291" s="30"/>
      <c r="I291" s="30"/>
      <c r="J291" s="24"/>
      <c r="K291" s="24"/>
      <c r="L291" s="32">
        <v>3</v>
      </c>
      <c r="M291" s="14" t="s">
        <v>1327</v>
      </c>
      <c r="N291" s="8"/>
      <c r="O291" s="18" t="s">
        <v>1328</v>
      </c>
      <c r="P291" s="195" t="s">
        <v>1329</v>
      </c>
      <c r="Q291" s="195" t="s">
        <v>4424</v>
      </c>
      <c r="R291" s="195" t="s">
        <v>1330</v>
      </c>
      <c r="S291" s="195" t="s">
        <v>185</v>
      </c>
      <c r="T291" s="195">
        <v>201307</v>
      </c>
      <c r="U291" s="195" t="s">
        <v>184</v>
      </c>
      <c r="V291" s="195" t="s">
        <v>23</v>
      </c>
      <c r="W291" s="193">
        <v>1</v>
      </c>
      <c r="X291" s="195">
        <v>1</v>
      </c>
      <c r="Y291" s="195">
        <v>5</v>
      </c>
      <c r="Z291" s="195">
        <v>1</v>
      </c>
      <c r="AA291" s="193" t="s">
        <v>4118</v>
      </c>
      <c r="AB291" s="2"/>
    </row>
    <row r="292" spans="1:28" ht="15" customHeight="1">
      <c r="A292" s="16">
        <v>291</v>
      </c>
      <c r="B292" s="14" t="s">
        <v>1331</v>
      </c>
      <c r="C292" s="14" t="str">
        <f>_xlfn.CONCAT(B292&amp;" "&amp;W292&amp;X292&amp;Y292&amp;Z292)</f>
        <v>Zahoransky Moulds &amp; Machines (P) Ltd 4161</v>
      </c>
      <c r="D292" s="16">
        <v>301</v>
      </c>
      <c r="E292" s="14" t="s">
        <v>90</v>
      </c>
      <c r="F292" s="14"/>
      <c r="G292" s="30">
        <v>41244</v>
      </c>
      <c r="H292" s="30"/>
      <c r="I292" s="30"/>
      <c r="J292" s="24">
        <v>44299</v>
      </c>
      <c r="K292" s="24">
        <v>44663</v>
      </c>
      <c r="L292" s="32">
        <v>3</v>
      </c>
      <c r="M292" s="14" t="s">
        <v>1332</v>
      </c>
      <c r="N292" s="8"/>
      <c r="O292" s="18" t="s">
        <v>1333</v>
      </c>
      <c r="P292" s="195" t="s">
        <v>1334</v>
      </c>
      <c r="Q292" s="195" t="s">
        <v>4425</v>
      </c>
      <c r="R292" s="195" t="s">
        <v>448</v>
      </c>
      <c r="S292" s="195" t="s">
        <v>101</v>
      </c>
      <c r="T292" s="195">
        <v>641006</v>
      </c>
      <c r="U292" s="195" t="s">
        <v>38</v>
      </c>
      <c r="V292" s="195" t="s">
        <v>23</v>
      </c>
      <c r="W292" s="193">
        <v>4</v>
      </c>
      <c r="X292" s="195">
        <v>1</v>
      </c>
      <c r="Y292" s="195">
        <v>6</v>
      </c>
      <c r="Z292" s="195">
        <v>1</v>
      </c>
      <c r="AA292" s="193" t="s">
        <v>4148</v>
      </c>
      <c r="AB292" s="2"/>
    </row>
    <row r="293" spans="1:28" ht="15" customHeight="1">
      <c r="A293" s="16">
        <v>292</v>
      </c>
      <c r="B293" s="14" t="s">
        <v>1335</v>
      </c>
      <c r="C293" s="14" t="str">
        <f>_xlfn.CONCAT(B293&amp;" "&amp;W293&amp;X293&amp;Y293&amp;Z293)</f>
        <v>CTC (India) Pvt Ltd 0000</v>
      </c>
      <c r="D293" s="16">
        <v>335</v>
      </c>
      <c r="E293" s="14" t="s">
        <v>1336</v>
      </c>
      <c r="F293" s="14"/>
      <c r="G293" s="30">
        <v>41242</v>
      </c>
      <c r="H293" s="30"/>
      <c r="I293" s="30"/>
      <c r="J293" s="24"/>
      <c r="K293" s="24"/>
      <c r="L293" s="32">
        <v>3</v>
      </c>
      <c r="M293" s="14" t="s">
        <v>1337</v>
      </c>
      <c r="N293" s="8"/>
      <c r="O293" s="18" t="s">
        <v>1338</v>
      </c>
      <c r="P293" s="193"/>
      <c r="Q293" s="193" t="s">
        <v>4426</v>
      </c>
      <c r="R293" s="193"/>
      <c r="S293" s="195" t="s">
        <v>1339</v>
      </c>
      <c r="T293" s="193"/>
      <c r="U293" s="195" t="s">
        <v>1340</v>
      </c>
      <c r="V293" s="195" t="s">
        <v>23</v>
      </c>
      <c r="W293" s="193">
        <v>0</v>
      </c>
      <c r="X293" s="195">
        <v>0</v>
      </c>
      <c r="Y293" s="195">
        <v>0</v>
      </c>
      <c r="Z293" s="195">
        <v>0</v>
      </c>
      <c r="AA293" s="193">
        <v>0</v>
      </c>
      <c r="AB293" s="2"/>
    </row>
    <row r="294" spans="1:28" ht="15" customHeight="1">
      <c r="A294" s="16">
        <v>293</v>
      </c>
      <c r="B294" s="14" t="s">
        <v>1341</v>
      </c>
      <c r="C294" s="14" t="str">
        <f>_xlfn.CONCAT(B294&amp;" "&amp;W294&amp;X294&amp;Y294&amp;Z294)</f>
        <v>ACG Pam Pharma Technologies Pvt. Ltd 2224</v>
      </c>
      <c r="D294" s="16">
        <v>356</v>
      </c>
      <c r="E294" s="14" t="s">
        <v>42</v>
      </c>
      <c r="F294" s="14"/>
      <c r="G294" s="30">
        <v>41254</v>
      </c>
      <c r="H294" s="30"/>
      <c r="I294" s="30"/>
      <c r="J294" s="24">
        <v>44652</v>
      </c>
      <c r="K294" s="24">
        <v>45016</v>
      </c>
      <c r="L294" s="32">
        <v>3</v>
      </c>
      <c r="M294" s="14" t="s">
        <v>1342</v>
      </c>
      <c r="N294" s="8"/>
      <c r="O294" s="19"/>
      <c r="P294" s="195" t="s">
        <v>1343</v>
      </c>
      <c r="Q294" s="195" t="s">
        <v>4427</v>
      </c>
      <c r="R294" s="195" t="s">
        <v>1344</v>
      </c>
      <c r="S294" s="195" t="s">
        <v>221</v>
      </c>
      <c r="T294" s="195">
        <v>400067</v>
      </c>
      <c r="U294" s="195" t="s">
        <v>172</v>
      </c>
      <c r="V294" s="195" t="s">
        <v>23</v>
      </c>
      <c r="W294" s="193">
        <v>2</v>
      </c>
      <c r="X294" s="195">
        <v>2</v>
      </c>
      <c r="Y294" s="195">
        <v>2</v>
      </c>
      <c r="Z294" s="195">
        <v>4</v>
      </c>
      <c r="AA294" s="193" t="s">
        <v>4148</v>
      </c>
      <c r="AB294" s="2"/>
    </row>
    <row r="295" spans="1:28" ht="15" customHeight="1">
      <c r="A295" s="16">
        <v>294</v>
      </c>
      <c r="B295" s="14" t="s">
        <v>1345</v>
      </c>
      <c r="C295" s="14" t="str">
        <f>_xlfn.CONCAT(B295&amp;" "&amp;W295&amp;X295&amp;Y295&amp;Z295)</f>
        <v>Hanon Automotive Systems India Pvt Ltd (Visteon Automotive Sys I Pvt Ltd) 4024</v>
      </c>
      <c r="D295" s="16">
        <v>318</v>
      </c>
      <c r="E295" s="14" t="s">
        <v>90</v>
      </c>
      <c r="F295" s="14"/>
      <c r="G295" s="30">
        <v>41256</v>
      </c>
      <c r="H295" s="30"/>
      <c r="I295" s="30"/>
      <c r="J295" s="24">
        <v>44172</v>
      </c>
      <c r="K295" s="24">
        <v>44536</v>
      </c>
      <c r="L295" s="32">
        <v>3</v>
      </c>
      <c r="M295" s="14" t="s">
        <v>1346</v>
      </c>
      <c r="N295" s="8"/>
      <c r="O295" s="19"/>
      <c r="P295" s="195" t="s">
        <v>1347</v>
      </c>
      <c r="Q295" s="195" t="s">
        <v>4428</v>
      </c>
      <c r="R295" s="193"/>
      <c r="S295" s="195" t="s">
        <v>37</v>
      </c>
      <c r="T295" s="195">
        <v>603204</v>
      </c>
      <c r="U295" s="195" t="s">
        <v>38</v>
      </c>
      <c r="V295" s="195" t="s">
        <v>23</v>
      </c>
      <c r="W295" s="193">
        <v>4</v>
      </c>
      <c r="X295" s="195">
        <v>0</v>
      </c>
      <c r="Y295" s="195">
        <v>2</v>
      </c>
      <c r="Z295" s="195">
        <v>4</v>
      </c>
      <c r="AA295" s="193" t="s">
        <v>4148</v>
      </c>
      <c r="AB295" s="2"/>
    </row>
    <row r="296" spans="1:28" ht="15" customHeight="1">
      <c r="A296" s="16">
        <v>295</v>
      </c>
      <c r="B296" s="14" t="s">
        <v>1348</v>
      </c>
      <c r="C296" s="14" t="str">
        <f>_xlfn.CONCAT(B296&amp;" "&amp;W296&amp;X296&amp;Y296&amp;Z296)</f>
        <v>Bhogale Industries 2021</v>
      </c>
      <c r="D296" s="16">
        <v>349</v>
      </c>
      <c r="E296" s="14" t="s">
        <v>42</v>
      </c>
      <c r="F296" s="14"/>
      <c r="G296" s="30">
        <v>41263</v>
      </c>
      <c r="H296" s="30"/>
      <c r="I296" s="30"/>
      <c r="J296" s="24"/>
      <c r="K296" s="24"/>
      <c r="L296" s="32">
        <v>3</v>
      </c>
      <c r="M296" s="8"/>
      <c r="N296" s="8"/>
      <c r="O296" s="18" t="s">
        <v>1349</v>
      </c>
      <c r="P296" s="195" t="s">
        <v>1350</v>
      </c>
      <c r="Q296" s="195" t="s">
        <v>4429</v>
      </c>
      <c r="R296" s="193"/>
      <c r="S296" s="195" t="s">
        <v>171</v>
      </c>
      <c r="T296" s="195">
        <v>431005</v>
      </c>
      <c r="U296" s="195" t="s">
        <v>172</v>
      </c>
      <c r="V296" s="195" t="s">
        <v>23</v>
      </c>
      <c r="W296" s="193">
        <v>2</v>
      </c>
      <c r="X296" s="195">
        <v>0</v>
      </c>
      <c r="Y296" s="195">
        <v>2</v>
      </c>
      <c r="Z296" s="195">
        <v>1</v>
      </c>
      <c r="AA296" s="193" t="s">
        <v>4118</v>
      </c>
      <c r="AB296" s="2"/>
    </row>
    <row r="297" spans="1:28" ht="15" customHeight="1">
      <c r="A297" s="16">
        <v>296</v>
      </c>
      <c r="B297" s="14" t="s">
        <v>130</v>
      </c>
      <c r="C297" s="14" t="str">
        <f>_xlfn.CONCAT(B297&amp;" "&amp;W297&amp;X297&amp;Y297&amp;Z297)</f>
        <v>College of Engg 2441</v>
      </c>
      <c r="D297" s="16">
        <v>346</v>
      </c>
      <c r="E297" s="14" t="s">
        <v>42</v>
      </c>
      <c r="F297" s="14"/>
      <c r="G297" s="30">
        <v>41261</v>
      </c>
      <c r="H297" s="30"/>
      <c r="I297" s="30"/>
      <c r="J297" s="24"/>
      <c r="K297" s="24"/>
      <c r="L297" s="32">
        <v>3</v>
      </c>
      <c r="M297" s="8"/>
      <c r="N297" s="14" t="s">
        <v>1351</v>
      </c>
      <c r="O297" s="18" t="s">
        <v>1352</v>
      </c>
      <c r="P297" s="195" t="s">
        <v>1353</v>
      </c>
      <c r="Q297" s="195" t="s">
        <v>4430</v>
      </c>
      <c r="R297" s="195" t="s">
        <v>1354</v>
      </c>
      <c r="S297" s="195" t="s">
        <v>1354</v>
      </c>
      <c r="T297" s="195">
        <v>413304</v>
      </c>
      <c r="U297" s="195" t="s">
        <v>172</v>
      </c>
      <c r="V297" s="195" t="s">
        <v>23</v>
      </c>
      <c r="W297" s="193">
        <v>2</v>
      </c>
      <c r="X297" s="195">
        <v>4</v>
      </c>
      <c r="Y297" s="195">
        <v>4</v>
      </c>
      <c r="Z297" s="195">
        <v>1</v>
      </c>
      <c r="AA297" s="193" t="s">
        <v>4151</v>
      </c>
      <c r="AB297" s="2"/>
    </row>
    <row r="298" spans="1:28" ht="15" customHeight="1">
      <c r="A298" s="16">
        <v>297</v>
      </c>
      <c r="B298" s="14" t="s">
        <v>1355</v>
      </c>
      <c r="C298" s="14" t="str">
        <f>_xlfn.CONCAT(B298&amp;" "&amp;W298&amp;X298&amp;Y298&amp;Z298)</f>
        <v>Sri Balaji Assemblies &amp; Plastics Pvt Ltd 4022</v>
      </c>
      <c r="D298" s="16">
        <v>321</v>
      </c>
      <c r="E298" s="14" t="s">
        <v>90</v>
      </c>
      <c r="F298" s="14"/>
      <c r="G298" s="30">
        <v>41266</v>
      </c>
      <c r="H298" s="30"/>
      <c r="I298" s="30"/>
      <c r="J298" s="24">
        <v>44540</v>
      </c>
      <c r="K298" s="24">
        <v>44904</v>
      </c>
      <c r="L298" s="32">
        <v>3</v>
      </c>
      <c r="M298" s="14" t="s">
        <v>1356</v>
      </c>
      <c r="N298" s="8"/>
      <c r="O298" s="18" t="s">
        <v>1357</v>
      </c>
      <c r="P298" s="195" t="s">
        <v>1358</v>
      </c>
      <c r="Q298" s="195" t="s">
        <v>4431</v>
      </c>
      <c r="R298" s="193"/>
      <c r="S298" s="195" t="s">
        <v>37</v>
      </c>
      <c r="T298" s="195">
        <v>603044</v>
      </c>
      <c r="U298" s="195" t="s">
        <v>38</v>
      </c>
      <c r="V298" s="195" t="s">
        <v>23</v>
      </c>
      <c r="W298" s="193">
        <v>4</v>
      </c>
      <c r="X298" s="195">
        <v>0</v>
      </c>
      <c r="Y298" s="195">
        <v>2</v>
      </c>
      <c r="Z298" s="195">
        <v>2</v>
      </c>
      <c r="AA298" s="193" t="s">
        <v>4148</v>
      </c>
      <c r="AB298" s="2"/>
    </row>
    <row r="299" spans="1:28" ht="15" customHeight="1">
      <c r="A299" s="16">
        <v>298</v>
      </c>
      <c r="B299" s="14" t="s">
        <v>1359</v>
      </c>
      <c r="C299" s="14" t="str">
        <f>_xlfn.CONCAT(B299&amp;" "&amp;W299&amp;X299&amp;Y299&amp;Z299)</f>
        <v>L G Balakrishnan &amp; Bros Limited 4162</v>
      </c>
      <c r="D299" s="16">
        <v>314</v>
      </c>
      <c r="E299" s="14" t="s">
        <v>42</v>
      </c>
      <c r="F299" s="14"/>
      <c r="G299" s="14"/>
      <c r="H299" s="14"/>
      <c r="I299" s="14"/>
      <c r="J299" s="24">
        <v>45778</v>
      </c>
      <c r="K299" s="24">
        <v>46142</v>
      </c>
      <c r="L299" s="32">
        <v>3</v>
      </c>
      <c r="M299" s="8"/>
      <c r="N299" s="8"/>
      <c r="O299" s="18" t="s">
        <v>1360</v>
      </c>
      <c r="P299" s="195" t="s">
        <v>1361</v>
      </c>
      <c r="Q299" s="195" t="s">
        <v>4432</v>
      </c>
      <c r="R299" s="193"/>
      <c r="S299" s="195" t="s">
        <v>101</v>
      </c>
      <c r="T299" s="195">
        <v>641107</v>
      </c>
      <c r="U299" s="195" t="s">
        <v>38</v>
      </c>
      <c r="V299" s="195" t="s">
        <v>23</v>
      </c>
      <c r="W299" s="193">
        <v>4</v>
      </c>
      <c r="X299" s="195">
        <v>1</v>
      </c>
      <c r="Y299" s="195">
        <v>6</v>
      </c>
      <c r="Z299" s="195">
        <v>2</v>
      </c>
      <c r="AA299" s="193" t="s">
        <v>4148</v>
      </c>
      <c r="AB299" s="2"/>
    </row>
    <row r="300" spans="1:28" ht="15" customHeight="1">
      <c r="A300" s="16">
        <v>299</v>
      </c>
      <c r="B300" s="9" t="s">
        <v>1362</v>
      </c>
      <c r="C300" s="14" t="str">
        <f>_xlfn.CONCAT(B300&amp;" "&amp;W300&amp;X300&amp;Y300&amp;Z300)</f>
        <v>L G Balakrishnan &amp; Bros Limited (Forge Div) 4162</v>
      </c>
      <c r="D300" s="16">
        <v>823</v>
      </c>
      <c r="E300" s="9" t="s">
        <v>42</v>
      </c>
      <c r="F300" s="9"/>
      <c r="G300" s="9"/>
      <c r="H300" s="9"/>
      <c r="I300" s="9"/>
      <c r="J300" s="24">
        <v>45866</v>
      </c>
      <c r="K300" s="24">
        <v>46230</v>
      </c>
      <c r="L300" s="32">
        <v>3</v>
      </c>
      <c r="M300" s="9"/>
      <c r="N300" s="8"/>
      <c r="O300" s="19"/>
      <c r="P300" s="195" t="s">
        <v>1363</v>
      </c>
      <c r="Q300" s="195" t="s">
        <v>4433</v>
      </c>
      <c r="R300" s="195" t="s">
        <v>1364</v>
      </c>
      <c r="S300" s="195" t="s">
        <v>101</v>
      </c>
      <c r="T300" s="195">
        <v>641110</v>
      </c>
      <c r="U300" s="195" t="s">
        <v>38</v>
      </c>
      <c r="V300" s="195" t="s">
        <v>23</v>
      </c>
      <c r="W300" s="193">
        <v>4</v>
      </c>
      <c r="X300" s="195">
        <v>1</v>
      </c>
      <c r="Y300" s="195">
        <v>6</v>
      </c>
      <c r="Z300" s="195">
        <v>2</v>
      </c>
      <c r="AA300" s="193" t="s">
        <v>4148</v>
      </c>
      <c r="AB300" s="2"/>
    </row>
    <row r="301" spans="1:28" ht="15" customHeight="1">
      <c r="A301" s="16">
        <v>300</v>
      </c>
      <c r="B301" s="14" t="s">
        <v>411</v>
      </c>
      <c r="C301" s="14" t="str">
        <f>_xlfn.CONCAT(B301&amp;" "&amp;W301&amp;X301&amp;Y301&amp;Z301)</f>
        <v>L G B Balakrishnan &amp; Bros Limited 4162</v>
      </c>
      <c r="D301" s="16">
        <v>350</v>
      </c>
      <c r="E301" s="14" t="s">
        <v>42</v>
      </c>
      <c r="F301" s="14"/>
      <c r="G301" s="30">
        <v>41275</v>
      </c>
      <c r="H301" s="30"/>
      <c r="I301" s="30"/>
      <c r="J301" s="24">
        <v>44447</v>
      </c>
      <c r="K301" s="24">
        <v>44811</v>
      </c>
      <c r="L301" s="32">
        <v>3</v>
      </c>
      <c r="M301" s="14" t="s">
        <v>412</v>
      </c>
      <c r="N301" s="14" t="s">
        <v>413</v>
      </c>
      <c r="O301" s="19"/>
      <c r="P301" s="195" t="s">
        <v>414</v>
      </c>
      <c r="Q301" s="195" t="s">
        <v>4220</v>
      </c>
      <c r="R301" s="193"/>
      <c r="S301" s="195" t="s">
        <v>101</v>
      </c>
      <c r="T301" s="195">
        <v>641653</v>
      </c>
      <c r="U301" s="195" t="s">
        <v>38</v>
      </c>
      <c r="V301" s="195" t="s">
        <v>23</v>
      </c>
      <c r="W301" s="193">
        <v>4</v>
      </c>
      <c r="X301" s="195">
        <v>1</v>
      </c>
      <c r="Y301" s="195">
        <v>6</v>
      </c>
      <c r="Z301" s="195">
        <v>2</v>
      </c>
      <c r="AA301" s="193" t="s">
        <v>4148</v>
      </c>
      <c r="AB301" s="2"/>
    </row>
    <row r="302" spans="1:28" ht="15" customHeight="1">
      <c r="A302" s="16">
        <v>301</v>
      </c>
      <c r="B302" s="14" t="s">
        <v>1365</v>
      </c>
      <c r="C302" s="14" t="str">
        <f>_xlfn.CONCAT(B302&amp;" "&amp;W302&amp;X302&amp;Y302&amp;Z302)</f>
        <v>Uno Minda Limited (Minda Industries Limited) 1111</v>
      </c>
      <c r="D302" s="16">
        <v>358</v>
      </c>
      <c r="E302" s="14" t="s">
        <v>42</v>
      </c>
      <c r="F302" s="14"/>
      <c r="G302" s="30">
        <v>41289</v>
      </c>
      <c r="H302" s="30"/>
      <c r="I302" s="30"/>
      <c r="J302" s="24">
        <v>44233</v>
      </c>
      <c r="K302" s="24">
        <v>44597</v>
      </c>
      <c r="L302" s="32">
        <v>3</v>
      </c>
      <c r="M302" s="14" t="s">
        <v>1366</v>
      </c>
      <c r="N302" s="14" t="s">
        <v>98</v>
      </c>
      <c r="O302" s="19"/>
      <c r="P302" s="193"/>
      <c r="Q302" s="193" t="s">
        <v>4434</v>
      </c>
      <c r="R302" s="193"/>
      <c r="S302" s="195" t="s">
        <v>428</v>
      </c>
      <c r="T302" s="195">
        <v>122050</v>
      </c>
      <c r="U302" s="195" t="s">
        <v>429</v>
      </c>
      <c r="V302" s="195" t="s">
        <v>23</v>
      </c>
      <c r="W302" s="193">
        <v>1</v>
      </c>
      <c r="X302" s="195">
        <v>1</v>
      </c>
      <c r="Y302" s="195">
        <v>1</v>
      </c>
      <c r="Z302" s="195">
        <v>1</v>
      </c>
      <c r="AA302" s="193" t="s">
        <v>4118</v>
      </c>
      <c r="AB302" s="2"/>
    </row>
    <row r="303" spans="1:28" ht="15" customHeight="1">
      <c r="A303" s="16">
        <v>302</v>
      </c>
      <c r="B303" s="14" t="s">
        <v>1367</v>
      </c>
      <c r="C303" s="14" t="str">
        <f>_xlfn.CONCAT(B303&amp;" "&amp;W303&amp;X303&amp;Y303&amp;Z303)</f>
        <v>Supram Industries 8023</v>
      </c>
      <c r="D303" s="16">
        <v>322</v>
      </c>
      <c r="E303" s="14" t="s">
        <v>90</v>
      </c>
      <c r="F303" s="14"/>
      <c r="G303" s="30">
        <v>41281</v>
      </c>
      <c r="H303" s="30"/>
      <c r="I303" s="30"/>
      <c r="J303" s="24"/>
      <c r="K303" s="24"/>
      <c r="L303" s="32">
        <v>3</v>
      </c>
      <c r="M303" s="14" t="s">
        <v>1368</v>
      </c>
      <c r="N303" s="14" t="s">
        <v>254</v>
      </c>
      <c r="O303" s="18" t="s">
        <v>1369</v>
      </c>
      <c r="P303" s="195" t="s">
        <v>1370</v>
      </c>
      <c r="Q303" s="195" t="s">
        <v>4435</v>
      </c>
      <c r="R303" s="195" t="s">
        <v>1371</v>
      </c>
      <c r="S303" s="195" t="s">
        <v>21</v>
      </c>
      <c r="T303" s="195">
        <v>560062</v>
      </c>
      <c r="U303" s="195" t="s">
        <v>22</v>
      </c>
      <c r="V303" s="195" t="s">
        <v>23</v>
      </c>
      <c r="W303" s="193">
        <v>8</v>
      </c>
      <c r="X303" s="195">
        <v>0</v>
      </c>
      <c r="Y303" s="195">
        <v>2</v>
      </c>
      <c r="Z303" s="195">
        <v>3</v>
      </c>
      <c r="AA303" s="193" t="s">
        <v>4118</v>
      </c>
      <c r="AB303" s="2"/>
    </row>
    <row r="304" spans="1:28" ht="15" customHeight="1">
      <c r="A304" s="16">
        <v>303</v>
      </c>
      <c r="B304" s="14" t="s">
        <v>1372</v>
      </c>
      <c r="C304" s="14" t="str">
        <f>_xlfn.CONCAT(B304&amp;" "&amp;W304&amp;X304&amp;Y304&amp;Z304)</f>
        <v>CRD Endustriyel Kontrol Sistemleri San Tic L 0000</v>
      </c>
      <c r="D304" s="16">
        <v>288</v>
      </c>
      <c r="E304" s="14" t="s">
        <v>1373</v>
      </c>
      <c r="F304" s="14"/>
      <c r="G304" s="30">
        <v>40933</v>
      </c>
      <c r="H304" s="30"/>
      <c r="I304" s="30"/>
      <c r="J304" s="24"/>
      <c r="K304" s="24"/>
      <c r="L304" s="32">
        <v>3</v>
      </c>
      <c r="M304" s="14" t="s">
        <v>1374</v>
      </c>
      <c r="N304" s="8"/>
      <c r="O304" s="18">
        <v>2244437742</v>
      </c>
      <c r="P304" s="195" t="s">
        <v>1375</v>
      </c>
      <c r="Q304" s="195" t="s">
        <v>4436</v>
      </c>
      <c r="R304" s="195" t="s">
        <v>1376</v>
      </c>
      <c r="S304" s="195" t="s">
        <v>1377</v>
      </c>
      <c r="T304" s="193"/>
      <c r="U304" s="193" t="s">
        <v>574</v>
      </c>
      <c r="V304" s="195" t="s">
        <v>1378</v>
      </c>
      <c r="W304" s="193">
        <v>0</v>
      </c>
      <c r="X304" s="195">
        <v>0</v>
      </c>
      <c r="Y304" s="195">
        <v>0</v>
      </c>
      <c r="Z304" s="195">
        <v>0</v>
      </c>
      <c r="AA304" s="193">
        <v>0</v>
      </c>
      <c r="AB304" s="2"/>
    </row>
    <row r="305" spans="1:28" ht="15" customHeight="1">
      <c r="A305" s="16">
        <v>304</v>
      </c>
      <c r="B305" s="14" t="s">
        <v>1379</v>
      </c>
      <c r="C305" s="14" t="str">
        <f>_xlfn.CONCAT(B305&amp;" "&amp;W305&amp;X305&amp;Y305&amp;Z305)</f>
        <v>Minda Vietnam Automotive Company Limit 0000</v>
      </c>
      <c r="D305" s="16">
        <v>347</v>
      </c>
      <c r="E305" s="14" t="s">
        <v>42</v>
      </c>
      <c r="F305" s="14"/>
      <c r="G305" s="14"/>
      <c r="H305" s="14"/>
      <c r="I305" s="14"/>
      <c r="J305" s="24"/>
      <c r="K305" s="24"/>
      <c r="L305" s="32">
        <v>3</v>
      </c>
      <c r="M305" s="14" t="s">
        <v>1380</v>
      </c>
      <c r="N305" s="8"/>
      <c r="O305" s="19"/>
      <c r="P305" s="195" t="s">
        <v>1381</v>
      </c>
      <c r="Q305" s="195" t="s">
        <v>4437</v>
      </c>
      <c r="R305" s="193"/>
      <c r="S305" s="193" t="s">
        <v>1382</v>
      </c>
      <c r="T305" s="193"/>
      <c r="U305" s="193" t="s">
        <v>574</v>
      </c>
      <c r="V305" s="195" t="s">
        <v>1382</v>
      </c>
      <c r="W305" s="193">
        <v>0</v>
      </c>
      <c r="X305" s="195">
        <v>0</v>
      </c>
      <c r="Y305" s="195">
        <v>0</v>
      </c>
      <c r="Z305" s="195">
        <v>0</v>
      </c>
      <c r="AA305" s="193">
        <v>0</v>
      </c>
      <c r="AB305" s="2"/>
    </row>
    <row r="306" spans="1:28" ht="15" customHeight="1">
      <c r="A306" s="16">
        <v>305</v>
      </c>
      <c r="B306" s="14" t="s">
        <v>784</v>
      </c>
      <c r="C306" s="14" t="str">
        <f>_xlfn.CONCAT(B306&amp;" "&amp;W306&amp;X306&amp;Y306&amp;Z306)</f>
        <v>Wahi Sons P Ltd 1112</v>
      </c>
      <c r="D306" s="16">
        <v>362</v>
      </c>
      <c r="E306" s="14" t="s">
        <v>42</v>
      </c>
      <c r="F306" s="14"/>
      <c r="G306" s="30">
        <v>41323</v>
      </c>
      <c r="H306" s="30"/>
      <c r="I306" s="30"/>
      <c r="J306" s="24">
        <v>44477</v>
      </c>
      <c r="K306" s="24">
        <v>44841</v>
      </c>
      <c r="L306" s="32">
        <v>3</v>
      </c>
      <c r="M306" s="14" t="s">
        <v>1383</v>
      </c>
      <c r="N306" s="8"/>
      <c r="O306" s="18" t="s">
        <v>1384</v>
      </c>
      <c r="P306" s="195" t="s">
        <v>1385</v>
      </c>
      <c r="Q306" s="195" t="s">
        <v>4438</v>
      </c>
      <c r="R306" s="193"/>
      <c r="S306" s="195" t="s">
        <v>1137</v>
      </c>
      <c r="T306" s="193"/>
      <c r="U306" s="195" t="s">
        <v>429</v>
      </c>
      <c r="V306" s="195" t="s">
        <v>23</v>
      </c>
      <c r="W306" s="193">
        <v>1</v>
      </c>
      <c r="X306" s="195">
        <v>1</v>
      </c>
      <c r="Y306" s="195">
        <v>1</v>
      </c>
      <c r="Z306" s="195">
        <v>2</v>
      </c>
      <c r="AA306" s="193" t="s">
        <v>4118</v>
      </c>
      <c r="AB306" s="2"/>
    </row>
    <row r="307" spans="1:28" ht="15" customHeight="1">
      <c r="A307" s="16">
        <v>306</v>
      </c>
      <c r="B307" s="14" t="s">
        <v>1386</v>
      </c>
      <c r="C307" s="14" t="str">
        <f>_xlfn.CONCAT(B307&amp;" "&amp;W307&amp;X307&amp;Y307&amp;Z307)</f>
        <v>Protekz Tool &amp; Die Makers 8051</v>
      </c>
      <c r="D307" s="16">
        <v>375</v>
      </c>
      <c r="E307" s="14" t="s">
        <v>42</v>
      </c>
      <c r="F307" s="14"/>
      <c r="G307" s="30">
        <v>41359</v>
      </c>
      <c r="H307" s="30"/>
      <c r="I307" s="30"/>
      <c r="J307" s="24">
        <v>45328</v>
      </c>
      <c r="K307" s="24">
        <v>45693</v>
      </c>
      <c r="L307" s="32">
        <v>3</v>
      </c>
      <c r="M307" s="14" t="s">
        <v>1387</v>
      </c>
      <c r="N307" s="8"/>
      <c r="O307" s="18" t="s">
        <v>1388</v>
      </c>
      <c r="P307" s="195" t="s">
        <v>1389</v>
      </c>
      <c r="Q307" s="195" t="s">
        <v>4439</v>
      </c>
      <c r="R307" s="195" t="s">
        <v>1390</v>
      </c>
      <c r="S307" s="195" t="s">
        <v>21</v>
      </c>
      <c r="T307" s="195">
        <v>560058</v>
      </c>
      <c r="U307" s="195" t="s">
        <v>22</v>
      </c>
      <c r="V307" s="195" t="s">
        <v>23</v>
      </c>
      <c r="W307" s="193">
        <v>8</v>
      </c>
      <c r="X307" s="195">
        <v>0</v>
      </c>
      <c r="Y307" s="195">
        <v>5</v>
      </c>
      <c r="Z307" s="195">
        <v>1</v>
      </c>
      <c r="AA307" s="193" t="s">
        <v>4118</v>
      </c>
      <c r="AB307" s="2"/>
    </row>
    <row r="308" spans="1:28" ht="15" customHeight="1">
      <c r="A308" s="16">
        <v>307</v>
      </c>
      <c r="B308" s="9" t="s">
        <v>1391</v>
      </c>
      <c r="C308" s="14" t="str">
        <f>_xlfn.CONCAT(B308&amp;" "&amp;W308&amp;X308&amp;Y308&amp;Z308)</f>
        <v>Magneti Marelli Motherson Auto System Ltd. 2421</v>
      </c>
      <c r="D308" s="16">
        <v>361</v>
      </c>
      <c r="E308" s="9" t="s">
        <v>42</v>
      </c>
      <c r="F308" s="9"/>
      <c r="G308" s="31">
        <v>41316</v>
      </c>
      <c r="H308" s="31"/>
      <c r="I308" s="31"/>
      <c r="J308" s="24"/>
      <c r="K308" s="24"/>
      <c r="L308" s="32">
        <v>3</v>
      </c>
      <c r="M308" s="9"/>
      <c r="N308" s="8"/>
      <c r="O308" s="18" t="s">
        <v>1392</v>
      </c>
      <c r="P308" s="195" t="s">
        <v>1393</v>
      </c>
      <c r="Q308" s="195" t="s">
        <v>4440</v>
      </c>
      <c r="R308" s="193"/>
      <c r="S308" s="195" t="s">
        <v>215</v>
      </c>
      <c r="T308" s="195">
        <v>410501</v>
      </c>
      <c r="U308" s="195" t="s">
        <v>172</v>
      </c>
      <c r="V308" s="195" t="s">
        <v>23</v>
      </c>
      <c r="W308" s="193">
        <v>2</v>
      </c>
      <c r="X308" s="195">
        <v>4</v>
      </c>
      <c r="Y308" s="195">
        <v>2</v>
      </c>
      <c r="Z308" s="195">
        <v>1</v>
      </c>
      <c r="AA308" s="193" t="s">
        <v>4151</v>
      </c>
      <c r="AB308" s="2"/>
    </row>
    <row r="309" spans="1:28" ht="15" customHeight="1">
      <c r="A309" s="16">
        <v>308</v>
      </c>
      <c r="B309" s="14" t="s">
        <v>1394</v>
      </c>
      <c r="C309" s="14" t="str">
        <f>_xlfn.CONCAT(B309&amp;" "&amp;W309&amp;X309&amp;Y309&amp;Z309)</f>
        <v>Synergy Global Sourcing 8013</v>
      </c>
      <c r="D309" s="16">
        <v>360</v>
      </c>
      <c r="E309" s="14" t="s">
        <v>1027</v>
      </c>
      <c r="F309" s="14"/>
      <c r="G309" s="30">
        <v>41360</v>
      </c>
      <c r="H309" s="30"/>
      <c r="I309" s="30"/>
      <c r="J309" s="24">
        <v>44583</v>
      </c>
      <c r="K309" s="24">
        <v>45312</v>
      </c>
      <c r="L309" s="32">
        <v>3</v>
      </c>
      <c r="M309" s="14" t="s">
        <v>1395</v>
      </c>
      <c r="N309" s="14" t="s">
        <v>254</v>
      </c>
      <c r="O309" s="18" t="s">
        <v>1396</v>
      </c>
      <c r="P309" s="193"/>
      <c r="Q309" s="193" t="s">
        <v>4441</v>
      </c>
      <c r="R309" s="193"/>
      <c r="S309" s="195" t="s">
        <v>121</v>
      </c>
      <c r="T309" s="195">
        <v>635126</v>
      </c>
      <c r="U309" s="195" t="s">
        <v>38</v>
      </c>
      <c r="V309" s="195" t="s">
        <v>23</v>
      </c>
      <c r="W309" s="193">
        <v>8</v>
      </c>
      <c r="X309" s="195">
        <v>0</v>
      </c>
      <c r="Y309" s="195">
        <v>1</v>
      </c>
      <c r="Z309" s="195">
        <v>3</v>
      </c>
      <c r="AA309" s="193" t="s">
        <v>4118</v>
      </c>
      <c r="AB309" s="2"/>
    </row>
    <row r="310" spans="1:28" ht="15" customHeight="1">
      <c r="A310" s="16">
        <v>309</v>
      </c>
      <c r="B310" s="14" t="s">
        <v>1397</v>
      </c>
      <c r="C310" s="14" t="str">
        <f>_xlfn.CONCAT(B310&amp;" "&amp;W310&amp;X310&amp;Y310&amp;Z310)</f>
        <v>Aisin Automotives Haryana Pvt Ltd 1111</v>
      </c>
      <c r="D310" s="16">
        <v>351</v>
      </c>
      <c r="E310" s="14" t="s">
        <v>90</v>
      </c>
      <c r="F310" s="14"/>
      <c r="G310" s="30">
        <v>41323</v>
      </c>
      <c r="H310" s="30"/>
      <c r="I310" s="30"/>
      <c r="J310" s="24">
        <v>44626</v>
      </c>
      <c r="K310" s="24">
        <v>44990</v>
      </c>
      <c r="L310" s="32">
        <v>3</v>
      </c>
      <c r="M310" s="14" t="s">
        <v>1398</v>
      </c>
      <c r="N310" s="8"/>
      <c r="O310" s="19"/>
      <c r="P310" s="195" t="s">
        <v>1399</v>
      </c>
      <c r="Q310" s="195" t="s">
        <v>4442</v>
      </c>
      <c r="R310" s="193"/>
      <c r="S310" s="195" t="s">
        <v>428</v>
      </c>
      <c r="T310" s="195">
        <v>122002</v>
      </c>
      <c r="U310" s="195" t="s">
        <v>429</v>
      </c>
      <c r="V310" s="195" t="s">
        <v>23</v>
      </c>
      <c r="W310" s="193">
        <v>1</v>
      </c>
      <c r="X310" s="195">
        <v>1</v>
      </c>
      <c r="Y310" s="195">
        <v>1</v>
      </c>
      <c r="Z310" s="195">
        <v>1</v>
      </c>
      <c r="AA310" s="193" t="s">
        <v>4118</v>
      </c>
      <c r="AB310" s="2"/>
    </row>
    <row r="311" spans="1:28" ht="15" customHeight="1">
      <c r="A311" s="16">
        <v>310</v>
      </c>
      <c r="B311" s="14" t="s">
        <v>1400</v>
      </c>
      <c r="C311" s="14" t="str">
        <f>_xlfn.CONCAT(B311&amp;" "&amp;W311&amp;X311&amp;Y311&amp;Z311)</f>
        <v>Ashimori India Private Limited 1114</v>
      </c>
      <c r="D311" s="16">
        <v>363</v>
      </c>
      <c r="E311" s="14" t="s">
        <v>42</v>
      </c>
      <c r="F311" s="14"/>
      <c r="G311" s="30">
        <v>41333</v>
      </c>
      <c r="H311" s="30"/>
      <c r="I311" s="30"/>
      <c r="J311" s="24">
        <v>45908</v>
      </c>
      <c r="K311" s="24">
        <v>46272</v>
      </c>
      <c r="L311" s="32">
        <v>3</v>
      </c>
      <c r="M311" s="9" t="s">
        <v>1401</v>
      </c>
      <c r="N311" s="9"/>
      <c r="O311" s="19"/>
      <c r="P311" s="195" t="s">
        <v>1402</v>
      </c>
      <c r="Q311" s="195" t="s">
        <v>4443</v>
      </c>
      <c r="R311" s="195" t="s">
        <v>1403</v>
      </c>
      <c r="S311" s="195" t="s">
        <v>1404</v>
      </c>
      <c r="T311" s="195">
        <v>301705</v>
      </c>
      <c r="U311" s="195" t="s">
        <v>429</v>
      </c>
      <c r="V311" s="195" t="s">
        <v>23</v>
      </c>
      <c r="W311" s="193">
        <v>1</v>
      </c>
      <c r="X311" s="195">
        <v>1</v>
      </c>
      <c r="Y311" s="195">
        <v>1</v>
      </c>
      <c r="Z311" s="195">
        <v>4</v>
      </c>
      <c r="AA311" s="193" t="s">
        <v>4118</v>
      </c>
      <c r="AB311" s="2"/>
    </row>
    <row r="312" spans="1:28" ht="15" customHeight="1">
      <c r="A312" s="16">
        <v>311</v>
      </c>
      <c r="B312" s="14" t="s">
        <v>1406</v>
      </c>
      <c r="C312" s="14" t="str">
        <f>_xlfn.CONCAT(B312&amp;" "&amp;W312&amp;X312&amp;Y312&amp;Z312)</f>
        <v>Kiran Machine Tools 2010</v>
      </c>
      <c r="D312" s="16">
        <v>364</v>
      </c>
      <c r="E312" s="14" t="s">
        <v>42</v>
      </c>
      <c r="F312" s="14"/>
      <c r="G312" s="30">
        <v>41328</v>
      </c>
      <c r="H312" s="30"/>
      <c r="I312" s="30"/>
      <c r="J312" s="24">
        <v>44644</v>
      </c>
      <c r="K312" s="24">
        <v>45008</v>
      </c>
      <c r="L312" s="32">
        <v>3</v>
      </c>
      <c r="M312" s="9" t="s">
        <v>1407</v>
      </c>
      <c r="N312" s="9"/>
      <c r="O312" s="18" t="s">
        <v>1408</v>
      </c>
      <c r="P312" s="195" t="s">
        <v>1409</v>
      </c>
      <c r="Q312" s="195" t="s">
        <v>4444</v>
      </c>
      <c r="R312" s="193"/>
      <c r="S312" s="195" t="s">
        <v>1410</v>
      </c>
      <c r="T312" s="195">
        <v>425003</v>
      </c>
      <c r="U312" s="195" t="s">
        <v>172</v>
      </c>
      <c r="V312" s="195" t="s">
        <v>23</v>
      </c>
      <c r="W312" s="193">
        <v>2</v>
      </c>
      <c r="X312" s="195">
        <v>0</v>
      </c>
      <c r="Y312" s="195">
        <v>1</v>
      </c>
      <c r="Z312" s="195">
        <v>0</v>
      </c>
      <c r="AA312" s="193" t="s">
        <v>4118</v>
      </c>
      <c r="AB312" s="2"/>
    </row>
    <row r="313" spans="1:28" ht="15" customHeight="1">
      <c r="A313" s="16">
        <v>312</v>
      </c>
      <c r="B313" s="14" t="s">
        <v>1412</v>
      </c>
      <c r="C313" s="14" t="str">
        <f>_xlfn.CONCAT(B313&amp;" "&amp;W313&amp;X313&amp;Y313&amp;Z313)</f>
        <v>Essem Srinisons Systems Pvt Ltd (Srinisons Wiring Systems Pvt Ltd) 1111</v>
      </c>
      <c r="D313" s="16">
        <v>319</v>
      </c>
      <c r="E313" s="14" t="s">
        <v>1413</v>
      </c>
      <c r="F313" s="14"/>
      <c r="G313" s="30">
        <v>41331</v>
      </c>
      <c r="H313" s="30"/>
      <c r="I313" s="30"/>
      <c r="J313" s="24">
        <v>44609</v>
      </c>
      <c r="K313" s="24">
        <v>44973</v>
      </c>
      <c r="L313" s="32">
        <v>3</v>
      </c>
      <c r="M313" s="14" t="s">
        <v>1414</v>
      </c>
      <c r="N313" s="14" t="s">
        <v>71</v>
      </c>
      <c r="O313" s="18" t="s">
        <v>1415</v>
      </c>
      <c r="P313" s="195" t="s">
        <v>859</v>
      </c>
      <c r="Q313" s="195" t="s">
        <v>4445</v>
      </c>
      <c r="R313" s="193"/>
      <c r="S313" s="195" t="s">
        <v>428</v>
      </c>
      <c r="T313" s="195">
        <v>122050</v>
      </c>
      <c r="U313" s="195" t="s">
        <v>429</v>
      </c>
      <c r="V313" s="195" t="s">
        <v>23</v>
      </c>
      <c r="W313" s="193">
        <v>1</v>
      </c>
      <c r="X313" s="195">
        <v>1</v>
      </c>
      <c r="Y313" s="195">
        <v>1</v>
      </c>
      <c r="Z313" s="195">
        <v>1</v>
      </c>
      <c r="AA313" s="193" t="s">
        <v>4118</v>
      </c>
      <c r="AB313" s="2"/>
    </row>
    <row r="314" spans="1:28" ht="15" customHeight="1">
      <c r="A314" s="16">
        <v>313</v>
      </c>
      <c r="B314" s="14" t="s">
        <v>1416</v>
      </c>
      <c r="C314" s="14" t="str">
        <f>_xlfn.CONCAT(B314&amp;" "&amp;W314&amp;X314&amp;Y314&amp;Z314)</f>
        <v>Viney Corporation Pvt Ltd 1111</v>
      </c>
      <c r="D314" s="16">
        <v>352</v>
      </c>
      <c r="E314" s="14" t="s">
        <v>90</v>
      </c>
      <c r="F314" s="14"/>
      <c r="G314" s="30">
        <v>41338</v>
      </c>
      <c r="H314" s="30"/>
      <c r="I314" s="30"/>
      <c r="J314" s="24">
        <v>45941</v>
      </c>
      <c r="K314" s="24">
        <v>46305</v>
      </c>
      <c r="L314" s="32">
        <v>3</v>
      </c>
      <c r="M314" s="14" t="s">
        <v>1417</v>
      </c>
      <c r="N314" s="14" t="s">
        <v>1418</v>
      </c>
      <c r="O314" s="18" t="s">
        <v>1419</v>
      </c>
      <c r="P314" s="195" t="s">
        <v>859</v>
      </c>
      <c r="Q314" s="195" t="s">
        <v>4446</v>
      </c>
      <c r="R314" s="193"/>
      <c r="S314" s="195" t="s">
        <v>428</v>
      </c>
      <c r="T314" s="195">
        <v>122050</v>
      </c>
      <c r="U314" s="195" t="s">
        <v>429</v>
      </c>
      <c r="V314" s="195" t="s">
        <v>23</v>
      </c>
      <c r="W314" s="193">
        <v>1</v>
      </c>
      <c r="X314" s="195">
        <v>1</v>
      </c>
      <c r="Y314" s="195">
        <v>1</v>
      </c>
      <c r="Z314" s="195">
        <v>1</v>
      </c>
      <c r="AA314" s="193" t="s">
        <v>4118</v>
      </c>
      <c r="AB314" s="2"/>
    </row>
    <row r="315" spans="1:28" ht="15" customHeight="1">
      <c r="A315" s="16">
        <v>314</v>
      </c>
      <c r="B315" s="14" t="s">
        <v>1420</v>
      </c>
      <c r="C315" s="14" t="str">
        <f>_xlfn.CONCAT(B315&amp;" "&amp;W315&amp;X315&amp;Y315&amp;Z315)</f>
        <v>Nikash CNC Enineers Pvt Ltd 2431</v>
      </c>
      <c r="D315" s="16">
        <v>353</v>
      </c>
      <c r="E315" s="14" t="s">
        <v>90</v>
      </c>
      <c r="F315" s="14"/>
      <c r="G315" s="30">
        <v>41359</v>
      </c>
      <c r="H315" s="30"/>
      <c r="I315" s="30"/>
      <c r="J315" s="24"/>
      <c r="K315" s="24"/>
      <c r="L315" s="32">
        <v>3</v>
      </c>
      <c r="M315" s="8"/>
      <c r="N315" s="8"/>
      <c r="O315" s="19"/>
      <c r="P315" s="193"/>
      <c r="Q315" s="193" t="s">
        <v>4447</v>
      </c>
      <c r="R315" s="193"/>
      <c r="S315" s="195" t="s">
        <v>1421</v>
      </c>
      <c r="T315" s="195">
        <v>414111</v>
      </c>
      <c r="U315" s="195" t="s">
        <v>172</v>
      </c>
      <c r="V315" s="195" t="s">
        <v>23</v>
      </c>
      <c r="W315" s="193">
        <v>2</v>
      </c>
      <c r="X315" s="195">
        <v>4</v>
      </c>
      <c r="Y315" s="195">
        <v>3</v>
      </c>
      <c r="Z315" s="195">
        <v>1</v>
      </c>
      <c r="AA315" s="193" t="s">
        <v>4151</v>
      </c>
      <c r="AB315" s="2"/>
    </row>
    <row r="316" spans="1:28" ht="15" customHeight="1">
      <c r="A316" s="16">
        <v>315</v>
      </c>
      <c r="B316" s="14" t="s">
        <v>1423</v>
      </c>
      <c r="C316" s="14" t="str">
        <f>_xlfn.CONCAT(B316&amp;" "&amp;W316&amp;X316&amp;Y316&amp;Z316)</f>
        <v>Bilva Technologies Pvt Ltd 8051</v>
      </c>
      <c r="D316" s="16">
        <v>354</v>
      </c>
      <c r="E316" s="14" t="s">
        <v>90</v>
      </c>
      <c r="F316" s="14"/>
      <c r="G316" s="30">
        <v>41362</v>
      </c>
      <c r="H316" s="30"/>
      <c r="I316" s="30"/>
      <c r="J316" s="24">
        <v>44412</v>
      </c>
      <c r="K316" s="24">
        <v>44776</v>
      </c>
      <c r="L316" s="32">
        <v>3</v>
      </c>
      <c r="M316" s="14" t="s">
        <v>1424</v>
      </c>
      <c r="N316" s="8"/>
      <c r="O316" s="18" t="s">
        <v>1425</v>
      </c>
      <c r="P316" s="195" t="s">
        <v>1426</v>
      </c>
      <c r="Q316" s="195" t="s">
        <v>4448</v>
      </c>
      <c r="R316" s="195" t="s">
        <v>1427</v>
      </c>
      <c r="S316" s="195" t="s">
        <v>21</v>
      </c>
      <c r="T316" s="195">
        <v>560022</v>
      </c>
      <c r="U316" s="195" t="s">
        <v>22</v>
      </c>
      <c r="V316" s="195" t="s">
        <v>23</v>
      </c>
      <c r="W316" s="193">
        <v>8</v>
      </c>
      <c r="X316" s="195">
        <v>0</v>
      </c>
      <c r="Y316" s="195">
        <v>5</v>
      </c>
      <c r="Z316" s="195">
        <v>1</v>
      </c>
      <c r="AA316" s="193" t="s">
        <v>4118</v>
      </c>
      <c r="AB316" s="2"/>
    </row>
    <row r="317" spans="1:28" ht="15" customHeight="1">
      <c r="A317" s="16">
        <v>316</v>
      </c>
      <c r="B317" s="14" t="s">
        <v>1428</v>
      </c>
      <c r="C317" s="14" t="str">
        <f>_xlfn.CONCAT(B317&amp;" "&amp;W317&amp;X317&amp;Y317&amp;Z317)</f>
        <v>SAS Precision Engg P Ltd 8051</v>
      </c>
      <c r="D317" s="16">
        <v>368</v>
      </c>
      <c r="E317" s="14" t="s">
        <v>42</v>
      </c>
      <c r="F317" s="14"/>
      <c r="G317" s="30">
        <v>41363</v>
      </c>
      <c r="H317" s="30"/>
      <c r="I317" s="30"/>
      <c r="J317" s="24">
        <v>44383</v>
      </c>
      <c r="K317" s="24">
        <v>44747</v>
      </c>
      <c r="L317" s="32">
        <v>3</v>
      </c>
      <c r="M317" s="14" t="s">
        <v>1429</v>
      </c>
      <c r="N317" s="14" t="s">
        <v>254</v>
      </c>
      <c r="O317" s="18" t="s">
        <v>1430</v>
      </c>
      <c r="P317" s="195" t="s">
        <v>403</v>
      </c>
      <c r="Q317" s="195" t="s">
        <v>4449</v>
      </c>
      <c r="R317" s="193"/>
      <c r="S317" s="195" t="s">
        <v>21</v>
      </c>
      <c r="T317" s="195">
        <v>560058</v>
      </c>
      <c r="U317" s="195" t="s">
        <v>22</v>
      </c>
      <c r="V317" s="195" t="s">
        <v>23</v>
      </c>
      <c r="W317" s="193">
        <v>8</v>
      </c>
      <c r="X317" s="195">
        <v>0</v>
      </c>
      <c r="Y317" s="195">
        <v>5</v>
      </c>
      <c r="Z317" s="195">
        <v>1</v>
      </c>
      <c r="AA317" s="193" t="s">
        <v>4118</v>
      </c>
      <c r="AB317" s="2"/>
    </row>
    <row r="318" spans="1:28" ht="15" customHeight="1">
      <c r="A318" s="16">
        <v>317</v>
      </c>
      <c r="B318" s="14" t="s">
        <v>1431</v>
      </c>
      <c r="C318" s="14" t="str">
        <f>_xlfn.CONCAT(B318&amp;" "&amp;W318&amp;X318&amp;Y318&amp;Z318)</f>
        <v>Jayam Engg And Tools 4131</v>
      </c>
      <c r="D318" s="16">
        <v>371</v>
      </c>
      <c r="E318" s="14" t="s">
        <v>42</v>
      </c>
      <c r="F318" s="14"/>
      <c r="G318" s="30">
        <v>41386</v>
      </c>
      <c r="H318" s="30"/>
      <c r="I318" s="30"/>
      <c r="J318" s="24">
        <v>43896</v>
      </c>
      <c r="K318" s="24">
        <v>44260</v>
      </c>
      <c r="L318" s="32">
        <v>3</v>
      </c>
      <c r="M318" s="14" t="s">
        <v>1432</v>
      </c>
      <c r="N318" s="14" t="s">
        <v>1433</v>
      </c>
      <c r="O318" s="18">
        <v>9944494507</v>
      </c>
      <c r="P318" s="195"/>
      <c r="Q318" s="195" t="s">
        <v>4450</v>
      </c>
      <c r="R318" s="193"/>
      <c r="S318" s="195" t="s">
        <v>101</v>
      </c>
      <c r="T318" s="195">
        <v>641021</v>
      </c>
      <c r="U318" s="195" t="s">
        <v>38</v>
      </c>
      <c r="V318" s="195" t="s">
        <v>23</v>
      </c>
      <c r="W318" s="193">
        <v>4</v>
      </c>
      <c r="X318" s="195">
        <v>1</v>
      </c>
      <c r="Y318" s="195">
        <v>3</v>
      </c>
      <c r="Z318" s="195">
        <v>1</v>
      </c>
      <c r="AA318" s="193" t="s">
        <v>4148</v>
      </c>
      <c r="AB318" s="2"/>
    </row>
    <row r="319" spans="1:28" ht="15" customHeight="1">
      <c r="A319" s="16">
        <v>318</v>
      </c>
      <c r="B319" s="14" t="s">
        <v>1359</v>
      </c>
      <c r="C319" s="14" t="str">
        <f>_xlfn.CONCAT(B319&amp;" "&amp;W319&amp;X319&amp;Y319&amp;Z319)</f>
        <v>L G Balakrishnan &amp; Bros Limited 8021</v>
      </c>
      <c r="D319" s="16">
        <v>367</v>
      </c>
      <c r="E319" s="14" t="s">
        <v>42</v>
      </c>
      <c r="F319" s="14"/>
      <c r="G319" s="30">
        <v>41384</v>
      </c>
      <c r="H319" s="30"/>
      <c r="I319" s="30"/>
      <c r="J319" s="24"/>
      <c r="K319" s="24"/>
      <c r="L319" s="32">
        <v>3</v>
      </c>
      <c r="M319" s="14" t="s">
        <v>1082</v>
      </c>
      <c r="N319" s="8"/>
      <c r="O319" s="19"/>
      <c r="P319" s="195" t="s">
        <v>1434</v>
      </c>
      <c r="Q319" s="195" t="s">
        <v>4451</v>
      </c>
      <c r="R319" s="193"/>
      <c r="S319" s="195" t="s">
        <v>21</v>
      </c>
      <c r="T319" s="195">
        <v>560099</v>
      </c>
      <c r="U319" s="195" t="s">
        <v>22</v>
      </c>
      <c r="V319" s="195" t="s">
        <v>23</v>
      </c>
      <c r="W319" s="193">
        <v>8</v>
      </c>
      <c r="X319" s="195">
        <v>0</v>
      </c>
      <c r="Y319" s="195">
        <v>2</v>
      </c>
      <c r="Z319" s="195">
        <v>1</v>
      </c>
      <c r="AA319" s="193" t="s">
        <v>4118</v>
      </c>
      <c r="AB319" s="2"/>
    </row>
    <row r="320" spans="1:28" ht="15" customHeight="1">
      <c r="A320" s="16">
        <v>319</v>
      </c>
      <c r="B320" s="14" t="s">
        <v>1435</v>
      </c>
      <c r="C320" s="14" t="str">
        <f>_xlfn.CONCAT(B320&amp;" "&amp;W320&amp;X320&amp;Y320&amp;Z320)</f>
        <v>Aureate India (Old Name:Accuplast) 8051</v>
      </c>
      <c r="D320" s="16">
        <v>389</v>
      </c>
      <c r="E320" s="14" t="s">
        <v>42</v>
      </c>
      <c r="F320" s="14"/>
      <c r="G320" s="30">
        <v>41729</v>
      </c>
      <c r="H320" s="30"/>
      <c r="I320" s="30"/>
      <c r="J320" s="24">
        <v>44042</v>
      </c>
      <c r="K320" s="24">
        <v>44406</v>
      </c>
      <c r="L320" s="32">
        <v>3</v>
      </c>
      <c r="M320" s="14" t="s">
        <v>1436</v>
      </c>
      <c r="N320" s="14" t="s">
        <v>339</v>
      </c>
      <c r="O320" s="18"/>
      <c r="P320" s="195" t="s">
        <v>1437</v>
      </c>
      <c r="Q320" s="195" t="s">
        <v>4452</v>
      </c>
      <c r="R320" s="195"/>
      <c r="S320" s="195" t="s">
        <v>21</v>
      </c>
      <c r="T320" s="195">
        <v>560022</v>
      </c>
      <c r="U320" s="195" t="s">
        <v>22</v>
      </c>
      <c r="V320" s="195" t="s">
        <v>23</v>
      </c>
      <c r="W320" s="193">
        <v>8</v>
      </c>
      <c r="X320" s="195">
        <v>0</v>
      </c>
      <c r="Y320" s="195">
        <v>5</v>
      </c>
      <c r="Z320" s="195">
        <v>1</v>
      </c>
      <c r="AA320" s="193" t="s">
        <v>4118</v>
      </c>
      <c r="AB320" s="2"/>
    </row>
    <row r="321" spans="1:28" ht="15" customHeight="1">
      <c r="A321" s="16">
        <v>320</v>
      </c>
      <c r="B321" s="14" t="s">
        <v>503</v>
      </c>
      <c r="C321" s="14" t="str">
        <f>_xlfn.CONCAT(B321&amp;" "&amp;W321&amp;X321&amp;Y321&amp;Z321)</f>
        <v>RR Precision (India) Pvt Ltd (RR Engg &amp; Export) 8082</v>
      </c>
      <c r="D321" s="16">
        <v>392</v>
      </c>
      <c r="E321" s="14" t="s">
        <v>42</v>
      </c>
      <c r="F321" s="14"/>
      <c r="G321" s="30">
        <v>41448</v>
      </c>
      <c r="H321" s="30"/>
      <c r="I321" s="30"/>
      <c r="J321" s="24">
        <v>45952</v>
      </c>
      <c r="K321" s="24">
        <v>46316</v>
      </c>
      <c r="L321" s="32">
        <v>3</v>
      </c>
      <c r="M321" s="14" t="s">
        <v>1438</v>
      </c>
      <c r="N321" s="14" t="s">
        <v>339</v>
      </c>
      <c r="O321" s="19"/>
      <c r="P321" s="193"/>
      <c r="Q321" s="193" t="s">
        <v>4453</v>
      </c>
      <c r="R321" s="193"/>
      <c r="S321" s="195" t="s">
        <v>507</v>
      </c>
      <c r="T321" s="193"/>
      <c r="U321" s="195" t="s">
        <v>22</v>
      </c>
      <c r="V321" s="195" t="s">
        <v>23</v>
      </c>
      <c r="W321" s="193">
        <v>8</v>
      </c>
      <c r="X321" s="195">
        <v>0</v>
      </c>
      <c r="Y321" s="195">
        <v>8</v>
      </c>
      <c r="Z321" s="195">
        <v>2</v>
      </c>
      <c r="AA321" s="193" t="s">
        <v>4118</v>
      </c>
      <c r="AB321" s="2"/>
    </row>
    <row r="322" spans="1:28" ht="15" customHeight="1">
      <c r="A322" s="16">
        <v>321</v>
      </c>
      <c r="B322" s="14" t="s">
        <v>1439</v>
      </c>
      <c r="C322" s="14" t="str">
        <f>_xlfn.CONCAT(B322&amp;" "&amp;W322&amp;X322&amp;Y322&amp;Z322)</f>
        <v>Shanmugha Precision Forging 0000</v>
      </c>
      <c r="D322" s="16">
        <v>381</v>
      </c>
      <c r="E322" s="14" t="s">
        <v>90</v>
      </c>
      <c r="F322" s="14"/>
      <c r="G322" s="30">
        <v>41450</v>
      </c>
      <c r="H322" s="30"/>
      <c r="I322" s="30"/>
      <c r="J322" s="24"/>
      <c r="K322" s="24"/>
      <c r="L322" s="32">
        <v>3</v>
      </c>
      <c r="M322" s="14" t="s">
        <v>1440</v>
      </c>
      <c r="N322" s="8"/>
      <c r="O322" s="18" t="s">
        <v>1441</v>
      </c>
      <c r="P322" s="195" t="s">
        <v>1442</v>
      </c>
      <c r="Q322" s="195" t="s">
        <v>4454</v>
      </c>
      <c r="R322" s="193"/>
      <c r="S322" s="195" t="s">
        <v>1443</v>
      </c>
      <c r="T322" s="195">
        <v>613401</v>
      </c>
      <c r="U322" s="195" t="s">
        <v>38</v>
      </c>
      <c r="V322" s="195" t="s">
        <v>23</v>
      </c>
      <c r="W322" s="193">
        <v>0</v>
      </c>
      <c r="X322" s="195">
        <v>0</v>
      </c>
      <c r="Y322" s="195">
        <v>0</v>
      </c>
      <c r="Z322" s="195">
        <v>0</v>
      </c>
      <c r="AA322" s="193">
        <v>0</v>
      </c>
      <c r="AB322" s="2"/>
    </row>
    <row r="323" spans="1:28" ht="15" customHeight="1">
      <c r="A323" s="16">
        <v>322</v>
      </c>
      <c r="B323" s="14" t="s">
        <v>1444</v>
      </c>
      <c r="C323" s="14" t="str">
        <f>_xlfn.CONCAT(B323&amp;" "&amp;W323&amp;X323&amp;Y323&amp;Z323)</f>
        <v>Srinar Electronics Pvt Ltd 4101</v>
      </c>
      <c r="D323" s="16">
        <v>386</v>
      </c>
      <c r="E323" s="14" t="s">
        <v>42</v>
      </c>
      <c r="F323" s="14"/>
      <c r="G323" s="30">
        <v>41449</v>
      </c>
      <c r="H323" s="30"/>
      <c r="I323" s="30"/>
      <c r="J323" s="24"/>
      <c r="K323" s="24"/>
      <c r="L323" s="32">
        <v>3</v>
      </c>
      <c r="M323" s="14" t="s">
        <v>1445</v>
      </c>
      <c r="N323" s="14" t="s">
        <v>339</v>
      </c>
      <c r="O323" s="18" t="s">
        <v>1446</v>
      </c>
      <c r="P323" s="195" t="s">
        <v>1447</v>
      </c>
      <c r="Q323" s="195" t="s">
        <v>4455</v>
      </c>
      <c r="R323" s="193"/>
      <c r="S323" s="195" t="s">
        <v>37</v>
      </c>
      <c r="T323" s="195">
        <v>603103</v>
      </c>
      <c r="U323" s="195" t="s">
        <v>38</v>
      </c>
      <c r="V323" s="195" t="s">
        <v>23</v>
      </c>
      <c r="W323" s="193">
        <v>4</v>
      </c>
      <c r="X323" s="195">
        <v>1</v>
      </c>
      <c r="Y323" s="195">
        <v>0</v>
      </c>
      <c r="Z323" s="195">
        <v>1</v>
      </c>
      <c r="AA323" s="193" t="s">
        <v>4148</v>
      </c>
      <c r="AB323" s="2"/>
    </row>
    <row r="324" spans="1:28" ht="15" customHeight="1">
      <c r="A324" s="16">
        <v>323</v>
      </c>
      <c r="B324" s="14" t="s">
        <v>1448</v>
      </c>
      <c r="C324" s="14" t="str">
        <f>_xlfn.CONCAT(B324&amp;" "&amp;W324&amp;X324&amp;Y324&amp;Z324)</f>
        <v>TAL Manufacturing Solutions Ltd 2411</v>
      </c>
      <c r="D324" s="16">
        <v>372</v>
      </c>
      <c r="E324" s="14" t="s">
        <v>42</v>
      </c>
      <c r="F324" s="14"/>
      <c r="G324" s="30">
        <v>41421</v>
      </c>
      <c r="H324" s="30"/>
      <c r="I324" s="30"/>
      <c r="J324" s="24">
        <v>44104</v>
      </c>
      <c r="K324" s="24">
        <v>44468</v>
      </c>
      <c r="L324" s="32">
        <v>3</v>
      </c>
      <c r="M324" s="8"/>
      <c r="N324" s="8"/>
      <c r="O324" s="19"/>
      <c r="P324" s="195" t="s">
        <v>1449</v>
      </c>
      <c r="Q324" s="195" t="s">
        <v>4456</v>
      </c>
      <c r="R324" s="193"/>
      <c r="S324" s="195" t="s">
        <v>215</v>
      </c>
      <c r="T324" s="195">
        <v>411033</v>
      </c>
      <c r="U324" s="195" t="s">
        <v>172</v>
      </c>
      <c r="V324" s="195" t="s">
        <v>23</v>
      </c>
      <c r="W324" s="193">
        <v>2</v>
      </c>
      <c r="X324" s="195">
        <v>4</v>
      </c>
      <c r="Y324" s="195">
        <v>1</v>
      </c>
      <c r="Z324" s="195">
        <v>1</v>
      </c>
      <c r="AA324" s="193" t="s">
        <v>4150</v>
      </c>
      <c r="AB324" s="2"/>
    </row>
    <row r="325" spans="1:28" ht="15" customHeight="1">
      <c r="A325" s="16">
        <v>324</v>
      </c>
      <c r="B325" s="14" t="s">
        <v>1450</v>
      </c>
      <c r="C325" s="14" t="str">
        <f>_xlfn.CONCAT(B325&amp;" "&amp;W325&amp;X325&amp;Y325&amp;Z325)</f>
        <v>Srishti Engg Services 8013</v>
      </c>
      <c r="D325" s="16">
        <v>291</v>
      </c>
      <c r="E325" s="14" t="s">
        <v>42</v>
      </c>
      <c r="F325" s="14"/>
      <c r="G325" s="30">
        <v>41487</v>
      </c>
      <c r="H325" s="30"/>
      <c r="I325" s="30"/>
      <c r="J325" s="24"/>
      <c r="K325" s="24"/>
      <c r="L325" s="32">
        <v>3</v>
      </c>
      <c r="M325" s="9" t="s">
        <v>1451</v>
      </c>
      <c r="N325" s="9"/>
      <c r="O325" s="19"/>
      <c r="P325" s="195" t="s">
        <v>1312</v>
      </c>
      <c r="Q325" s="195" t="s">
        <v>4457</v>
      </c>
      <c r="R325" s="193"/>
      <c r="S325" s="195" t="s">
        <v>121</v>
      </c>
      <c r="T325" s="195">
        <v>635103</v>
      </c>
      <c r="U325" s="195" t="s">
        <v>38</v>
      </c>
      <c r="V325" s="195" t="s">
        <v>23</v>
      </c>
      <c r="W325" s="193">
        <v>8</v>
      </c>
      <c r="X325" s="195">
        <v>0</v>
      </c>
      <c r="Y325" s="195">
        <v>1</v>
      </c>
      <c r="Z325" s="195">
        <v>3</v>
      </c>
      <c r="AA325" s="193" t="s">
        <v>4118</v>
      </c>
      <c r="AB325" s="2"/>
    </row>
    <row r="326" spans="1:28" ht="15" customHeight="1">
      <c r="A326" s="16">
        <v>325</v>
      </c>
      <c r="B326" s="14" t="s">
        <v>1452</v>
      </c>
      <c r="C326" s="14" t="str">
        <f>_xlfn.CONCAT(B326&amp;" "&amp;W326&amp;X326&amp;Y326&amp;Z326)</f>
        <v>PLANSEE India High Performance Materials Pvt Ltd 8033</v>
      </c>
      <c r="D326" s="16">
        <v>393</v>
      </c>
      <c r="E326" s="14" t="s">
        <v>42</v>
      </c>
      <c r="F326" s="14"/>
      <c r="G326" s="30">
        <v>41499</v>
      </c>
      <c r="H326" s="30"/>
      <c r="I326" s="30"/>
      <c r="J326" s="24">
        <v>45871</v>
      </c>
      <c r="K326" s="24">
        <v>46235</v>
      </c>
      <c r="L326" s="32">
        <v>3</v>
      </c>
      <c r="M326" s="14" t="s">
        <v>1165</v>
      </c>
      <c r="N326" s="8"/>
      <c r="O326" s="18" t="s">
        <v>1453</v>
      </c>
      <c r="P326" s="195" t="s">
        <v>1454</v>
      </c>
      <c r="Q326" s="195" t="s">
        <v>4458</v>
      </c>
      <c r="R326" s="193"/>
      <c r="S326" s="195" t="s">
        <v>275</v>
      </c>
      <c r="T326" s="195">
        <v>570016</v>
      </c>
      <c r="U326" s="195" t="s">
        <v>22</v>
      </c>
      <c r="V326" s="195" t="s">
        <v>23</v>
      </c>
      <c r="W326" s="193">
        <v>8</v>
      </c>
      <c r="X326" s="195">
        <v>0</v>
      </c>
      <c r="Y326" s="195">
        <v>3</v>
      </c>
      <c r="Z326" s="195">
        <v>3</v>
      </c>
      <c r="AA326" s="193" t="s">
        <v>4118</v>
      </c>
      <c r="AB326" s="2"/>
    </row>
    <row r="327" spans="1:28" ht="15" customHeight="1">
      <c r="A327" s="16">
        <v>326</v>
      </c>
      <c r="B327" s="14" t="s">
        <v>1455</v>
      </c>
      <c r="C327" s="14" t="str">
        <f>_xlfn.CONCAT(B327&amp;" "&amp;W327&amp;X327&amp;Y327&amp;Z327)</f>
        <v>Delphi TVS Diesel Systems Ltd. (Metring Value-with R-axis) 4031</v>
      </c>
      <c r="D327" s="16">
        <v>374</v>
      </c>
      <c r="E327" s="14" t="s">
        <v>42</v>
      </c>
      <c r="F327" s="14"/>
      <c r="G327" s="14"/>
      <c r="H327" s="14"/>
      <c r="I327" s="14"/>
      <c r="J327" s="24">
        <v>44644</v>
      </c>
      <c r="K327" s="24">
        <v>45008</v>
      </c>
      <c r="L327" s="32">
        <v>3</v>
      </c>
      <c r="M327" s="14" t="s">
        <v>509</v>
      </c>
      <c r="N327" s="14" t="s">
        <v>510</v>
      </c>
      <c r="O327" s="18" t="s">
        <v>511</v>
      </c>
      <c r="P327" s="193"/>
      <c r="Q327" s="193" t="s">
        <v>4238</v>
      </c>
      <c r="R327" s="193"/>
      <c r="S327" s="195" t="s">
        <v>353</v>
      </c>
      <c r="T327" s="195">
        <v>602105</v>
      </c>
      <c r="U327" s="195" t="s">
        <v>38</v>
      </c>
      <c r="V327" s="195" t="s">
        <v>23</v>
      </c>
      <c r="W327" s="193">
        <v>4</v>
      </c>
      <c r="X327" s="195">
        <v>0</v>
      </c>
      <c r="Y327" s="195">
        <v>3</v>
      </c>
      <c r="Z327" s="195">
        <v>1</v>
      </c>
      <c r="AA327" s="193" t="s">
        <v>4148</v>
      </c>
      <c r="AB327" s="2"/>
    </row>
    <row r="328" spans="1:28" ht="15" customHeight="1">
      <c r="A328" s="16">
        <v>327</v>
      </c>
      <c r="B328" s="14" t="s">
        <v>1456</v>
      </c>
      <c r="C328" s="14" t="str">
        <f>_xlfn.CONCAT(B328&amp;" "&amp;W328&amp;X328&amp;Y328&amp;Z328)</f>
        <v>Bit-Tul Pvt Ltd 8023</v>
      </c>
      <c r="D328" s="16">
        <v>396</v>
      </c>
      <c r="E328" s="14" t="s">
        <v>42</v>
      </c>
      <c r="F328" s="14"/>
      <c r="G328" s="30">
        <v>41519</v>
      </c>
      <c r="H328" s="30"/>
      <c r="I328" s="30"/>
      <c r="J328" s="24">
        <v>44257</v>
      </c>
      <c r="K328" s="24">
        <v>44621</v>
      </c>
      <c r="L328" s="32">
        <v>3</v>
      </c>
      <c r="M328" s="14" t="s">
        <v>1457</v>
      </c>
      <c r="N328" s="8"/>
      <c r="O328" s="18" t="s">
        <v>1458</v>
      </c>
      <c r="P328" s="193"/>
      <c r="Q328" s="193" t="s">
        <v>4459</v>
      </c>
      <c r="R328" s="193"/>
      <c r="S328" s="195" t="s">
        <v>21</v>
      </c>
      <c r="T328" s="195" t="s">
        <v>1459</v>
      </c>
      <c r="U328" s="195" t="s">
        <v>22</v>
      </c>
      <c r="V328" s="195" t="s">
        <v>23</v>
      </c>
      <c r="W328" s="193">
        <v>8</v>
      </c>
      <c r="X328" s="195">
        <v>0</v>
      </c>
      <c r="Y328" s="195">
        <v>2</v>
      </c>
      <c r="Z328" s="195">
        <v>3</v>
      </c>
      <c r="AA328" s="193" t="s">
        <v>4118</v>
      </c>
      <c r="AB328" s="2"/>
    </row>
    <row r="329" spans="1:28" ht="15" customHeight="1">
      <c r="A329" s="16">
        <v>328</v>
      </c>
      <c r="B329" s="14" t="s">
        <v>1460</v>
      </c>
      <c r="C329" s="14" t="str">
        <f>_xlfn.CONCAT(B329&amp;" "&amp;W329&amp;X329&amp;Y329&amp;Z329)</f>
        <v>Delphi TVS Diesel Systems Ltd (VCO Nozzle &amp; Needle Inspection) 4031</v>
      </c>
      <c r="D329" s="16">
        <v>398</v>
      </c>
      <c r="E329" s="14" t="s">
        <v>42</v>
      </c>
      <c r="F329" s="14"/>
      <c r="G329" s="30">
        <v>41503</v>
      </c>
      <c r="H329" s="30"/>
      <c r="I329" s="30"/>
      <c r="J329" s="24">
        <v>45744</v>
      </c>
      <c r="K329" s="24">
        <v>46108</v>
      </c>
      <c r="L329" s="32">
        <v>3</v>
      </c>
      <c r="M329" s="9" t="s">
        <v>1461</v>
      </c>
      <c r="N329" s="9"/>
      <c r="O329" s="18" t="s">
        <v>1462</v>
      </c>
      <c r="P329" s="195" t="s">
        <v>1463</v>
      </c>
      <c r="Q329" s="195" t="s">
        <v>4460</v>
      </c>
      <c r="R329" s="193"/>
      <c r="S329" s="195" t="s">
        <v>354</v>
      </c>
      <c r="T329" s="195">
        <v>602105</v>
      </c>
      <c r="U329" s="195" t="s">
        <v>38</v>
      </c>
      <c r="V329" s="195" t="s">
        <v>23</v>
      </c>
      <c r="W329" s="193">
        <v>4</v>
      </c>
      <c r="X329" s="195">
        <v>0</v>
      </c>
      <c r="Y329" s="195">
        <v>3</v>
      </c>
      <c r="Z329" s="195">
        <v>1</v>
      </c>
      <c r="AA329" s="193" t="s">
        <v>4148</v>
      </c>
      <c r="AB329" s="2"/>
    </row>
    <row r="330" spans="1:28" ht="15" customHeight="1">
      <c r="A330" s="16">
        <v>329</v>
      </c>
      <c r="B330" s="14" t="s">
        <v>1464</v>
      </c>
      <c r="C330" s="14" t="str">
        <f>_xlfn.CONCAT(B330&amp;" "&amp;W330&amp;X330&amp;Y330&amp;Z330)</f>
        <v>Techno Springs India Pvt Ltd 1161</v>
      </c>
      <c r="D330" s="16">
        <v>369</v>
      </c>
      <c r="E330" s="14" t="s">
        <v>42</v>
      </c>
      <c r="F330" s="14"/>
      <c r="G330" s="30">
        <v>41522</v>
      </c>
      <c r="H330" s="30"/>
      <c r="I330" s="30"/>
      <c r="J330" s="24">
        <v>44174</v>
      </c>
      <c r="K330" s="24">
        <v>44538</v>
      </c>
      <c r="L330" s="32">
        <v>3</v>
      </c>
      <c r="M330" s="8"/>
      <c r="N330" s="8"/>
      <c r="O330" s="19"/>
      <c r="P330" s="193"/>
      <c r="Q330" s="193" t="s">
        <v>4461</v>
      </c>
      <c r="R330" s="193"/>
      <c r="S330" s="195" t="s">
        <v>454</v>
      </c>
      <c r="T330" s="195">
        <v>121005</v>
      </c>
      <c r="U330" s="195" t="s">
        <v>429</v>
      </c>
      <c r="V330" s="195" t="s">
        <v>23</v>
      </c>
      <c r="W330" s="193">
        <v>1</v>
      </c>
      <c r="X330" s="195">
        <v>1</v>
      </c>
      <c r="Y330" s="195">
        <v>6</v>
      </c>
      <c r="Z330" s="195">
        <v>1</v>
      </c>
      <c r="AA330" s="193" t="s">
        <v>4118</v>
      </c>
      <c r="AB330" s="2"/>
    </row>
    <row r="331" spans="1:28" ht="15" customHeight="1">
      <c r="A331" s="16">
        <v>330</v>
      </c>
      <c r="B331" s="14" t="s">
        <v>1465</v>
      </c>
      <c r="C331" s="14" t="str">
        <f>_xlfn.CONCAT(B331&amp;" "&amp;W331&amp;X331&amp;Y331&amp;Z331)</f>
        <v>Saxon Fluid Sealing Devices 1114</v>
      </c>
      <c r="D331" s="16">
        <v>399</v>
      </c>
      <c r="E331" s="14" t="s">
        <v>42</v>
      </c>
      <c r="F331" s="14"/>
      <c r="G331" s="30">
        <v>41522</v>
      </c>
      <c r="H331" s="30"/>
      <c r="I331" s="30"/>
      <c r="J331" s="24"/>
      <c r="K331" s="24"/>
      <c r="L331" s="32">
        <v>3</v>
      </c>
      <c r="M331" s="14" t="s">
        <v>1466</v>
      </c>
      <c r="N331" s="8"/>
      <c r="O331" s="18" t="s">
        <v>1467</v>
      </c>
      <c r="P331" s="193"/>
      <c r="Q331" s="193" t="s">
        <v>4462</v>
      </c>
      <c r="R331" s="193"/>
      <c r="S331" s="195" t="s">
        <v>1404</v>
      </c>
      <c r="T331" s="195">
        <v>301019</v>
      </c>
      <c r="U331" s="195" t="s">
        <v>74</v>
      </c>
      <c r="V331" s="195" t="s">
        <v>23</v>
      </c>
      <c r="W331" s="193">
        <v>1</v>
      </c>
      <c r="X331" s="195">
        <v>1</v>
      </c>
      <c r="Y331" s="195">
        <v>1</v>
      </c>
      <c r="Z331" s="195">
        <v>4</v>
      </c>
      <c r="AA331" s="193" t="s">
        <v>4118</v>
      </c>
      <c r="AB331" s="2"/>
    </row>
    <row r="332" spans="1:28" ht="15" customHeight="1">
      <c r="A332" s="16">
        <v>331</v>
      </c>
      <c r="B332" s="14" t="s">
        <v>813</v>
      </c>
      <c r="C332" s="14" t="str">
        <f>_xlfn.CONCAT(B332&amp;" "&amp;W332&amp;X332&amp;Y332&amp;Z332)</f>
        <v>Titan Industries Ltd 8013</v>
      </c>
      <c r="D332" s="16">
        <v>384</v>
      </c>
      <c r="E332" s="14" t="s">
        <v>90</v>
      </c>
      <c r="F332" s="14"/>
      <c r="G332" s="30">
        <v>41524</v>
      </c>
      <c r="H332" s="30"/>
      <c r="I332" s="30"/>
      <c r="J332" s="24">
        <v>44470</v>
      </c>
      <c r="K332" s="24">
        <v>44834</v>
      </c>
      <c r="L332" s="32">
        <v>3</v>
      </c>
      <c r="M332" s="14" t="s">
        <v>1468</v>
      </c>
      <c r="N332" s="8"/>
      <c r="O332" s="18" t="s">
        <v>816</v>
      </c>
      <c r="P332" s="195" t="s">
        <v>725</v>
      </c>
      <c r="Q332" s="195" t="s">
        <v>4302</v>
      </c>
      <c r="R332" s="193"/>
      <c r="S332" s="195" t="s">
        <v>21</v>
      </c>
      <c r="T332" s="195">
        <v>562158</v>
      </c>
      <c r="U332" s="195" t="s">
        <v>22</v>
      </c>
      <c r="V332" s="195" t="s">
        <v>23</v>
      </c>
      <c r="W332" s="193">
        <v>8</v>
      </c>
      <c r="X332" s="195">
        <v>0</v>
      </c>
      <c r="Y332" s="195">
        <v>1</v>
      </c>
      <c r="Z332" s="195">
        <v>3</v>
      </c>
      <c r="AA332" s="193" t="s">
        <v>4118</v>
      </c>
      <c r="AB332" s="2"/>
    </row>
    <row r="333" spans="1:28" ht="15" customHeight="1">
      <c r="A333" s="16">
        <v>332</v>
      </c>
      <c r="B333" s="14" t="s">
        <v>1469</v>
      </c>
      <c r="C333" s="14" t="str">
        <f>_xlfn.CONCAT(B333&amp;" "&amp;W333&amp;X333&amp;Y333&amp;Z333)</f>
        <v>Schneider Electric India Pvt Ltd (Larsen &amp; Toubro Limited) Ref:H087 2431</v>
      </c>
      <c r="D333" s="16">
        <v>394</v>
      </c>
      <c r="E333" s="14" t="s">
        <v>42</v>
      </c>
      <c r="F333" s="14"/>
      <c r="G333" s="30">
        <v>41556</v>
      </c>
      <c r="H333" s="30"/>
      <c r="I333" s="30"/>
      <c r="J333" s="24">
        <v>44569</v>
      </c>
      <c r="K333" s="24">
        <v>44933</v>
      </c>
      <c r="L333" s="32">
        <v>3</v>
      </c>
      <c r="M333" s="14" t="s">
        <v>1470</v>
      </c>
      <c r="N333" s="8"/>
      <c r="O333" s="18">
        <v>9325209325</v>
      </c>
      <c r="P333" s="195" t="s">
        <v>1472</v>
      </c>
      <c r="Q333" s="195" t="s">
        <v>4463</v>
      </c>
      <c r="R333" s="195" t="s">
        <v>501</v>
      </c>
      <c r="S333" s="195" t="s">
        <v>1421</v>
      </c>
      <c r="T333" s="195">
        <v>414111</v>
      </c>
      <c r="U333" s="195" t="s">
        <v>172</v>
      </c>
      <c r="V333" s="195" t="s">
        <v>23</v>
      </c>
      <c r="W333" s="193">
        <v>2</v>
      </c>
      <c r="X333" s="195">
        <v>4</v>
      </c>
      <c r="Y333" s="195">
        <v>3</v>
      </c>
      <c r="Z333" s="195">
        <v>1</v>
      </c>
      <c r="AA333" s="193" t="s">
        <v>4151</v>
      </c>
      <c r="AB333" s="2"/>
    </row>
    <row r="334" spans="1:28" ht="15" customHeight="1">
      <c r="A334" s="16">
        <v>333</v>
      </c>
      <c r="B334" s="14" t="s">
        <v>1473</v>
      </c>
      <c r="C334" s="14" t="str">
        <f>_xlfn.CONCAT(B334&amp;" "&amp;W334&amp;X334&amp;Y334&amp;Z334)</f>
        <v>Souriau India P Ltd. (Cbe) 4131</v>
      </c>
      <c r="D334" s="16">
        <v>404</v>
      </c>
      <c r="E334" s="14" t="s">
        <v>42</v>
      </c>
      <c r="F334" s="14"/>
      <c r="G334" s="30">
        <v>41638</v>
      </c>
      <c r="H334" s="30"/>
      <c r="I334" s="30"/>
      <c r="J334" s="24">
        <v>45301</v>
      </c>
      <c r="K334" s="24">
        <v>45666</v>
      </c>
      <c r="L334" s="32">
        <v>3</v>
      </c>
      <c r="M334" s="14" t="s">
        <v>1474</v>
      </c>
      <c r="N334" s="14" t="s">
        <v>1475</v>
      </c>
      <c r="O334" s="18">
        <v>9944408421</v>
      </c>
      <c r="P334" s="195" t="s">
        <v>392</v>
      </c>
      <c r="Q334" s="195" t="s">
        <v>4464</v>
      </c>
      <c r="R334" s="193"/>
      <c r="S334" s="195" t="s">
        <v>101</v>
      </c>
      <c r="T334" s="195">
        <v>641021</v>
      </c>
      <c r="U334" s="195" t="s">
        <v>38</v>
      </c>
      <c r="V334" s="195" t="s">
        <v>23</v>
      </c>
      <c r="W334" s="193">
        <v>4</v>
      </c>
      <c r="X334" s="195">
        <v>1</v>
      </c>
      <c r="Y334" s="195">
        <v>3</v>
      </c>
      <c r="Z334" s="195">
        <v>1</v>
      </c>
      <c r="AA334" s="193" t="s">
        <v>4148</v>
      </c>
      <c r="AB334" s="2"/>
    </row>
    <row r="335" spans="1:28" ht="15" customHeight="1">
      <c r="A335" s="16">
        <v>334</v>
      </c>
      <c r="B335" s="14" t="s">
        <v>1476</v>
      </c>
      <c r="C335" s="14" t="str">
        <f>_xlfn.CONCAT(B335&amp;" "&amp;W335&amp;X335&amp;Y335&amp;Z335)</f>
        <v>Kumar Industries 4041</v>
      </c>
      <c r="D335" s="16">
        <v>403</v>
      </c>
      <c r="E335" s="14" t="s">
        <v>42</v>
      </c>
      <c r="F335" s="14"/>
      <c r="G335" s="30">
        <v>41591</v>
      </c>
      <c r="H335" s="30"/>
      <c r="I335" s="30"/>
      <c r="J335" s="24">
        <v>44538</v>
      </c>
      <c r="K335" s="24">
        <v>44902</v>
      </c>
      <c r="L335" s="32">
        <v>3</v>
      </c>
      <c r="M335" s="14" t="s">
        <v>1477</v>
      </c>
      <c r="N335" s="14" t="s">
        <v>361</v>
      </c>
      <c r="O335" s="18">
        <v>9500066380</v>
      </c>
      <c r="P335" s="195" t="s">
        <v>1478</v>
      </c>
      <c r="Q335" s="195" t="s">
        <v>4465</v>
      </c>
      <c r="R335" s="195" t="s">
        <v>62</v>
      </c>
      <c r="S335" s="195" t="s">
        <v>37</v>
      </c>
      <c r="T335" s="195">
        <v>600098</v>
      </c>
      <c r="U335" s="195" t="s">
        <v>38</v>
      </c>
      <c r="V335" s="195" t="s">
        <v>23</v>
      </c>
      <c r="W335" s="193">
        <v>4</v>
      </c>
      <c r="X335" s="195">
        <v>0</v>
      </c>
      <c r="Y335" s="195">
        <v>4</v>
      </c>
      <c r="Z335" s="195">
        <v>1</v>
      </c>
      <c r="AA335" s="193" t="s">
        <v>4148</v>
      </c>
      <c r="AB335" s="2"/>
    </row>
    <row r="336" spans="1:28" ht="15" customHeight="1">
      <c r="A336" s="16">
        <v>335</v>
      </c>
      <c r="B336" s="14" t="s">
        <v>1479</v>
      </c>
      <c r="C336" s="14" t="str">
        <f>_xlfn.CONCAT(B336&amp;" "&amp;W336&amp;X336&amp;Y336&amp;Z336)</f>
        <v>UTC Aerospace Systems 0000</v>
      </c>
      <c r="D336" s="16">
        <v>121</v>
      </c>
      <c r="E336" s="14" t="s">
        <v>90</v>
      </c>
      <c r="F336" s="14"/>
      <c r="G336" s="14"/>
      <c r="H336" s="14"/>
      <c r="I336" s="14"/>
      <c r="J336" s="24"/>
      <c r="K336" s="24"/>
      <c r="L336" s="32">
        <v>3</v>
      </c>
      <c r="M336" s="14" t="s">
        <v>1480</v>
      </c>
      <c r="N336" s="14" t="s">
        <v>1481</v>
      </c>
      <c r="O336" s="18" t="s">
        <v>1482</v>
      </c>
      <c r="P336" s="193"/>
      <c r="Q336" s="193" t="s">
        <v>4466</v>
      </c>
      <c r="R336" s="193"/>
      <c r="S336" s="193"/>
      <c r="T336" s="195">
        <v>498790</v>
      </c>
      <c r="U336" s="193" t="s">
        <v>574</v>
      </c>
      <c r="V336" s="195" t="s">
        <v>575</v>
      </c>
      <c r="W336" s="193">
        <v>0</v>
      </c>
      <c r="X336" s="195">
        <v>0</v>
      </c>
      <c r="Y336" s="195">
        <v>0</v>
      </c>
      <c r="Z336" s="195">
        <v>0</v>
      </c>
      <c r="AA336" s="193">
        <v>0</v>
      </c>
      <c r="AB336" s="2"/>
    </row>
    <row r="337" spans="1:28" ht="15" customHeight="1">
      <c r="A337" s="16">
        <v>336</v>
      </c>
      <c r="B337" s="14" t="s">
        <v>1483</v>
      </c>
      <c r="C337" s="14" t="str">
        <f>_xlfn.CONCAT(B337&amp;" "&amp;W337&amp;X337&amp;Y337&amp;Z337)</f>
        <v>West Pharmaceutical Services Shanghai Me 0000</v>
      </c>
      <c r="D337" s="16" t="s">
        <v>5222</v>
      </c>
      <c r="E337" s="14"/>
      <c r="F337" s="14"/>
      <c r="G337" s="30"/>
      <c r="H337" s="30"/>
      <c r="I337" s="30"/>
      <c r="J337" s="24"/>
      <c r="K337" s="24"/>
      <c r="L337" s="32">
        <v>3</v>
      </c>
      <c r="M337" s="14" t="s">
        <v>1484</v>
      </c>
      <c r="N337" s="8"/>
      <c r="O337" s="18" t="s">
        <v>1485</v>
      </c>
      <c r="P337" s="195" t="s">
        <v>1486</v>
      </c>
      <c r="Q337" s="195" t="s">
        <v>4467</v>
      </c>
      <c r="R337" s="195" t="s">
        <v>1487</v>
      </c>
      <c r="S337" s="193"/>
      <c r="T337" s="195">
        <v>201707</v>
      </c>
      <c r="U337" s="193" t="s">
        <v>574</v>
      </c>
      <c r="V337" s="195" t="s">
        <v>1488</v>
      </c>
      <c r="W337" s="193">
        <v>0</v>
      </c>
      <c r="X337" s="195">
        <v>0</v>
      </c>
      <c r="Y337" s="195">
        <v>0</v>
      </c>
      <c r="Z337" s="195">
        <v>0</v>
      </c>
      <c r="AA337" s="193">
        <v>0</v>
      </c>
      <c r="AB337" s="2"/>
    </row>
    <row r="338" spans="1:28" ht="15" customHeight="1">
      <c r="A338" s="16">
        <v>337</v>
      </c>
      <c r="B338" s="14" t="s">
        <v>1489</v>
      </c>
      <c r="C338" s="14" t="str">
        <f>_xlfn.CONCAT(B338&amp;" "&amp;W338&amp;X338&amp;Y338&amp;Z338)</f>
        <v>Federal Mogul Goetze (India) Ltd 8071</v>
      </c>
      <c r="D338" s="16">
        <v>406</v>
      </c>
      <c r="E338" s="14" t="s">
        <v>42</v>
      </c>
      <c r="F338" s="14"/>
      <c r="G338" s="30">
        <v>41606</v>
      </c>
      <c r="H338" s="30"/>
      <c r="I338" s="30"/>
      <c r="J338" s="24">
        <v>44461</v>
      </c>
      <c r="K338" s="24">
        <v>44825</v>
      </c>
      <c r="L338" s="32">
        <v>3</v>
      </c>
      <c r="M338" s="14" t="s">
        <v>1490</v>
      </c>
      <c r="N338" s="8"/>
      <c r="O338" s="19"/>
      <c r="P338" s="193"/>
      <c r="Q338" s="193" t="s">
        <v>4468</v>
      </c>
      <c r="R338" s="193"/>
      <c r="S338" s="195" t="s">
        <v>21</v>
      </c>
      <c r="T338" s="195">
        <v>560064</v>
      </c>
      <c r="U338" s="195" t="s">
        <v>22</v>
      </c>
      <c r="V338" s="195" t="s">
        <v>23</v>
      </c>
      <c r="W338" s="193">
        <v>8</v>
      </c>
      <c r="X338" s="195">
        <v>0</v>
      </c>
      <c r="Y338" s="195">
        <v>7</v>
      </c>
      <c r="Z338" s="195">
        <v>1</v>
      </c>
      <c r="AA338" s="193" t="s">
        <v>4118</v>
      </c>
      <c r="AB338" s="2"/>
    </row>
    <row r="339" spans="1:28" ht="15" customHeight="1">
      <c r="A339" s="16">
        <v>338</v>
      </c>
      <c r="B339" s="14" t="s">
        <v>1491</v>
      </c>
      <c r="C339" s="14" t="str">
        <f>_xlfn.CONCAT(B339&amp;" "&amp;W339&amp;X339&amp;Y339&amp;Z339)</f>
        <v>Maxeff Engg (Industrial Enginnering Syndicate) 2113</v>
      </c>
      <c r="D339" s="16">
        <v>402</v>
      </c>
      <c r="E339" s="14" t="s">
        <v>42</v>
      </c>
      <c r="F339" s="14"/>
      <c r="G339" s="30">
        <v>41600</v>
      </c>
      <c r="H339" s="30"/>
      <c r="I339" s="30"/>
      <c r="J339" s="24">
        <v>44522</v>
      </c>
      <c r="K339" s="24">
        <v>44886</v>
      </c>
      <c r="L339" s="32">
        <v>3</v>
      </c>
      <c r="M339" s="14" t="s">
        <v>1492</v>
      </c>
      <c r="N339" s="8"/>
      <c r="O339" s="18" t="s">
        <v>1493</v>
      </c>
      <c r="P339" s="195" t="s">
        <v>1494</v>
      </c>
      <c r="Q339" s="195" t="s">
        <v>4469</v>
      </c>
      <c r="R339" s="195" t="s">
        <v>1495</v>
      </c>
      <c r="S339" s="195" t="s">
        <v>1288</v>
      </c>
      <c r="T339" s="195" t="s">
        <v>1496</v>
      </c>
      <c r="U339" s="195" t="s">
        <v>172</v>
      </c>
      <c r="V339" s="195" t="s">
        <v>23</v>
      </c>
      <c r="W339" s="193">
        <v>2</v>
      </c>
      <c r="X339" s="195">
        <v>1</v>
      </c>
      <c r="Y339" s="195">
        <v>1</v>
      </c>
      <c r="Z339" s="195">
        <v>3</v>
      </c>
      <c r="AA339" s="193" t="s">
        <v>4118</v>
      </c>
      <c r="AB339" s="2"/>
    </row>
    <row r="340" spans="1:28" ht="15" customHeight="1">
      <c r="A340" s="16">
        <v>339</v>
      </c>
      <c r="B340" s="14" t="s">
        <v>1497</v>
      </c>
      <c r="C340" s="14" t="str">
        <f>_xlfn.CONCAT(B340&amp;" "&amp;W340&amp;X340&amp;Y340&amp;Z340)</f>
        <v>Renata Precision Components Pvt Ltd 2411</v>
      </c>
      <c r="D340" s="16">
        <v>357</v>
      </c>
      <c r="E340" s="14" t="s">
        <v>42</v>
      </c>
      <c r="F340" s="14"/>
      <c r="G340" s="30">
        <v>41611</v>
      </c>
      <c r="H340" s="30"/>
      <c r="I340" s="30"/>
      <c r="J340" s="24">
        <v>44575</v>
      </c>
      <c r="K340" s="24">
        <v>44939</v>
      </c>
      <c r="L340" s="32">
        <v>3</v>
      </c>
      <c r="M340" s="14" t="s">
        <v>1498</v>
      </c>
      <c r="N340" s="14" t="s">
        <v>1499</v>
      </c>
      <c r="O340" s="18" t="s">
        <v>1500</v>
      </c>
      <c r="P340" s="195" t="s">
        <v>1501</v>
      </c>
      <c r="Q340" s="195" t="s">
        <v>4470</v>
      </c>
      <c r="R340" s="195" t="s">
        <v>214</v>
      </c>
      <c r="S340" s="195" t="s">
        <v>215</v>
      </c>
      <c r="T340" s="195">
        <v>411026</v>
      </c>
      <c r="U340" s="195" t="s">
        <v>172</v>
      </c>
      <c r="V340" s="195" t="s">
        <v>23</v>
      </c>
      <c r="W340" s="193">
        <v>2</v>
      </c>
      <c r="X340" s="195">
        <v>4</v>
      </c>
      <c r="Y340" s="195">
        <v>1</v>
      </c>
      <c r="Z340" s="195">
        <v>1</v>
      </c>
      <c r="AA340" s="193" t="s">
        <v>4150</v>
      </c>
      <c r="AB340" s="2"/>
    </row>
    <row r="341" spans="1:28" ht="15" customHeight="1">
      <c r="A341" s="16">
        <v>340</v>
      </c>
      <c r="B341" s="14" t="s">
        <v>1502</v>
      </c>
      <c r="C341" s="14" t="str">
        <f>_xlfn.CONCAT(B341&amp;" "&amp;W341&amp;X341&amp;Y341&amp;Z341)</f>
        <v>AO Smith India Water Heating Pvt Ltd 8022</v>
      </c>
      <c r="D341" s="16">
        <v>370</v>
      </c>
      <c r="E341" s="14" t="s">
        <v>42</v>
      </c>
      <c r="F341" s="14"/>
      <c r="G341" s="30">
        <v>41360</v>
      </c>
      <c r="H341" s="30"/>
      <c r="I341" s="30"/>
      <c r="J341" s="24">
        <v>44564</v>
      </c>
      <c r="K341" s="24">
        <v>44928</v>
      </c>
      <c r="L341" s="32">
        <v>3</v>
      </c>
      <c r="M341" s="14" t="s">
        <v>1503</v>
      </c>
      <c r="N341" s="14" t="s">
        <v>1155</v>
      </c>
      <c r="O341" s="18" t="s">
        <v>1504</v>
      </c>
      <c r="P341" s="195" t="s">
        <v>1505</v>
      </c>
      <c r="Q341" s="195" t="s">
        <v>4471</v>
      </c>
      <c r="R341" s="195" t="s">
        <v>1506</v>
      </c>
      <c r="S341" s="195" t="s">
        <v>1269</v>
      </c>
      <c r="T341" s="195">
        <v>562112</v>
      </c>
      <c r="U341" s="195" t="s">
        <v>22</v>
      </c>
      <c r="V341" s="195" t="s">
        <v>23</v>
      </c>
      <c r="W341" s="193">
        <v>8</v>
      </c>
      <c r="X341" s="195">
        <v>0</v>
      </c>
      <c r="Y341" s="195">
        <v>2</v>
      </c>
      <c r="Z341" s="195">
        <v>2</v>
      </c>
      <c r="AA341" s="193" t="s">
        <v>4118</v>
      </c>
      <c r="AB341" s="2"/>
    </row>
    <row r="342" spans="1:28" ht="15" customHeight="1">
      <c r="A342" s="16">
        <v>341</v>
      </c>
      <c r="B342" s="14" t="s">
        <v>1023</v>
      </c>
      <c r="C342" s="14" t="str">
        <f>_xlfn.CONCAT(B342&amp;" "&amp;W342&amp;X342&amp;Y342&amp;Z342)</f>
        <v>Napino Auto &amp; Electronics Ltd 1042</v>
      </c>
      <c r="D342" s="16">
        <v>405</v>
      </c>
      <c r="E342" s="14" t="s">
        <v>42</v>
      </c>
      <c r="F342" s="14"/>
      <c r="G342" s="30">
        <v>41618</v>
      </c>
      <c r="H342" s="30"/>
      <c r="I342" s="30"/>
      <c r="J342" s="24">
        <v>44426</v>
      </c>
      <c r="K342" s="24">
        <v>44790</v>
      </c>
      <c r="L342" s="32">
        <v>3</v>
      </c>
      <c r="M342" s="8"/>
      <c r="N342" s="8"/>
      <c r="O342" s="19"/>
      <c r="P342" s="195" t="s">
        <v>1507</v>
      </c>
      <c r="Q342" s="195" t="s">
        <v>4472</v>
      </c>
      <c r="R342" s="195" t="s">
        <v>1508</v>
      </c>
      <c r="S342" s="195" t="s">
        <v>835</v>
      </c>
      <c r="T342" s="195">
        <v>249407</v>
      </c>
      <c r="U342" s="195" t="s">
        <v>836</v>
      </c>
      <c r="V342" s="195" t="s">
        <v>23</v>
      </c>
      <c r="W342" s="193">
        <v>1</v>
      </c>
      <c r="X342" s="195">
        <v>0</v>
      </c>
      <c r="Y342" s="195">
        <v>4</v>
      </c>
      <c r="Z342" s="195">
        <v>2</v>
      </c>
      <c r="AA342" s="193" t="s">
        <v>4118</v>
      </c>
      <c r="AB342" s="2"/>
    </row>
    <row r="343" spans="1:28" ht="15" customHeight="1">
      <c r="A343" s="16">
        <v>342</v>
      </c>
      <c r="B343" s="14" t="s">
        <v>1509</v>
      </c>
      <c r="C343" s="14" t="str">
        <f>_xlfn.CONCAT(B343&amp;" "&amp;W343&amp;X343&amp;Y343&amp;Z343)</f>
        <v>SS Technologies (Gera Auto Industries Pvt Ltd) 8051</v>
      </c>
      <c r="D343" s="16">
        <v>355</v>
      </c>
      <c r="E343" s="14" t="s">
        <v>90</v>
      </c>
      <c r="F343" s="14"/>
      <c r="G343" s="30">
        <v>41678</v>
      </c>
      <c r="H343" s="30"/>
      <c r="I343" s="30"/>
      <c r="J343" s="24">
        <v>44530</v>
      </c>
      <c r="K343" s="24">
        <v>44894</v>
      </c>
      <c r="L343" s="32">
        <v>3</v>
      </c>
      <c r="M343" s="14" t="s">
        <v>1510</v>
      </c>
      <c r="N343" s="8"/>
      <c r="O343" s="18">
        <v>9844107555</v>
      </c>
      <c r="P343" s="15" t="s">
        <v>1511</v>
      </c>
      <c r="Q343" s="15" t="s">
        <v>4473</v>
      </c>
      <c r="R343" s="15" t="s">
        <v>1512</v>
      </c>
      <c r="S343" s="195" t="s">
        <v>21</v>
      </c>
      <c r="T343" s="195">
        <v>560058</v>
      </c>
      <c r="U343" s="195" t="s">
        <v>22</v>
      </c>
      <c r="V343" s="195" t="s">
        <v>23</v>
      </c>
      <c r="W343" s="193">
        <v>8</v>
      </c>
      <c r="X343" s="195">
        <v>0</v>
      </c>
      <c r="Y343" s="195">
        <v>5</v>
      </c>
      <c r="Z343" s="195">
        <v>1</v>
      </c>
      <c r="AA343" s="193" t="s">
        <v>4118</v>
      </c>
      <c r="AB343" s="2"/>
    </row>
    <row r="344" spans="1:28" ht="15" customHeight="1">
      <c r="A344" s="16">
        <v>343</v>
      </c>
      <c r="B344" s="14" t="s">
        <v>1513</v>
      </c>
      <c r="C344" s="14" t="str">
        <f>_xlfn.CONCAT(B344&amp;" "&amp;W344&amp;X344&amp;Y344&amp;Z344)</f>
        <v>Colgate Palmolive India Ltd 2114</v>
      </c>
      <c r="D344" s="16">
        <v>408</v>
      </c>
      <c r="E344" s="14" t="s">
        <v>42</v>
      </c>
      <c r="F344" s="14"/>
      <c r="G344" s="30">
        <v>41661</v>
      </c>
      <c r="H344" s="30"/>
      <c r="I344" s="30"/>
      <c r="J344" s="24"/>
      <c r="K344" s="24"/>
      <c r="L344" s="32">
        <v>3</v>
      </c>
      <c r="M344" s="9" t="s">
        <v>1514</v>
      </c>
      <c r="N344" s="9"/>
      <c r="O344" s="18">
        <v>9820652195</v>
      </c>
      <c r="P344" s="193"/>
      <c r="Q344" s="193" t="s">
        <v>4474</v>
      </c>
      <c r="R344" s="193"/>
      <c r="S344" s="195" t="s">
        <v>221</v>
      </c>
      <c r="T344" s="195">
        <v>400086</v>
      </c>
      <c r="U344" s="195" t="s">
        <v>172</v>
      </c>
      <c r="V344" s="195" t="s">
        <v>23</v>
      </c>
      <c r="W344" s="193">
        <v>2</v>
      </c>
      <c r="X344" s="195">
        <v>1</v>
      </c>
      <c r="Y344" s="195">
        <v>1</v>
      </c>
      <c r="Z344" s="195">
        <v>4</v>
      </c>
      <c r="AA344" s="193" t="s">
        <v>4148</v>
      </c>
      <c r="AB344" s="2"/>
    </row>
    <row r="345" spans="1:28" ht="15" customHeight="1">
      <c r="A345" s="16">
        <v>344</v>
      </c>
      <c r="B345" s="14" t="s">
        <v>1516</v>
      </c>
      <c r="C345" s="14" t="str">
        <f>_xlfn.CONCAT(B345&amp;" "&amp;W345&amp;X345&amp;Y345&amp;Z345)</f>
        <v>Lakshmi Ring Travellers (Coimbatore) Ltd 4112</v>
      </c>
      <c r="D345" s="16">
        <v>412</v>
      </c>
      <c r="E345" s="14" t="s">
        <v>42</v>
      </c>
      <c r="F345" s="14"/>
      <c r="G345" s="30">
        <v>41690</v>
      </c>
      <c r="H345" s="30"/>
      <c r="I345" s="30"/>
      <c r="J345" s="24">
        <v>44476</v>
      </c>
      <c r="K345" s="24">
        <v>44840</v>
      </c>
      <c r="L345" s="32">
        <v>3</v>
      </c>
      <c r="M345" s="8"/>
      <c r="N345" s="8"/>
      <c r="O345" s="19"/>
      <c r="P345" s="195" t="s">
        <v>1517</v>
      </c>
      <c r="Q345" s="195" t="s">
        <v>4475</v>
      </c>
      <c r="R345" s="193"/>
      <c r="S345" s="195" t="s">
        <v>101</v>
      </c>
      <c r="T345" s="195">
        <v>641402</v>
      </c>
      <c r="U345" s="195" t="s">
        <v>38</v>
      </c>
      <c r="V345" s="195" t="s">
        <v>23</v>
      </c>
      <c r="W345" s="193">
        <v>4</v>
      </c>
      <c r="X345" s="195">
        <v>1</v>
      </c>
      <c r="Y345" s="195">
        <v>1</v>
      </c>
      <c r="Z345" s="195">
        <v>2</v>
      </c>
      <c r="AA345" s="193" t="s">
        <v>4148</v>
      </c>
      <c r="AB345" s="2"/>
    </row>
    <row r="346" spans="1:28" ht="15" customHeight="1">
      <c r="A346" s="16">
        <v>345</v>
      </c>
      <c r="B346" s="14" t="s">
        <v>1518</v>
      </c>
      <c r="C346" s="14" t="str">
        <f>_xlfn.CONCAT(B346&amp;" "&amp;W346&amp;X346&amp;Y346&amp;Z346)</f>
        <v>Pointec Pens &amp; Energy Pvt Ltd 8012</v>
      </c>
      <c r="D346" s="16">
        <v>332</v>
      </c>
      <c r="E346" s="14" t="s">
        <v>42</v>
      </c>
      <c r="F346" s="14"/>
      <c r="G346" s="30">
        <v>41727</v>
      </c>
      <c r="H346" s="30"/>
      <c r="I346" s="30"/>
      <c r="J346" s="24">
        <v>43703</v>
      </c>
      <c r="K346" s="24">
        <v>44068</v>
      </c>
      <c r="L346" s="32">
        <v>3</v>
      </c>
      <c r="M346" s="14" t="s">
        <v>1519</v>
      </c>
      <c r="N346" s="8"/>
      <c r="O346" s="19"/>
      <c r="P346" s="195" t="s">
        <v>1091</v>
      </c>
      <c r="Q346" s="195" t="s">
        <v>4476</v>
      </c>
      <c r="R346" s="193"/>
      <c r="S346" s="195" t="s">
        <v>21</v>
      </c>
      <c r="T346" s="195">
        <v>562107</v>
      </c>
      <c r="U346" s="195" t="s">
        <v>22</v>
      </c>
      <c r="V346" s="195" t="s">
        <v>23</v>
      </c>
      <c r="W346" s="193">
        <v>8</v>
      </c>
      <c r="X346" s="195">
        <v>0</v>
      </c>
      <c r="Y346" s="195">
        <v>1</v>
      </c>
      <c r="Z346" s="195">
        <v>2</v>
      </c>
      <c r="AA346" s="193" t="s">
        <v>4118</v>
      </c>
      <c r="AB346" s="2"/>
    </row>
    <row r="347" spans="1:28" ht="15" customHeight="1">
      <c r="A347" s="16">
        <v>346</v>
      </c>
      <c r="B347" s="14" t="s">
        <v>1520</v>
      </c>
      <c r="C347" s="14" t="str">
        <f>_xlfn.CONCAT(B347&amp;" "&amp;W347&amp;X347&amp;Y347&amp;Z347)</f>
        <v>Cadd Pro Tooling 8051</v>
      </c>
      <c r="D347" s="16" t="s">
        <v>5222</v>
      </c>
      <c r="E347" s="14" t="s">
        <v>42</v>
      </c>
      <c r="F347" s="14"/>
      <c r="G347" s="30">
        <v>41678</v>
      </c>
      <c r="H347" s="30"/>
      <c r="I347" s="30"/>
      <c r="J347" s="24"/>
      <c r="K347" s="24"/>
      <c r="L347" s="32">
        <v>3</v>
      </c>
      <c r="M347" s="14" t="s">
        <v>1521</v>
      </c>
      <c r="N347" s="14" t="s">
        <v>151</v>
      </c>
      <c r="O347" s="18">
        <v>9448093417</v>
      </c>
      <c r="P347" s="195" t="s">
        <v>1522</v>
      </c>
      <c r="Q347" s="195" t="s">
        <v>4477</v>
      </c>
      <c r="R347" s="195" t="s">
        <v>154</v>
      </c>
      <c r="S347" s="195" t="s">
        <v>21</v>
      </c>
      <c r="T347" s="195">
        <v>560058</v>
      </c>
      <c r="U347" s="195" t="s">
        <v>22</v>
      </c>
      <c r="V347" s="195" t="s">
        <v>23</v>
      </c>
      <c r="W347" s="193">
        <v>8</v>
      </c>
      <c r="X347" s="195">
        <v>0</v>
      </c>
      <c r="Y347" s="195">
        <v>5</v>
      </c>
      <c r="Z347" s="195">
        <v>1</v>
      </c>
      <c r="AA347" s="193" t="s">
        <v>4118</v>
      </c>
      <c r="AB347" s="2"/>
    </row>
    <row r="348" spans="1:28" ht="15" customHeight="1">
      <c r="A348" s="16">
        <v>347</v>
      </c>
      <c r="B348" s="14" t="s">
        <v>1523</v>
      </c>
      <c r="C348" s="14" t="str">
        <f>_xlfn.CONCAT(B348&amp;" "&amp;W348&amp;X348&amp;Y348&amp;Z348)</f>
        <v>Star Engineers (I) Pvt Ltd 2421</v>
      </c>
      <c r="D348" s="16">
        <v>411</v>
      </c>
      <c r="E348" s="14" t="s">
        <v>42</v>
      </c>
      <c r="F348" s="14"/>
      <c r="G348" s="30">
        <v>41691</v>
      </c>
      <c r="H348" s="30"/>
      <c r="I348" s="30"/>
      <c r="J348" s="24">
        <v>44280</v>
      </c>
      <c r="K348" s="24">
        <v>45009</v>
      </c>
      <c r="L348" s="32">
        <v>3</v>
      </c>
      <c r="M348" s="14" t="s">
        <v>1524</v>
      </c>
      <c r="N348" s="8"/>
      <c r="O348" s="18">
        <v>8605085828</v>
      </c>
      <c r="P348" s="195" t="s">
        <v>1525</v>
      </c>
      <c r="Q348" s="195" t="s">
        <v>4478</v>
      </c>
      <c r="R348" s="193"/>
      <c r="S348" s="195" t="s">
        <v>215</v>
      </c>
      <c r="T348" s="195">
        <v>412114</v>
      </c>
      <c r="U348" s="195" t="s">
        <v>172</v>
      </c>
      <c r="V348" s="195" t="s">
        <v>23</v>
      </c>
      <c r="W348" s="193">
        <v>2</v>
      </c>
      <c r="X348" s="195">
        <v>4</v>
      </c>
      <c r="Y348" s="195">
        <v>2</v>
      </c>
      <c r="Z348" s="195">
        <v>1</v>
      </c>
      <c r="AA348" s="193" t="s">
        <v>4151</v>
      </c>
      <c r="AB348" s="2"/>
    </row>
    <row r="349" spans="1:28" ht="15" customHeight="1">
      <c r="A349" s="16">
        <v>348</v>
      </c>
      <c r="B349" s="14" t="s">
        <v>282</v>
      </c>
      <c r="C349" s="14" t="str">
        <f>_xlfn.CONCAT(B349&amp;" "&amp;W349&amp;X349&amp;Y349&amp;Z349)</f>
        <v>Stumpp Schuele &amp; Somappa Springs Pvt Ltd 1122</v>
      </c>
      <c r="D349" s="16">
        <v>416</v>
      </c>
      <c r="E349" s="14" t="s">
        <v>42</v>
      </c>
      <c r="F349" s="14"/>
      <c r="G349" s="30">
        <v>41711</v>
      </c>
      <c r="H349" s="30"/>
      <c r="I349" s="30"/>
      <c r="J349" s="24">
        <v>44443</v>
      </c>
      <c r="K349" s="24">
        <v>44807</v>
      </c>
      <c r="L349" s="32">
        <v>3</v>
      </c>
      <c r="M349" s="14" t="s">
        <v>1526</v>
      </c>
      <c r="N349" s="8"/>
      <c r="O349" s="18">
        <v>9992508005</v>
      </c>
      <c r="P349" s="195" t="s">
        <v>1527</v>
      </c>
      <c r="Q349" s="195" t="s">
        <v>4479</v>
      </c>
      <c r="R349" s="193"/>
      <c r="S349" s="195" t="s">
        <v>1528</v>
      </c>
      <c r="T349" s="195">
        <v>122103</v>
      </c>
      <c r="U349" s="195" t="s">
        <v>429</v>
      </c>
      <c r="V349" s="195" t="s">
        <v>23</v>
      </c>
      <c r="W349" s="193">
        <v>1</v>
      </c>
      <c r="X349" s="195">
        <v>1</v>
      </c>
      <c r="Y349" s="195">
        <v>2</v>
      </c>
      <c r="Z349" s="195">
        <v>2</v>
      </c>
      <c r="AA349" s="193" t="s">
        <v>4118</v>
      </c>
      <c r="AB349" s="2"/>
    </row>
    <row r="350" spans="1:28" ht="15" customHeight="1">
      <c r="A350" s="16">
        <v>349</v>
      </c>
      <c r="B350" s="14" t="s">
        <v>1530</v>
      </c>
      <c r="C350" s="14" t="str">
        <f>_xlfn.CONCAT(B350&amp;" "&amp;W350&amp;X350&amp;Y350&amp;Z350)</f>
        <v>Senor Metal Pvt Ltd 5401</v>
      </c>
      <c r="D350" s="16">
        <v>422</v>
      </c>
      <c r="E350" s="14" t="s">
        <v>42</v>
      </c>
      <c r="F350" s="14"/>
      <c r="G350" s="30">
        <v>41711</v>
      </c>
      <c r="H350" s="30"/>
      <c r="I350" s="30"/>
      <c r="J350" s="24">
        <v>46006</v>
      </c>
      <c r="K350" s="24">
        <v>46370</v>
      </c>
      <c r="L350" s="32">
        <v>3</v>
      </c>
      <c r="M350" s="8"/>
      <c r="N350" s="8"/>
      <c r="O350" s="19"/>
      <c r="P350" s="195" t="s">
        <v>1531</v>
      </c>
      <c r="Q350" s="195" t="s">
        <v>4480</v>
      </c>
      <c r="R350" s="195" t="s">
        <v>570</v>
      </c>
      <c r="S350" s="195" t="s">
        <v>571</v>
      </c>
      <c r="T350" s="195">
        <v>361004</v>
      </c>
      <c r="U350" s="195" t="s">
        <v>144</v>
      </c>
      <c r="V350" s="195" t="s">
        <v>23</v>
      </c>
      <c r="W350" s="193">
        <v>5</v>
      </c>
      <c r="X350" s="195">
        <v>4</v>
      </c>
      <c r="Y350" s="195">
        <v>0</v>
      </c>
      <c r="Z350" s="195">
        <v>1</v>
      </c>
      <c r="AA350" s="193" t="s">
        <v>4137</v>
      </c>
      <c r="AB350" s="2"/>
    </row>
    <row r="351" spans="1:28" ht="15" customHeight="1">
      <c r="A351" s="16">
        <v>350</v>
      </c>
      <c r="B351" s="14" t="s">
        <v>1532</v>
      </c>
      <c r="C351" s="14" t="str">
        <f>_xlfn.CONCAT(B351&amp;" "&amp;W351&amp;X351&amp;Y351&amp;Z351)</f>
        <v>Accurate Springs Pvt Ltd 4021</v>
      </c>
      <c r="D351" s="16">
        <v>417</v>
      </c>
      <c r="E351" s="14" t="s">
        <v>42</v>
      </c>
      <c r="F351" s="14"/>
      <c r="G351" s="30">
        <v>41715</v>
      </c>
      <c r="H351" s="30"/>
      <c r="I351" s="30"/>
      <c r="J351" s="24"/>
      <c r="K351" s="24"/>
      <c r="L351" s="32">
        <v>3</v>
      </c>
      <c r="M351" s="8"/>
      <c r="N351" s="8"/>
      <c r="O351" s="18" t="s">
        <v>1533</v>
      </c>
      <c r="P351" s="195" t="s">
        <v>203</v>
      </c>
      <c r="Q351" s="195" t="s">
        <v>4481</v>
      </c>
      <c r="R351" s="193"/>
      <c r="S351" s="195" t="s">
        <v>37</v>
      </c>
      <c r="T351" s="195">
        <v>600116</v>
      </c>
      <c r="U351" s="195" t="s">
        <v>38</v>
      </c>
      <c r="V351" s="195" t="s">
        <v>23</v>
      </c>
      <c r="W351" s="193">
        <v>4</v>
      </c>
      <c r="X351" s="195">
        <v>0</v>
      </c>
      <c r="Y351" s="195">
        <v>2</v>
      </c>
      <c r="Z351" s="195">
        <v>1</v>
      </c>
      <c r="AA351" s="193" t="s">
        <v>4148</v>
      </c>
      <c r="AB351" s="2"/>
    </row>
    <row r="352" spans="1:28" ht="15" customHeight="1">
      <c r="A352" s="16">
        <v>351</v>
      </c>
      <c r="B352" s="14" t="s">
        <v>1534</v>
      </c>
      <c r="C352" s="14" t="str">
        <f>_xlfn.CONCAT(B352&amp;" "&amp;W352&amp;X352&amp;Y352&amp;Z352)</f>
        <v>Spectrum Electrical Industries Ltd 2010</v>
      </c>
      <c r="D352" s="16">
        <v>420</v>
      </c>
      <c r="E352" s="14" t="s">
        <v>42</v>
      </c>
      <c r="F352" s="14"/>
      <c r="G352" s="30">
        <v>41722</v>
      </c>
      <c r="H352" s="30"/>
      <c r="I352" s="30"/>
      <c r="J352" s="24">
        <v>44258</v>
      </c>
      <c r="K352" s="24">
        <v>44987</v>
      </c>
      <c r="L352" s="32">
        <v>3</v>
      </c>
      <c r="M352" s="9" t="s">
        <v>1535</v>
      </c>
      <c r="N352" s="9"/>
      <c r="O352" s="18">
        <v>9923694422</v>
      </c>
      <c r="P352" s="193" t="s">
        <v>1536</v>
      </c>
      <c r="Q352" s="193" t="s">
        <v>4482</v>
      </c>
      <c r="R352" s="193"/>
      <c r="S352" s="195" t="s">
        <v>1410</v>
      </c>
      <c r="T352" s="195">
        <v>425003</v>
      </c>
      <c r="U352" s="195" t="s">
        <v>172</v>
      </c>
      <c r="V352" s="195" t="s">
        <v>23</v>
      </c>
      <c r="W352" s="193">
        <v>2</v>
      </c>
      <c r="X352" s="195">
        <v>0</v>
      </c>
      <c r="Y352" s="195">
        <v>1</v>
      </c>
      <c r="Z352" s="195">
        <v>0</v>
      </c>
      <c r="AA352" s="193" t="s">
        <v>4118</v>
      </c>
      <c r="AB352" s="2"/>
    </row>
    <row r="353" spans="1:28" ht="15" customHeight="1">
      <c r="A353" s="16">
        <v>352</v>
      </c>
      <c r="B353" s="14" t="s">
        <v>1534</v>
      </c>
      <c r="C353" s="14" t="str">
        <f>_xlfn.CONCAT(B353&amp;" "&amp;W353&amp;X353&amp;Y353&amp;Z353)</f>
        <v>Spectrum Electrical Industries Ltd 2010</v>
      </c>
      <c r="D353" s="16">
        <v>421</v>
      </c>
      <c r="E353" s="14" t="s">
        <v>42</v>
      </c>
      <c r="F353" s="14"/>
      <c r="G353" s="30">
        <v>41722</v>
      </c>
      <c r="H353" s="30"/>
      <c r="I353" s="30"/>
      <c r="J353" s="24">
        <v>44258</v>
      </c>
      <c r="K353" s="24">
        <v>44987</v>
      </c>
      <c r="L353" s="32">
        <v>3</v>
      </c>
      <c r="M353" s="14" t="s">
        <v>1537</v>
      </c>
      <c r="N353" s="14" t="s">
        <v>71</v>
      </c>
      <c r="O353" s="18">
        <v>9422207442</v>
      </c>
      <c r="P353" s="193"/>
      <c r="Q353" s="193" t="s">
        <v>4483</v>
      </c>
      <c r="R353" s="193"/>
      <c r="S353" s="195" t="s">
        <v>1410</v>
      </c>
      <c r="T353" s="195">
        <v>425003</v>
      </c>
      <c r="U353" s="195" t="s">
        <v>172</v>
      </c>
      <c r="V353" s="195" t="s">
        <v>23</v>
      </c>
      <c r="W353" s="193">
        <v>2</v>
      </c>
      <c r="X353" s="195">
        <v>0</v>
      </c>
      <c r="Y353" s="195">
        <v>1</v>
      </c>
      <c r="Z353" s="195">
        <v>0</v>
      </c>
      <c r="AA353" s="193" t="s">
        <v>4118</v>
      </c>
      <c r="AB353" s="2"/>
    </row>
    <row r="354" spans="1:28" ht="15" customHeight="1">
      <c r="A354" s="16">
        <v>353</v>
      </c>
      <c r="B354" s="14" t="s">
        <v>1538</v>
      </c>
      <c r="C354" s="14" t="str">
        <f>_xlfn.CONCAT(B354&amp;" "&amp;W354&amp;X354&amp;Y354&amp;Z354)</f>
        <v>Sri Acme Industries 8081</v>
      </c>
      <c r="D354" s="16" t="s">
        <v>5222</v>
      </c>
      <c r="E354" s="14" t="s">
        <v>42</v>
      </c>
      <c r="F354" s="14"/>
      <c r="G354" s="30">
        <v>41729</v>
      </c>
      <c r="H354" s="30"/>
      <c r="I354" s="30"/>
      <c r="J354" s="24"/>
      <c r="K354" s="24"/>
      <c r="L354" s="32">
        <v>3</v>
      </c>
      <c r="M354" s="14" t="s">
        <v>1539</v>
      </c>
      <c r="N354" s="14" t="s">
        <v>151</v>
      </c>
      <c r="O354" s="18" t="s">
        <v>1540</v>
      </c>
      <c r="P354" s="195" t="s">
        <v>1541</v>
      </c>
      <c r="Q354" s="195" t="s">
        <v>4484</v>
      </c>
      <c r="R354" s="195" t="s">
        <v>398</v>
      </c>
      <c r="S354" s="195" t="s">
        <v>21</v>
      </c>
      <c r="T354" s="195">
        <v>560048</v>
      </c>
      <c r="U354" s="195" t="s">
        <v>22</v>
      </c>
      <c r="V354" s="195" t="s">
        <v>23</v>
      </c>
      <c r="W354" s="193">
        <v>8</v>
      </c>
      <c r="X354" s="195">
        <v>0</v>
      </c>
      <c r="Y354" s="195">
        <v>8</v>
      </c>
      <c r="Z354" s="195">
        <v>1</v>
      </c>
      <c r="AA354" s="193" t="s">
        <v>4118</v>
      </c>
      <c r="AB354" s="2"/>
    </row>
    <row r="355" spans="1:28" ht="15" customHeight="1">
      <c r="A355" s="16">
        <v>354</v>
      </c>
      <c r="B355" s="14" t="s">
        <v>1523</v>
      </c>
      <c r="C355" s="14" t="str">
        <f>_xlfn.CONCAT(B355&amp;" "&amp;W355&amp;X355&amp;Y355&amp;Z355)</f>
        <v>Star Engineers (I) Pvt Ltd 2421</v>
      </c>
      <c r="D355" s="16">
        <v>414</v>
      </c>
      <c r="E355" s="14" t="s">
        <v>42</v>
      </c>
      <c r="F355" s="14"/>
      <c r="G355" s="30">
        <v>41722</v>
      </c>
      <c r="H355" s="30"/>
      <c r="I355" s="30"/>
      <c r="J355" s="24">
        <v>44144</v>
      </c>
      <c r="K355" s="24">
        <v>44508</v>
      </c>
      <c r="L355" s="32">
        <v>3</v>
      </c>
      <c r="M355" s="14" t="s">
        <v>1524</v>
      </c>
      <c r="N355" s="8"/>
      <c r="O355" s="18">
        <v>8605085828</v>
      </c>
      <c r="P355" s="195" t="s">
        <v>1525</v>
      </c>
      <c r="Q355" s="195" t="s">
        <v>4478</v>
      </c>
      <c r="R355" s="193"/>
      <c r="S355" s="195" t="s">
        <v>215</v>
      </c>
      <c r="T355" s="195">
        <v>412114</v>
      </c>
      <c r="U355" s="195" t="s">
        <v>172</v>
      </c>
      <c r="V355" s="195" t="s">
        <v>23</v>
      </c>
      <c r="W355" s="193">
        <v>2</v>
      </c>
      <c r="X355" s="195">
        <v>4</v>
      </c>
      <c r="Y355" s="195">
        <v>2</v>
      </c>
      <c r="Z355" s="195">
        <v>1</v>
      </c>
      <c r="AA355" s="193" t="s">
        <v>4151</v>
      </c>
      <c r="AB355" s="2"/>
    </row>
    <row r="356" spans="1:28" ht="15" customHeight="1">
      <c r="A356" s="16">
        <v>355</v>
      </c>
      <c r="B356" s="14" t="s">
        <v>1542</v>
      </c>
      <c r="C356" s="14" t="str">
        <f>_xlfn.CONCAT(B356&amp;" "&amp;W356&amp;X356&amp;Y356&amp;Z356)</f>
        <v>Care Group India 5112</v>
      </c>
      <c r="D356" s="16">
        <v>407</v>
      </c>
      <c r="E356" s="14" t="s">
        <v>42</v>
      </c>
      <c r="F356" s="14"/>
      <c r="G356" s="30">
        <v>41724</v>
      </c>
      <c r="H356" s="30"/>
      <c r="I356" s="30"/>
      <c r="J356" s="24"/>
      <c r="K356" s="24"/>
      <c r="L356" s="32">
        <v>3</v>
      </c>
      <c r="M356" s="9" t="s">
        <v>1543</v>
      </c>
      <c r="N356" s="9"/>
      <c r="O356" s="18">
        <v>9327753300</v>
      </c>
      <c r="P356" s="195" t="s">
        <v>1544</v>
      </c>
      <c r="Q356" s="195" t="s">
        <v>4485</v>
      </c>
      <c r="R356" s="193"/>
      <c r="S356" s="195" t="s">
        <v>1545</v>
      </c>
      <c r="T356" s="195">
        <v>391440</v>
      </c>
      <c r="U356" s="195" t="s">
        <v>144</v>
      </c>
      <c r="V356" s="195" t="s">
        <v>23</v>
      </c>
      <c r="W356" s="193">
        <v>5</v>
      </c>
      <c r="X356" s="195">
        <v>1</v>
      </c>
      <c r="Y356" s="195">
        <v>1</v>
      </c>
      <c r="Z356" s="195">
        <v>2</v>
      </c>
      <c r="AA356" s="193" t="s">
        <v>4118</v>
      </c>
      <c r="AB356" s="2"/>
    </row>
    <row r="357" spans="1:28" ht="15" customHeight="1">
      <c r="A357" s="16">
        <v>356</v>
      </c>
      <c r="B357" s="14" t="s">
        <v>1546</v>
      </c>
      <c r="C357" s="14" t="str">
        <f>_xlfn.CONCAT(B357&amp;" "&amp;W357&amp;X357&amp;Y357&amp;Z357)</f>
        <v>Leo Precision Products 2111</v>
      </c>
      <c r="D357" s="16">
        <v>418</v>
      </c>
      <c r="E357" s="14" t="s">
        <v>42</v>
      </c>
      <c r="F357" s="14"/>
      <c r="G357" s="30">
        <v>41724</v>
      </c>
      <c r="H357" s="30"/>
      <c r="I357" s="30"/>
      <c r="J357" s="24">
        <v>44533</v>
      </c>
      <c r="K357" s="24">
        <v>44897</v>
      </c>
      <c r="L357" s="32">
        <v>3</v>
      </c>
      <c r="M357" s="14" t="s">
        <v>1547</v>
      </c>
      <c r="N357" s="8"/>
      <c r="O357" s="19"/>
      <c r="P357" s="195" t="s">
        <v>1548</v>
      </c>
      <c r="Q357" s="195" t="s">
        <v>4486</v>
      </c>
      <c r="R357" s="195" t="s">
        <v>1549</v>
      </c>
      <c r="S357" s="195" t="s">
        <v>1550</v>
      </c>
      <c r="T357" s="195">
        <v>396230</v>
      </c>
      <c r="U357" s="195" t="s">
        <v>774</v>
      </c>
      <c r="V357" s="195" t="s">
        <v>23</v>
      </c>
      <c r="W357" s="193">
        <v>2</v>
      </c>
      <c r="X357" s="195">
        <v>1</v>
      </c>
      <c r="Y357" s="195">
        <v>1</v>
      </c>
      <c r="Z357" s="195">
        <v>1</v>
      </c>
      <c r="AA357" s="193" t="s">
        <v>4118</v>
      </c>
      <c r="AB357" s="2"/>
    </row>
    <row r="358" spans="1:28" ht="15" customHeight="1">
      <c r="A358" s="16">
        <v>357</v>
      </c>
      <c r="B358" s="14" t="s">
        <v>1551</v>
      </c>
      <c r="C358" s="14" t="str">
        <f>_xlfn.CONCAT(B358&amp;" "&amp;W358&amp;X358&amp;Y358&amp;Z358)</f>
        <v>Cuse Metrology &amp; Quality Management Services 4161</v>
      </c>
      <c r="D358" s="16">
        <v>522</v>
      </c>
      <c r="E358" s="14" t="s">
        <v>90</v>
      </c>
      <c r="F358" s="14"/>
      <c r="G358" s="30">
        <v>41726</v>
      </c>
      <c r="H358" s="30"/>
      <c r="I358" s="30"/>
      <c r="J358" s="24">
        <v>43375</v>
      </c>
      <c r="K358" s="24">
        <v>43739</v>
      </c>
      <c r="L358" s="32">
        <v>3</v>
      </c>
      <c r="M358" s="14" t="s">
        <v>1552</v>
      </c>
      <c r="N358" s="8"/>
      <c r="O358" s="18">
        <v>9344768490</v>
      </c>
      <c r="P358" s="195" t="s">
        <v>1553</v>
      </c>
      <c r="Q358" s="195" t="s">
        <v>4487</v>
      </c>
      <c r="R358" s="193"/>
      <c r="S358" s="195" t="s">
        <v>101</v>
      </c>
      <c r="T358" s="195">
        <v>641044</v>
      </c>
      <c r="U358" s="195" t="s">
        <v>38</v>
      </c>
      <c r="V358" s="195" t="s">
        <v>23</v>
      </c>
      <c r="W358" s="193">
        <v>4</v>
      </c>
      <c r="X358" s="195">
        <v>1</v>
      </c>
      <c r="Y358" s="195">
        <v>6</v>
      </c>
      <c r="Z358" s="195">
        <v>1</v>
      </c>
      <c r="AA358" s="193" t="s">
        <v>4148</v>
      </c>
      <c r="AB358" s="2"/>
    </row>
    <row r="359" spans="1:28" ht="15" customHeight="1">
      <c r="A359" s="16">
        <v>358</v>
      </c>
      <c r="B359" s="14" t="s">
        <v>1416</v>
      </c>
      <c r="C359" s="14" t="str">
        <f>_xlfn.CONCAT(B359&amp;" "&amp;W359&amp;X359&amp;Y359&amp;Z359)</f>
        <v>Viney Corporation Pvt Ltd 1112</v>
      </c>
      <c r="D359" s="16">
        <v>447</v>
      </c>
      <c r="E359" s="14" t="s">
        <v>90</v>
      </c>
      <c r="F359" s="14"/>
      <c r="G359" s="30">
        <v>41726</v>
      </c>
      <c r="H359" s="30"/>
      <c r="I359" s="30"/>
      <c r="J359" s="24">
        <v>44501</v>
      </c>
      <c r="K359" s="24">
        <v>44865</v>
      </c>
      <c r="L359" s="32">
        <v>3</v>
      </c>
      <c r="M359" s="14" t="s">
        <v>1554</v>
      </c>
      <c r="N359" s="14" t="s">
        <v>1555</v>
      </c>
      <c r="O359" s="18">
        <v>9312441528</v>
      </c>
      <c r="P359" s="195" t="s">
        <v>1556</v>
      </c>
      <c r="Q359" s="195" t="s">
        <v>4488</v>
      </c>
      <c r="R359" s="195" t="s">
        <v>1557</v>
      </c>
      <c r="S359" s="195" t="s">
        <v>681</v>
      </c>
      <c r="T359" s="195">
        <v>110040</v>
      </c>
      <c r="U359" s="195" t="s">
        <v>81</v>
      </c>
      <c r="V359" s="195" t="s">
        <v>23</v>
      </c>
      <c r="W359" s="193">
        <v>1</v>
      </c>
      <c r="X359" s="195">
        <v>1</v>
      </c>
      <c r="Y359" s="195">
        <v>1</v>
      </c>
      <c r="Z359" s="195">
        <v>2</v>
      </c>
      <c r="AA359" s="193" t="s">
        <v>4118</v>
      </c>
      <c r="AB359" s="2"/>
    </row>
    <row r="360" spans="1:28" ht="15" customHeight="1">
      <c r="A360" s="16">
        <v>359</v>
      </c>
      <c r="B360" s="9" t="s">
        <v>1558</v>
      </c>
      <c r="C360" s="14" t="str">
        <f>_xlfn.CONCAT(B360&amp;" "&amp;W360&amp;X360&amp;Y360&amp;Z360)</f>
        <v>Indira Gandhi Centre For Atomic Research (IGCAR) 4012</v>
      </c>
      <c r="D360" s="16">
        <v>382</v>
      </c>
      <c r="E360" s="9" t="s">
        <v>90</v>
      </c>
      <c r="F360" s="9"/>
      <c r="G360" s="31">
        <v>41727</v>
      </c>
      <c r="H360" s="31"/>
      <c r="I360" s="31"/>
      <c r="J360" s="24"/>
      <c r="K360" s="24"/>
      <c r="L360" s="32">
        <v>3</v>
      </c>
      <c r="M360" s="9"/>
      <c r="N360" s="8"/>
      <c r="O360" s="19"/>
      <c r="P360" s="193"/>
      <c r="Q360" s="193" t="s">
        <v>4489</v>
      </c>
      <c r="R360" s="193"/>
      <c r="S360" s="195" t="s">
        <v>37</v>
      </c>
      <c r="T360" s="195">
        <v>603102</v>
      </c>
      <c r="U360" s="195" t="s">
        <v>38</v>
      </c>
      <c r="V360" s="195" t="s">
        <v>23</v>
      </c>
      <c r="W360" s="193">
        <v>4</v>
      </c>
      <c r="X360" s="195">
        <v>0</v>
      </c>
      <c r="Y360" s="195">
        <v>1</v>
      </c>
      <c r="Z360" s="195">
        <v>2</v>
      </c>
      <c r="AA360" s="193" t="s">
        <v>4148</v>
      </c>
      <c r="AB360" s="2"/>
    </row>
    <row r="361" spans="1:28" ht="15" customHeight="1">
      <c r="A361" s="16">
        <v>360</v>
      </c>
      <c r="B361" s="14" t="s">
        <v>130</v>
      </c>
      <c r="C361" s="14" t="str">
        <f>_xlfn.CONCAT(B361&amp;" "&amp;W361&amp;X361&amp;Y361&amp;Z361)</f>
        <v>College of Engg 2441</v>
      </c>
      <c r="D361" s="16">
        <v>423</v>
      </c>
      <c r="E361" s="14" t="s">
        <v>42</v>
      </c>
      <c r="F361" s="14"/>
      <c r="G361" s="30">
        <v>41729</v>
      </c>
      <c r="H361" s="30"/>
      <c r="I361" s="30"/>
      <c r="J361" s="24">
        <v>44691</v>
      </c>
      <c r="K361" s="24">
        <v>45055</v>
      </c>
      <c r="L361" s="32">
        <v>3</v>
      </c>
      <c r="M361" s="14" t="s">
        <v>1560</v>
      </c>
      <c r="N361" s="8"/>
      <c r="O361" s="19"/>
      <c r="P361" s="193"/>
      <c r="Q361" s="193" t="s">
        <v>4490</v>
      </c>
      <c r="R361" s="193"/>
      <c r="S361" s="195" t="s">
        <v>215</v>
      </c>
      <c r="T361" s="195" t="s">
        <v>1561</v>
      </c>
      <c r="U361" s="195" t="s">
        <v>172</v>
      </c>
      <c r="V361" s="195" t="s">
        <v>23</v>
      </c>
      <c r="W361" s="193">
        <v>2</v>
      </c>
      <c r="X361" s="195">
        <v>4</v>
      </c>
      <c r="Y361" s="195">
        <v>4</v>
      </c>
      <c r="Z361" s="195">
        <v>1</v>
      </c>
      <c r="AA361" s="193" t="s">
        <v>4151</v>
      </c>
      <c r="AB361" s="2"/>
    </row>
    <row r="362" spans="1:28" ht="15" customHeight="1">
      <c r="A362" s="16">
        <v>361</v>
      </c>
      <c r="B362" s="14" t="s">
        <v>1562</v>
      </c>
      <c r="C362" s="14" t="str">
        <f>_xlfn.CONCAT(B362&amp;" "&amp;W362&amp;X362&amp;Y362&amp;Z362)</f>
        <v>Shogini Technoarts Pvt Ltd 2451</v>
      </c>
      <c r="D362" s="16">
        <v>446</v>
      </c>
      <c r="E362" s="14" t="s">
        <v>90</v>
      </c>
      <c r="F362" s="14"/>
      <c r="G362" s="30">
        <v>41738</v>
      </c>
      <c r="H362" s="30"/>
      <c r="I362" s="30"/>
      <c r="J362" s="24">
        <v>44290</v>
      </c>
      <c r="K362" s="24">
        <v>44655</v>
      </c>
      <c r="L362" s="32">
        <v>3</v>
      </c>
      <c r="M362" s="14" t="s">
        <v>1563</v>
      </c>
      <c r="N362" s="8"/>
      <c r="O362" s="18" t="s">
        <v>1564</v>
      </c>
      <c r="P362" s="195" t="s">
        <v>1565</v>
      </c>
      <c r="Q362" s="195" t="s">
        <v>4491</v>
      </c>
      <c r="R362" s="193"/>
      <c r="S362" s="195" t="s">
        <v>215</v>
      </c>
      <c r="T362" s="195">
        <v>412205</v>
      </c>
      <c r="U362" s="195" t="s">
        <v>172</v>
      </c>
      <c r="V362" s="195" t="s">
        <v>23</v>
      </c>
      <c r="W362" s="193">
        <v>2</v>
      </c>
      <c r="X362" s="195">
        <v>4</v>
      </c>
      <c r="Y362" s="195">
        <v>5</v>
      </c>
      <c r="Z362" s="195">
        <v>1</v>
      </c>
      <c r="AA362" s="193" t="s">
        <v>4151</v>
      </c>
      <c r="AB362" s="2"/>
    </row>
    <row r="363" spans="1:28" ht="15" customHeight="1">
      <c r="A363" s="16">
        <v>362</v>
      </c>
      <c r="B363" s="14" t="s">
        <v>1567</v>
      </c>
      <c r="C363" s="14" t="str">
        <f>_xlfn.CONCAT(B363&amp;" "&amp;W363&amp;X363&amp;Y363&amp;Z363)</f>
        <v>Gnutti Carlo India Pvt ltd 4033</v>
      </c>
      <c r="D363" s="16">
        <v>425</v>
      </c>
      <c r="E363" s="14" t="s">
        <v>42</v>
      </c>
      <c r="F363" s="14"/>
      <c r="G363" s="30">
        <v>41738</v>
      </c>
      <c r="H363" s="30"/>
      <c r="I363" s="30"/>
      <c r="J363" s="24">
        <v>45799</v>
      </c>
      <c r="K363" s="24">
        <v>46163</v>
      </c>
      <c r="L363" s="32">
        <v>3</v>
      </c>
      <c r="M363" s="14" t="s">
        <v>1568</v>
      </c>
      <c r="N363" s="8"/>
      <c r="O363" s="18">
        <v>8940982904</v>
      </c>
      <c r="P363" s="195" t="s">
        <v>120</v>
      </c>
      <c r="Q363" s="195" t="s">
        <v>4492</v>
      </c>
      <c r="R363" s="195" t="s">
        <v>1330</v>
      </c>
      <c r="S363" s="195" t="s">
        <v>879</v>
      </c>
      <c r="T363" s="195">
        <v>632405</v>
      </c>
      <c r="U363" s="195" t="s">
        <v>38</v>
      </c>
      <c r="V363" s="195" t="s">
        <v>23</v>
      </c>
      <c r="W363" s="193">
        <v>4</v>
      </c>
      <c r="X363" s="195">
        <v>0</v>
      </c>
      <c r="Y363" s="195">
        <v>3</v>
      </c>
      <c r="Z363" s="195">
        <v>3</v>
      </c>
      <c r="AA363" s="193" t="s">
        <v>4148</v>
      </c>
      <c r="AB363" s="2"/>
    </row>
    <row r="364" spans="1:28" ht="15" customHeight="1">
      <c r="A364" s="16">
        <v>363</v>
      </c>
      <c r="B364" s="14" t="s">
        <v>1569</v>
      </c>
      <c r="C364" s="14" t="str">
        <f>_xlfn.CONCAT(B364&amp;" "&amp;W364&amp;X364&amp;Y364&amp;Z364)</f>
        <v>TVS Upasana Ltd (Upasana Engg Limited) 4041</v>
      </c>
      <c r="D364" s="16">
        <v>419</v>
      </c>
      <c r="E364" s="14" t="s">
        <v>42</v>
      </c>
      <c r="F364" s="14"/>
      <c r="G364" s="30">
        <v>41728</v>
      </c>
      <c r="H364" s="30"/>
      <c r="I364" s="30"/>
      <c r="J364" s="24">
        <v>44635</v>
      </c>
      <c r="K364" s="24">
        <v>44999</v>
      </c>
      <c r="L364" s="32">
        <v>3</v>
      </c>
      <c r="M364" s="8"/>
      <c r="N364" s="8"/>
      <c r="O364" s="19"/>
      <c r="P364" s="195" t="s">
        <v>62</v>
      </c>
      <c r="Q364" s="195" t="s">
        <v>4493</v>
      </c>
      <c r="R364" s="193"/>
      <c r="S364" s="195" t="s">
        <v>37</v>
      </c>
      <c r="T364" s="195">
        <v>600098</v>
      </c>
      <c r="U364" s="195" t="s">
        <v>38</v>
      </c>
      <c r="V364" s="195" t="s">
        <v>23</v>
      </c>
      <c r="W364" s="193">
        <v>4</v>
      </c>
      <c r="X364" s="195">
        <v>0</v>
      </c>
      <c r="Y364" s="195">
        <v>4</v>
      </c>
      <c r="Z364" s="195">
        <v>1</v>
      </c>
      <c r="AA364" s="193" t="s">
        <v>4148</v>
      </c>
      <c r="AB364" s="2"/>
    </row>
    <row r="365" spans="1:28" ht="15" customHeight="1">
      <c r="A365" s="16">
        <v>364</v>
      </c>
      <c r="B365" s="14" t="s">
        <v>1570</v>
      </c>
      <c r="C365" s="14" t="str">
        <f>_xlfn.CONCAT(B365&amp;" "&amp;W365&amp;X365&amp;Y365&amp;Z365)</f>
        <v>Aczet Pvt Ltd (Citizen Scales India Pvt Ltd) 2112</v>
      </c>
      <c r="D365" s="16">
        <v>427</v>
      </c>
      <c r="E365" s="14" t="s">
        <v>42</v>
      </c>
      <c r="F365" s="14"/>
      <c r="G365" s="218">
        <v>41754</v>
      </c>
      <c r="H365" s="218"/>
      <c r="I365" s="218"/>
      <c r="J365" s="24">
        <v>44166</v>
      </c>
      <c r="K365" s="24">
        <v>44530</v>
      </c>
      <c r="L365" s="32">
        <v>3</v>
      </c>
      <c r="M365" s="8"/>
      <c r="N365" s="8"/>
      <c r="O365" s="19"/>
      <c r="P365" s="195" t="s">
        <v>1571</v>
      </c>
      <c r="Q365" s="195" t="s">
        <v>4494</v>
      </c>
      <c r="R365" s="195" t="s">
        <v>1572</v>
      </c>
      <c r="S365" s="195" t="s">
        <v>178</v>
      </c>
      <c r="T365" s="195">
        <v>401208</v>
      </c>
      <c r="U365" s="195" t="s">
        <v>172</v>
      </c>
      <c r="V365" s="195" t="s">
        <v>23</v>
      </c>
      <c r="W365" s="193">
        <v>2</v>
      </c>
      <c r="X365" s="195">
        <v>1</v>
      </c>
      <c r="Y365" s="195">
        <v>1</v>
      </c>
      <c r="Z365" s="195">
        <v>2</v>
      </c>
      <c r="AA365" s="193" t="s">
        <v>4118</v>
      </c>
      <c r="AB365" s="2"/>
    </row>
    <row r="366" spans="1:28" ht="15" customHeight="1">
      <c r="A366" s="16">
        <v>365</v>
      </c>
      <c r="B366" s="14" t="s">
        <v>1573</v>
      </c>
      <c r="C366" s="14" t="str">
        <f>_xlfn.CONCAT(B366&amp;" "&amp;W366&amp;X366&amp;Y366&amp;Z366)</f>
        <v>Die plast Pvt Ltd 2222</v>
      </c>
      <c r="D366" s="16">
        <v>385</v>
      </c>
      <c r="E366" s="14" t="s">
        <v>90</v>
      </c>
      <c r="F366" s="14"/>
      <c r="G366" s="30">
        <v>41769</v>
      </c>
      <c r="H366" s="30"/>
      <c r="I366" s="30"/>
      <c r="J366" s="24">
        <v>44215</v>
      </c>
      <c r="K366" s="24">
        <v>44579</v>
      </c>
      <c r="L366" s="32">
        <v>3</v>
      </c>
      <c r="M366" s="14" t="s">
        <v>1574</v>
      </c>
      <c r="N366" s="8"/>
      <c r="O366" s="18" t="s">
        <v>1575</v>
      </c>
      <c r="P366" s="195" t="s">
        <v>1576</v>
      </c>
      <c r="Q366" s="195" t="s">
        <v>4495</v>
      </c>
      <c r="R366" s="195" t="s">
        <v>1577</v>
      </c>
      <c r="S366" s="195" t="s">
        <v>177</v>
      </c>
      <c r="T366" s="195">
        <v>401210</v>
      </c>
      <c r="U366" s="195" t="s">
        <v>172</v>
      </c>
      <c r="V366" s="195" t="s">
        <v>23</v>
      </c>
      <c r="W366" s="193">
        <v>2</v>
      </c>
      <c r="X366" s="195">
        <v>2</v>
      </c>
      <c r="Y366" s="195">
        <v>2</v>
      </c>
      <c r="Z366" s="195">
        <v>2</v>
      </c>
      <c r="AA366" s="193" t="s">
        <v>4118</v>
      </c>
      <c r="AB366" s="2"/>
    </row>
    <row r="367" spans="1:28" ht="15" customHeight="1">
      <c r="A367" s="16">
        <v>366</v>
      </c>
      <c r="B367" s="14" t="s">
        <v>1578</v>
      </c>
      <c r="C367" s="14" t="str">
        <f>_xlfn.CONCAT(B367&amp;" "&amp;W367&amp;X367&amp;Y367&amp;Z367)</f>
        <v>Samvardhana Motherson Innovative Solns Ltd (Motherson Sintermetal Technology Ltd) 4013</v>
      </c>
      <c r="D367" s="16">
        <v>424</v>
      </c>
      <c r="E367" s="14" t="s">
        <v>42</v>
      </c>
      <c r="F367" s="14"/>
      <c r="G367" s="30">
        <v>41793</v>
      </c>
      <c r="H367" s="30"/>
      <c r="I367" s="30"/>
      <c r="J367" s="24"/>
      <c r="K367" s="24"/>
      <c r="L367" s="32">
        <v>3</v>
      </c>
      <c r="M367" s="14" t="s">
        <v>1579</v>
      </c>
      <c r="N367" s="14" t="s">
        <v>993</v>
      </c>
      <c r="O367" s="18">
        <v>8220047779</v>
      </c>
      <c r="P367" s="195" t="s">
        <v>1580</v>
      </c>
      <c r="Q367" s="195" t="s">
        <v>4496</v>
      </c>
      <c r="R367" s="195" t="s">
        <v>1581</v>
      </c>
      <c r="S367" s="195" t="s">
        <v>235</v>
      </c>
      <c r="T367" s="193"/>
      <c r="U367" s="195" t="s">
        <v>38</v>
      </c>
      <c r="V367" s="195" t="s">
        <v>23</v>
      </c>
      <c r="W367" s="193">
        <v>4</v>
      </c>
      <c r="X367" s="195">
        <v>0</v>
      </c>
      <c r="Y367" s="195">
        <v>1</v>
      </c>
      <c r="Z367" s="195">
        <v>3</v>
      </c>
      <c r="AA367" s="193" t="s">
        <v>4148</v>
      </c>
      <c r="AB367" s="2"/>
    </row>
    <row r="368" spans="1:28" ht="15" customHeight="1">
      <c r="A368" s="16">
        <v>367</v>
      </c>
      <c r="B368" s="14" t="s">
        <v>1582</v>
      </c>
      <c r="C368" s="14" t="str">
        <f>_xlfn.CONCAT(B368&amp;" "&amp;W368&amp;X368&amp;Y368&amp;Z368)</f>
        <v>Mackel Components 6021</v>
      </c>
      <c r="D368" s="16">
        <v>428</v>
      </c>
      <c r="E368" s="14" t="s">
        <v>42</v>
      </c>
      <c r="F368" s="14"/>
      <c r="G368" s="30">
        <v>41783</v>
      </c>
      <c r="H368" s="30"/>
      <c r="I368" s="30"/>
      <c r="J368" s="24"/>
      <c r="K368" s="24"/>
      <c r="L368" s="32">
        <v>3</v>
      </c>
      <c r="M368" s="14" t="s">
        <v>1583</v>
      </c>
      <c r="N368" s="14" t="s">
        <v>325</v>
      </c>
      <c r="O368" s="18" t="s">
        <v>1584</v>
      </c>
      <c r="P368" s="195" t="s">
        <v>1585</v>
      </c>
      <c r="Q368" s="195" t="s">
        <v>4497</v>
      </c>
      <c r="R368" s="193"/>
      <c r="S368" s="195" t="s">
        <v>53</v>
      </c>
      <c r="T368" s="195">
        <v>500037</v>
      </c>
      <c r="U368" s="195" t="s">
        <v>54</v>
      </c>
      <c r="V368" s="195" t="s">
        <v>23</v>
      </c>
      <c r="W368" s="193">
        <v>6</v>
      </c>
      <c r="X368" s="195">
        <v>0</v>
      </c>
      <c r="Y368" s="195">
        <v>2</v>
      </c>
      <c r="Z368" s="195">
        <v>1</v>
      </c>
      <c r="AA368" s="193" t="s">
        <v>4148</v>
      </c>
      <c r="AB368" s="2"/>
    </row>
    <row r="369" spans="1:28" ht="15" customHeight="1">
      <c r="A369" s="16">
        <v>368</v>
      </c>
      <c r="B369" s="14" t="s">
        <v>1586</v>
      </c>
      <c r="C369" s="14" t="str">
        <f>_xlfn.CONCAT(B369&amp;" "&amp;W369&amp;X369&amp;Y369&amp;Z369)</f>
        <v>TVS Argomm Pvt Ltd (TVS Novotema Elestomeric Engineered Product Pvt ltd) 4101</v>
      </c>
      <c r="D369" s="16">
        <v>448</v>
      </c>
      <c r="E369" s="14" t="s">
        <v>90</v>
      </c>
      <c r="F369" s="14"/>
      <c r="G369" s="30">
        <v>41793</v>
      </c>
      <c r="H369" s="30"/>
      <c r="I369" s="30"/>
      <c r="J369" s="24">
        <v>44371</v>
      </c>
      <c r="K369" s="24">
        <v>44735</v>
      </c>
      <c r="L369" s="32">
        <v>3</v>
      </c>
      <c r="M369" s="14" t="s">
        <v>1587</v>
      </c>
      <c r="N369" s="8"/>
      <c r="O369" s="18" t="s">
        <v>1588</v>
      </c>
      <c r="P369" s="195" t="s">
        <v>1589</v>
      </c>
      <c r="Q369" s="195" t="s">
        <v>4498</v>
      </c>
      <c r="R369" s="195" t="s">
        <v>1590</v>
      </c>
      <c r="S369" s="195" t="s">
        <v>894</v>
      </c>
      <c r="T369" s="195">
        <v>625122</v>
      </c>
      <c r="U369" s="195" t="s">
        <v>38</v>
      </c>
      <c r="V369" s="195" t="s">
        <v>23</v>
      </c>
      <c r="W369" s="193">
        <v>4</v>
      </c>
      <c r="X369" s="195">
        <v>1</v>
      </c>
      <c r="Y369" s="195">
        <v>0</v>
      </c>
      <c r="Z369" s="195">
        <v>1</v>
      </c>
      <c r="AA369" s="193" t="s">
        <v>4148</v>
      </c>
      <c r="AB369" s="2"/>
    </row>
    <row r="370" spans="1:28" ht="15" customHeight="1">
      <c r="A370" s="16">
        <v>369</v>
      </c>
      <c r="B370" s="14" t="s">
        <v>1591</v>
      </c>
      <c r="C370" s="14" t="str">
        <f>_xlfn.CONCAT(B370&amp;" "&amp;W370&amp;X370&amp;Y370&amp;Z370)</f>
        <v>Acetech (CNC Automotive) 8051</v>
      </c>
      <c r="D370" s="16">
        <v>377</v>
      </c>
      <c r="E370" s="14" t="s">
        <v>302</v>
      </c>
      <c r="F370" s="14"/>
      <c r="G370" s="30">
        <v>41831</v>
      </c>
      <c r="H370" s="30"/>
      <c r="I370" s="30"/>
      <c r="J370" s="24">
        <v>44459</v>
      </c>
      <c r="K370" s="24">
        <v>44823</v>
      </c>
      <c r="L370" s="32">
        <v>3</v>
      </c>
      <c r="M370" s="14" t="s">
        <v>1592</v>
      </c>
      <c r="N370" s="14" t="s">
        <v>325</v>
      </c>
      <c r="O370" s="18" t="s">
        <v>1593</v>
      </c>
      <c r="P370" s="195" t="s">
        <v>1594</v>
      </c>
      <c r="Q370" s="195" t="s">
        <v>4499</v>
      </c>
      <c r="R370" s="193"/>
      <c r="S370" s="195" t="s">
        <v>21</v>
      </c>
      <c r="T370" s="195">
        <v>560058</v>
      </c>
      <c r="U370" s="195" t="s">
        <v>22</v>
      </c>
      <c r="V370" s="195" t="s">
        <v>23</v>
      </c>
      <c r="W370" s="193">
        <v>8</v>
      </c>
      <c r="X370" s="195">
        <v>0</v>
      </c>
      <c r="Y370" s="195">
        <v>5</v>
      </c>
      <c r="Z370" s="195">
        <v>1</v>
      </c>
      <c r="AA370" s="193" t="s">
        <v>4118</v>
      </c>
      <c r="AB370" s="2"/>
    </row>
    <row r="371" spans="1:28" ht="15" customHeight="1">
      <c r="A371" s="16">
        <v>370</v>
      </c>
      <c r="B371" s="14" t="s">
        <v>223</v>
      </c>
      <c r="C371" s="14" t="str">
        <f>_xlfn.CONCAT(B371&amp;" "&amp;W371&amp;X371&amp;Y371&amp;Z371)</f>
        <v>Maini Precision Products (P) Ltd. 8054</v>
      </c>
      <c r="D371" s="16">
        <v>430</v>
      </c>
      <c r="E371" s="14" t="s">
        <v>42</v>
      </c>
      <c r="F371" s="14"/>
      <c r="G371" s="30">
        <v>41837</v>
      </c>
      <c r="H371" s="30"/>
      <c r="I371" s="30"/>
      <c r="J371" s="24">
        <v>44405</v>
      </c>
      <c r="K371" s="24">
        <v>44769</v>
      </c>
      <c r="L371" s="32">
        <v>3</v>
      </c>
      <c r="M371" s="14" t="s">
        <v>1595</v>
      </c>
      <c r="N371" s="14" t="s">
        <v>1155</v>
      </c>
      <c r="O371" s="19"/>
      <c r="P371" s="195" t="s">
        <v>1596</v>
      </c>
      <c r="Q371" s="195" t="s">
        <v>4500</v>
      </c>
      <c r="R371" s="195" t="s">
        <v>1597</v>
      </c>
      <c r="S371" s="195" t="s">
        <v>21</v>
      </c>
      <c r="T371" s="195">
        <v>562123</v>
      </c>
      <c r="U371" s="195" t="s">
        <v>22</v>
      </c>
      <c r="V371" s="195" t="s">
        <v>23</v>
      </c>
      <c r="W371" s="193">
        <v>8</v>
      </c>
      <c r="X371" s="195">
        <v>0</v>
      </c>
      <c r="Y371" s="195">
        <v>5</v>
      </c>
      <c r="Z371" s="195">
        <v>4</v>
      </c>
      <c r="AA371" s="193" t="s">
        <v>4118</v>
      </c>
      <c r="AB371" s="2"/>
    </row>
    <row r="372" spans="1:28" ht="15" customHeight="1">
      <c r="A372" s="16">
        <v>371</v>
      </c>
      <c r="B372" s="14" t="s">
        <v>1598</v>
      </c>
      <c r="C372" s="14" t="str">
        <f>_xlfn.CONCAT(B372&amp;" "&amp;W372&amp;X372&amp;Y372&amp;Z372)</f>
        <v>Taylor Rubber Pvt Ltd 4022</v>
      </c>
      <c r="D372" s="16">
        <v>449</v>
      </c>
      <c r="E372" s="14" t="s">
        <v>90</v>
      </c>
      <c r="F372" s="14"/>
      <c r="G372" s="30">
        <v>41827</v>
      </c>
      <c r="H372" s="30"/>
      <c r="I372" s="30"/>
      <c r="J372" s="24">
        <v>45748</v>
      </c>
      <c r="K372" s="24">
        <v>46112</v>
      </c>
      <c r="L372" s="32">
        <v>3</v>
      </c>
      <c r="M372" s="14" t="s">
        <v>1599</v>
      </c>
      <c r="N372" s="8"/>
      <c r="O372" s="18">
        <v>9840299240</v>
      </c>
      <c r="P372" s="195" t="s">
        <v>944</v>
      </c>
      <c r="Q372" s="195" t="s">
        <v>4501</v>
      </c>
      <c r="R372" s="193"/>
      <c r="S372" s="195" t="s">
        <v>37</v>
      </c>
      <c r="T372" s="195">
        <v>600044</v>
      </c>
      <c r="U372" s="195" t="s">
        <v>38</v>
      </c>
      <c r="V372" s="195" t="s">
        <v>23</v>
      </c>
      <c r="W372" s="193">
        <v>4</v>
      </c>
      <c r="X372" s="195">
        <v>0</v>
      </c>
      <c r="Y372" s="195">
        <v>2</v>
      </c>
      <c r="Z372" s="195">
        <v>2</v>
      </c>
      <c r="AA372" s="193" t="s">
        <v>4148</v>
      </c>
      <c r="AB372" s="2"/>
    </row>
    <row r="373" spans="1:28" ht="15" customHeight="1">
      <c r="A373" s="16">
        <v>372</v>
      </c>
      <c r="B373" s="14" t="s">
        <v>1600</v>
      </c>
      <c r="C373" s="14" t="str">
        <f>_xlfn.CONCAT(B373&amp;" "&amp;W373&amp;X373&amp;Y373&amp;Z373)</f>
        <v>Tool Aids Pvt Ltd 4023</v>
      </c>
      <c r="D373" s="16">
        <v>378</v>
      </c>
      <c r="E373" s="14" t="s">
        <v>302</v>
      </c>
      <c r="F373" s="14"/>
      <c r="G373" s="30">
        <v>41846</v>
      </c>
      <c r="H373" s="30"/>
      <c r="I373" s="30"/>
      <c r="J373" s="24"/>
      <c r="K373" s="24"/>
      <c r="L373" s="32">
        <v>3</v>
      </c>
      <c r="M373" s="14" t="s">
        <v>1601</v>
      </c>
      <c r="N373" s="8"/>
      <c r="O373" s="18">
        <v>9841223428</v>
      </c>
      <c r="P373" s="195" t="s">
        <v>1602</v>
      </c>
      <c r="Q373" s="195" t="s">
        <v>4502</v>
      </c>
      <c r="R373" s="193"/>
      <c r="S373" s="195" t="s">
        <v>37</v>
      </c>
      <c r="T373" s="195">
        <v>600116</v>
      </c>
      <c r="U373" s="195" t="s">
        <v>38</v>
      </c>
      <c r="V373" s="195" t="s">
        <v>23</v>
      </c>
      <c r="W373" s="193">
        <v>4</v>
      </c>
      <c r="X373" s="195">
        <v>0</v>
      </c>
      <c r="Y373" s="195">
        <v>2</v>
      </c>
      <c r="Z373" s="195">
        <v>3</v>
      </c>
      <c r="AA373" s="193" t="s">
        <v>4148</v>
      </c>
      <c r="AB373" s="2"/>
    </row>
    <row r="374" spans="1:28" ht="15" customHeight="1">
      <c r="A374" s="16">
        <v>373</v>
      </c>
      <c r="B374" s="14" t="s">
        <v>1604</v>
      </c>
      <c r="C374" s="14" t="str">
        <f>_xlfn.CONCAT(B374&amp;" "&amp;W374&amp;X374&amp;Y374&amp;Z374)</f>
        <v>Suyash Global Pvt Ltd (Suyash Impex Pvt Ltd) 2224</v>
      </c>
      <c r="D374" s="16">
        <v>434</v>
      </c>
      <c r="E374" s="14" t="s">
        <v>42</v>
      </c>
      <c r="F374" s="14"/>
      <c r="G374" s="30">
        <v>41835</v>
      </c>
      <c r="H374" s="30"/>
      <c r="I374" s="30"/>
      <c r="J374" s="24">
        <v>45743</v>
      </c>
      <c r="K374" s="24">
        <v>46107</v>
      </c>
      <c r="L374" s="32">
        <v>3</v>
      </c>
      <c r="M374" s="14" t="s">
        <v>1605</v>
      </c>
      <c r="N374" s="14" t="s">
        <v>254</v>
      </c>
      <c r="O374" s="18" t="s">
        <v>1606</v>
      </c>
      <c r="P374" s="195" t="s">
        <v>1607</v>
      </c>
      <c r="Q374" s="195" t="s">
        <v>4503</v>
      </c>
      <c r="R374" s="193"/>
      <c r="S374" s="195" t="s">
        <v>258</v>
      </c>
      <c r="T374" s="195">
        <v>400706</v>
      </c>
      <c r="U374" s="195" t="s">
        <v>172</v>
      </c>
      <c r="V374" s="195" t="s">
        <v>23</v>
      </c>
      <c r="W374" s="193">
        <v>2</v>
      </c>
      <c r="X374" s="195">
        <v>2</v>
      </c>
      <c r="Y374" s="195">
        <v>2</v>
      </c>
      <c r="Z374" s="195">
        <v>4</v>
      </c>
      <c r="AA374" s="193" t="s">
        <v>4148</v>
      </c>
      <c r="AB374" s="2"/>
    </row>
    <row r="375" spans="1:28" ht="15" customHeight="1">
      <c r="A375" s="16">
        <v>374</v>
      </c>
      <c r="B375" s="14" t="s">
        <v>1608</v>
      </c>
      <c r="C375" s="14" t="str">
        <f>_xlfn.CONCAT(B375&amp;" "&amp;W375&amp;X375&amp;Y375&amp;Z375)</f>
        <v>G-Plast Pvt Ltd 4112</v>
      </c>
      <c r="D375" s="16">
        <v>440</v>
      </c>
      <c r="E375" s="14" t="s">
        <v>42</v>
      </c>
      <c r="F375" s="14"/>
      <c r="G375" s="30"/>
      <c r="H375" s="30"/>
      <c r="I375" s="30"/>
      <c r="J375" s="24">
        <v>44428</v>
      </c>
      <c r="K375" s="24">
        <v>44792</v>
      </c>
      <c r="L375" s="32">
        <v>3</v>
      </c>
      <c r="M375" s="14" t="s">
        <v>1609</v>
      </c>
      <c r="N375" s="14" t="s">
        <v>1161</v>
      </c>
      <c r="O375" s="18">
        <v>9894200306</v>
      </c>
      <c r="P375" s="195" t="s">
        <v>1610</v>
      </c>
      <c r="Q375" s="195" t="s">
        <v>4504</v>
      </c>
      <c r="R375" s="193"/>
      <c r="S375" s="195" t="s">
        <v>101</v>
      </c>
      <c r="T375" s="195">
        <v>641018</v>
      </c>
      <c r="U375" s="195" t="s">
        <v>38</v>
      </c>
      <c r="V375" s="195" t="s">
        <v>23</v>
      </c>
      <c r="W375" s="193">
        <v>4</v>
      </c>
      <c r="X375" s="195">
        <v>1</v>
      </c>
      <c r="Y375" s="195">
        <v>1</v>
      </c>
      <c r="Z375" s="195">
        <v>2</v>
      </c>
      <c r="AA375" s="193" t="s">
        <v>4148</v>
      </c>
      <c r="AB375" s="2"/>
    </row>
    <row r="376" spans="1:28" ht="15" customHeight="1">
      <c r="A376" s="16">
        <v>375</v>
      </c>
      <c r="B376" s="14" t="s">
        <v>1611</v>
      </c>
      <c r="C376" s="14" t="str">
        <f>_xlfn.CONCAT(B376&amp;" "&amp;W376&amp;X376&amp;Y376&amp;Z376)</f>
        <v>Abhi Metals 5401</v>
      </c>
      <c r="D376" s="16">
        <v>429</v>
      </c>
      <c r="E376" s="14" t="s">
        <v>42</v>
      </c>
      <c r="F376" s="14"/>
      <c r="G376" s="30">
        <v>41873</v>
      </c>
      <c r="H376" s="30"/>
      <c r="I376" s="30"/>
      <c r="J376" s="24">
        <v>44590</v>
      </c>
      <c r="K376" s="24">
        <v>44954</v>
      </c>
      <c r="L376" s="32">
        <v>3</v>
      </c>
      <c r="M376" s="14" t="s">
        <v>1612</v>
      </c>
      <c r="N376" s="8"/>
      <c r="O376" s="18">
        <v>9824211197</v>
      </c>
      <c r="P376" s="195" t="s">
        <v>1613</v>
      </c>
      <c r="Q376" s="195" t="s">
        <v>4505</v>
      </c>
      <c r="R376" s="195" t="s">
        <v>1614</v>
      </c>
      <c r="S376" s="195" t="s">
        <v>571</v>
      </c>
      <c r="T376" s="195">
        <v>361004</v>
      </c>
      <c r="U376" s="195" t="s">
        <v>144</v>
      </c>
      <c r="V376" s="195" t="s">
        <v>23</v>
      </c>
      <c r="W376" s="193">
        <v>5</v>
      </c>
      <c r="X376" s="195">
        <v>4</v>
      </c>
      <c r="Y376" s="195">
        <v>0</v>
      </c>
      <c r="Z376" s="195">
        <v>1</v>
      </c>
      <c r="AA376" s="193" t="s">
        <v>4137</v>
      </c>
      <c r="AB376" s="2"/>
    </row>
    <row r="377" spans="1:28" ht="15" customHeight="1">
      <c r="A377" s="16">
        <v>376</v>
      </c>
      <c r="B377" s="14" t="s">
        <v>860</v>
      </c>
      <c r="C377" s="14" t="str">
        <f>_xlfn.CONCAT(B377&amp;" "&amp;W377&amp;X377&amp;Y377&amp;Z377)</f>
        <v>Speciality Sintered Products P Ltd 2451</v>
      </c>
      <c r="D377" s="16">
        <v>456</v>
      </c>
      <c r="E377" s="14" t="s">
        <v>90</v>
      </c>
      <c r="F377" s="14"/>
      <c r="G377" s="30">
        <v>41869</v>
      </c>
      <c r="H377" s="30"/>
      <c r="I377" s="30"/>
      <c r="J377" s="24">
        <v>45943</v>
      </c>
      <c r="K377" s="24">
        <v>46307</v>
      </c>
      <c r="L377" s="32">
        <v>3</v>
      </c>
      <c r="M377" s="8"/>
      <c r="N377" s="8"/>
      <c r="O377" s="19"/>
      <c r="P377" s="195" t="s">
        <v>1615</v>
      </c>
      <c r="Q377" s="195" t="s">
        <v>4506</v>
      </c>
      <c r="R377" s="193"/>
      <c r="S377" s="195" t="s">
        <v>1616</v>
      </c>
      <c r="T377" s="195">
        <v>412801</v>
      </c>
      <c r="U377" s="195" t="s">
        <v>172</v>
      </c>
      <c r="V377" s="195" t="s">
        <v>23</v>
      </c>
      <c r="W377" s="193">
        <v>2</v>
      </c>
      <c r="X377" s="195">
        <v>4</v>
      </c>
      <c r="Y377" s="195">
        <v>5</v>
      </c>
      <c r="Z377" s="195">
        <v>1</v>
      </c>
      <c r="AA377" s="193" t="s">
        <v>4151</v>
      </c>
      <c r="AB377" s="2"/>
    </row>
    <row r="378" spans="1:28" ht="15" customHeight="1">
      <c r="A378" s="16">
        <v>377</v>
      </c>
      <c r="B378" s="14" t="s">
        <v>1617</v>
      </c>
      <c r="C378" s="14" t="str">
        <f>_xlfn.CONCAT(B378&amp;" "&amp;W378&amp;X378&amp;Y378&amp;Z378)</f>
        <v>Ustek Makina San. Tic. Ltd. Sti 0000</v>
      </c>
      <c r="D378" s="16">
        <v>388</v>
      </c>
      <c r="E378" s="14" t="s">
        <v>42</v>
      </c>
      <c r="F378" s="14"/>
      <c r="G378" s="14"/>
      <c r="H378" s="14"/>
      <c r="I378" s="14"/>
      <c r="J378" s="24"/>
      <c r="K378" s="24"/>
      <c r="L378" s="32">
        <v>3</v>
      </c>
      <c r="M378" s="14" t="s">
        <v>1618</v>
      </c>
      <c r="N378" s="8"/>
      <c r="O378" s="18" t="s">
        <v>1619</v>
      </c>
      <c r="P378" s="195" t="s">
        <v>1620</v>
      </c>
      <c r="Q378" s="195" t="s">
        <v>4507</v>
      </c>
      <c r="R378" s="195" t="s">
        <v>1621</v>
      </c>
      <c r="S378" s="193"/>
      <c r="T378" s="195">
        <v>35040</v>
      </c>
      <c r="U378" s="193" t="s">
        <v>574</v>
      </c>
      <c r="V378" s="195" t="s">
        <v>1378</v>
      </c>
      <c r="W378" s="193">
        <v>0</v>
      </c>
      <c r="X378" s="195">
        <v>0</v>
      </c>
      <c r="Y378" s="195">
        <v>0</v>
      </c>
      <c r="Z378" s="195">
        <v>0</v>
      </c>
      <c r="AA378" s="193">
        <v>0</v>
      </c>
      <c r="AB378" s="2"/>
    </row>
    <row r="379" spans="1:28" ht="15" customHeight="1">
      <c r="A379" s="16">
        <v>378</v>
      </c>
      <c r="B379" s="14" t="s">
        <v>1622</v>
      </c>
      <c r="C379" s="14" t="str">
        <f>_xlfn.CONCAT(B379&amp;" "&amp;W379&amp;X379&amp;Y379&amp;Z379)</f>
        <v>Paras Defence &amp; Space Technologies Ltd (Mechvac Fabricators (I) Pvt Ltd) 2224</v>
      </c>
      <c r="D379" s="16">
        <v>458</v>
      </c>
      <c r="E379" s="14" t="s">
        <v>90</v>
      </c>
      <c r="F379" s="14"/>
      <c r="G379" s="30">
        <v>41890</v>
      </c>
      <c r="H379" s="30"/>
      <c r="I379" s="30"/>
      <c r="J379" s="24"/>
      <c r="K379" s="24"/>
      <c r="L379" s="32">
        <v>3</v>
      </c>
      <c r="M379" s="9" t="s">
        <v>1623</v>
      </c>
      <c r="N379" s="9"/>
      <c r="O379" s="18">
        <v>9594444439</v>
      </c>
      <c r="P379" s="195" t="s">
        <v>1624</v>
      </c>
      <c r="Q379" s="195" t="s">
        <v>4508</v>
      </c>
      <c r="R379" s="195" t="s">
        <v>1625</v>
      </c>
      <c r="S379" s="195" t="s">
        <v>258</v>
      </c>
      <c r="T379" s="195">
        <v>400706</v>
      </c>
      <c r="U379" s="195" t="s">
        <v>172</v>
      </c>
      <c r="V379" s="195" t="s">
        <v>23</v>
      </c>
      <c r="W379" s="193">
        <v>2</v>
      </c>
      <c r="X379" s="195">
        <v>2</v>
      </c>
      <c r="Y379" s="195">
        <v>2</v>
      </c>
      <c r="Z379" s="195">
        <v>4</v>
      </c>
      <c r="AA379" s="193" t="s">
        <v>4148</v>
      </c>
      <c r="AB379" s="2"/>
    </row>
    <row r="380" spans="1:28" ht="15" customHeight="1">
      <c r="A380" s="16">
        <v>379</v>
      </c>
      <c r="B380" s="14" t="s">
        <v>842</v>
      </c>
      <c r="C380" s="14" t="str">
        <f>_xlfn.CONCAT(B380&amp;" "&amp;W380&amp;X380&amp;Y380&amp;Z380)</f>
        <v>Connectwell Industries P Ltd. 2223</v>
      </c>
      <c r="D380" s="16" t="s">
        <v>1626</v>
      </c>
      <c r="E380" s="14" t="s">
        <v>42</v>
      </c>
      <c r="F380" s="14"/>
      <c r="G380" s="30">
        <v>41890</v>
      </c>
      <c r="H380" s="30"/>
      <c r="I380" s="30"/>
      <c r="J380" s="24">
        <v>44473</v>
      </c>
      <c r="K380" s="24">
        <v>44837</v>
      </c>
      <c r="L380" s="32">
        <v>3</v>
      </c>
      <c r="M380" s="14" t="s">
        <v>1627</v>
      </c>
      <c r="N380" s="8"/>
      <c r="O380" s="19"/>
      <c r="P380" s="195" t="s">
        <v>1629</v>
      </c>
      <c r="Q380" s="195" t="s">
        <v>4509</v>
      </c>
      <c r="R380" s="195" t="s">
        <v>1630</v>
      </c>
      <c r="S380" s="195" t="s">
        <v>221</v>
      </c>
      <c r="T380" s="195">
        <v>421204</v>
      </c>
      <c r="U380" s="195" t="s">
        <v>172</v>
      </c>
      <c r="V380" s="195" t="s">
        <v>23</v>
      </c>
      <c r="W380" s="193">
        <v>2</v>
      </c>
      <c r="X380" s="195">
        <v>2</v>
      </c>
      <c r="Y380" s="195">
        <v>2</v>
      </c>
      <c r="Z380" s="195">
        <v>3</v>
      </c>
      <c r="AA380" s="193" t="s">
        <v>4118</v>
      </c>
      <c r="AB380" s="2"/>
    </row>
    <row r="381" spans="1:28" ht="15" customHeight="1">
      <c r="A381" s="16">
        <v>380</v>
      </c>
      <c r="B381" s="14" t="s">
        <v>1631</v>
      </c>
      <c r="C381" s="14" t="str">
        <f>_xlfn.CONCAT(B381&amp;" "&amp;W381&amp;X381&amp;Y381&amp;Z381)</f>
        <v>Indo Tools &amp; Dies (India) Pvt Ltd 4041</v>
      </c>
      <c r="D381" s="16">
        <v>436</v>
      </c>
      <c r="E381" s="14" t="s">
        <v>42</v>
      </c>
      <c r="F381" s="14"/>
      <c r="G381" s="30">
        <v>41898</v>
      </c>
      <c r="H381" s="30"/>
      <c r="I381" s="30"/>
      <c r="J381" s="24">
        <v>44361</v>
      </c>
      <c r="K381" s="24">
        <v>44725</v>
      </c>
      <c r="L381" s="32">
        <v>3</v>
      </c>
      <c r="M381" s="14" t="s">
        <v>1632</v>
      </c>
      <c r="N381" s="14" t="s">
        <v>71</v>
      </c>
      <c r="O381" s="18">
        <v>9941243612</v>
      </c>
      <c r="P381" s="195" t="s">
        <v>1633</v>
      </c>
      <c r="Q381" s="195" t="s">
        <v>4510</v>
      </c>
      <c r="R381" s="195" t="s">
        <v>62</v>
      </c>
      <c r="S381" s="195" t="s">
        <v>37</v>
      </c>
      <c r="T381" s="195">
        <v>600077</v>
      </c>
      <c r="U381" s="195" t="s">
        <v>38</v>
      </c>
      <c r="V381" s="195" t="s">
        <v>23</v>
      </c>
      <c r="W381" s="193">
        <v>4</v>
      </c>
      <c r="X381" s="195">
        <v>0</v>
      </c>
      <c r="Y381" s="195">
        <v>4</v>
      </c>
      <c r="Z381" s="195">
        <v>1</v>
      </c>
      <c r="AA381" s="193" t="s">
        <v>4148</v>
      </c>
      <c r="AB381" s="2"/>
    </row>
    <row r="382" spans="1:28" ht="15" customHeight="1">
      <c r="A382" s="16">
        <v>381</v>
      </c>
      <c r="B382" s="14" t="s">
        <v>1634</v>
      </c>
      <c r="C382" s="14" t="str">
        <f>_xlfn.CONCAT(B382&amp;" "&amp;W382&amp;X382&amp;Y382&amp;Z382)</f>
        <v>Prabha Engg Pvt Ltd 2412</v>
      </c>
      <c r="D382" s="16">
        <v>457</v>
      </c>
      <c r="E382" s="14" t="s">
        <v>90</v>
      </c>
      <c r="F382" s="14"/>
      <c r="G382" s="30">
        <v>41874</v>
      </c>
      <c r="H382" s="30"/>
      <c r="I382" s="30"/>
      <c r="J382" s="24">
        <v>45278</v>
      </c>
      <c r="K382" s="24">
        <v>45643</v>
      </c>
      <c r="L382" s="32">
        <v>3</v>
      </c>
      <c r="M382" s="9" t="s">
        <v>1635</v>
      </c>
      <c r="N382" s="9"/>
      <c r="O382" s="18" t="s">
        <v>1636</v>
      </c>
      <c r="P382" s="195" t="s">
        <v>1637</v>
      </c>
      <c r="Q382" s="195" t="s">
        <v>4511</v>
      </c>
      <c r="R382" s="193"/>
      <c r="S382" s="195" t="s">
        <v>215</v>
      </c>
      <c r="T382" s="195">
        <v>412111</v>
      </c>
      <c r="U382" s="195" t="s">
        <v>172</v>
      </c>
      <c r="V382" s="195" t="s">
        <v>23</v>
      </c>
      <c r="W382" s="193">
        <v>2</v>
      </c>
      <c r="X382" s="195">
        <v>4</v>
      </c>
      <c r="Y382" s="195">
        <v>1</v>
      </c>
      <c r="Z382" s="195">
        <v>2</v>
      </c>
      <c r="AA382" s="193" t="s">
        <v>4150</v>
      </c>
      <c r="AB382" s="2"/>
    </row>
    <row r="383" spans="1:28" ht="15" customHeight="1">
      <c r="A383" s="16">
        <v>382</v>
      </c>
      <c r="B383" s="14" t="s">
        <v>1638</v>
      </c>
      <c r="C383" s="14" t="str">
        <f>_xlfn.CONCAT(B383&amp;" "&amp;W383&amp;X383&amp;Y383&amp;Z383)</f>
        <v>Poorvik Engineers Pvt Ltd 4031</v>
      </c>
      <c r="D383" s="16">
        <v>438</v>
      </c>
      <c r="E383" s="14" t="s">
        <v>42</v>
      </c>
      <c r="F383" s="14"/>
      <c r="G383" s="30">
        <v>41883</v>
      </c>
      <c r="H383" s="30"/>
      <c r="I383" s="30"/>
      <c r="J383" s="24"/>
      <c r="K383" s="24"/>
      <c r="L383" s="32">
        <v>3</v>
      </c>
      <c r="M383" s="14" t="s">
        <v>1639</v>
      </c>
      <c r="N383" s="8"/>
      <c r="O383" s="18" t="s">
        <v>1640</v>
      </c>
      <c r="P383" s="195" t="s">
        <v>364</v>
      </c>
      <c r="Q383" s="195" t="s">
        <v>4512</v>
      </c>
      <c r="R383" s="193"/>
      <c r="S383" s="195" t="s">
        <v>354</v>
      </c>
      <c r="T383" s="195">
        <v>603209</v>
      </c>
      <c r="U383" s="195" t="s">
        <v>38</v>
      </c>
      <c r="V383" s="195" t="s">
        <v>23</v>
      </c>
      <c r="W383" s="193">
        <v>4</v>
      </c>
      <c r="X383" s="195">
        <v>0</v>
      </c>
      <c r="Y383" s="195">
        <v>3</v>
      </c>
      <c r="Z383" s="195">
        <v>1</v>
      </c>
      <c r="AA383" s="193" t="s">
        <v>4148</v>
      </c>
      <c r="AB383" s="2"/>
    </row>
    <row r="384" spans="1:28" ht="15" customHeight="1">
      <c r="A384" s="16">
        <v>383</v>
      </c>
      <c r="B384" s="14" t="s">
        <v>1641</v>
      </c>
      <c r="C384" s="14" t="str">
        <f>_xlfn.CONCAT(B384&amp;" "&amp;W384&amp;X384&amp;Y384&amp;Z384)</f>
        <v>Yazaki India Limited 5011</v>
      </c>
      <c r="D384" s="16">
        <v>442</v>
      </c>
      <c r="E384" s="14" t="s">
        <v>42</v>
      </c>
      <c r="F384" s="14"/>
      <c r="G384" s="30">
        <v>41925</v>
      </c>
      <c r="H384" s="30"/>
      <c r="I384" s="30"/>
      <c r="J384" s="24">
        <v>45413</v>
      </c>
      <c r="K384" s="24">
        <v>45412</v>
      </c>
      <c r="L384" s="32">
        <v>3</v>
      </c>
      <c r="M384" s="14" t="s">
        <v>1642</v>
      </c>
      <c r="N384" s="14" t="s">
        <v>1643</v>
      </c>
      <c r="O384" s="18">
        <v>7798988067</v>
      </c>
      <c r="P384" s="15" t="s">
        <v>1644</v>
      </c>
      <c r="Q384" s="15" t="s">
        <v>4513</v>
      </c>
      <c r="R384" s="15"/>
      <c r="S384" s="195" t="s">
        <v>143</v>
      </c>
      <c r="T384" s="195">
        <v>382220</v>
      </c>
      <c r="U384" s="195" t="s">
        <v>144</v>
      </c>
      <c r="V384" s="195" t="s">
        <v>23</v>
      </c>
      <c r="W384" s="193">
        <v>5</v>
      </c>
      <c r="X384" s="195">
        <v>0</v>
      </c>
      <c r="Y384" s="195">
        <v>1</v>
      </c>
      <c r="Z384" s="195">
        <v>1</v>
      </c>
      <c r="AA384" s="193" t="s">
        <v>4118</v>
      </c>
      <c r="AB384" s="2"/>
    </row>
    <row r="385" spans="1:28" ht="15" customHeight="1">
      <c r="A385" s="16">
        <v>384</v>
      </c>
      <c r="B385" s="14" t="s">
        <v>1645</v>
      </c>
      <c r="C385" s="14" t="str">
        <f>_xlfn.CONCAT(B385&amp;" "&amp;W385&amp;X385&amp;Y385&amp;Z385)</f>
        <v>ABI Showatech (India) Limited 4033</v>
      </c>
      <c r="D385" s="16" t="s">
        <v>1646</v>
      </c>
      <c r="E385" s="14" t="s">
        <v>1647</v>
      </c>
      <c r="F385" s="14"/>
      <c r="G385" s="30">
        <v>41925</v>
      </c>
      <c r="H385" s="30"/>
      <c r="I385" s="30"/>
      <c r="J385" s="24">
        <v>44200</v>
      </c>
      <c r="K385" s="24">
        <v>44564</v>
      </c>
      <c r="L385" s="32">
        <v>3</v>
      </c>
      <c r="M385" s="14" t="s">
        <v>1648</v>
      </c>
      <c r="N385" s="8"/>
      <c r="O385" s="18">
        <v>9443244495</v>
      </c>
      <c r="P385" s="195" t="s">
        <v>1649</v>
      </c>
      <c r="Q385" s="195" t="s">
        <v>4514</v>
      </c>
      <c r="R385" s="193"/>
      <c r="S385" s="195" t="s">
        <v>878</v>
      </c>
      <c r="T385" s="195">
        <v>632505</v>
      </c>
      <c r="U385" s="195" t="s">
        <v>38</v>
      </c>
      <c r="V385" s="195" t="s">
        <v>23</v>
      </c>
      <c r="W385" s="193">
        <v>4</v>
      </c>
      <c r="X385" s="195">
        <v>0</v>
      </c>
      <c r="Y385" s="195">
        <v>3</v>
      </c>
      <c r="Z385" s="195">
        <v>3</v>
      </c>
      <c r="AA385" s="193" t="s">
        <v>4148</v>
      </c>
      <c r="AB385" s="2"/>
    </row>
    <row r="386" spans="1:28" ht="15" customHeight="1">
      <c r="A386" s="16">
        <v>385</v>
      </c>
      <c r="B386" s="14" t="s">
        <v>1650</v>
      </c>
      <c r="C386" s="14" t="str">
        <f>_xlfn.CONCAT(B386&amp;" "&amp;W386&amp;X386&amp;Y386&amp;Z386)</f>
        <v>Teklight Components Pvt. Ltd 4022</v>
      </c>
      <c r="D386" s="16">
        <v>461</v>
      </c>
      <c r="E386" s="14" t="s">
        <v>42</v>
      </c>
      <c r="F386" s="14"/>
      <c r="G386" s="30">
        <v>41960</v>
      </c>
      <c r="H386" s="30"/>
      <c r="I386" s="30"/>
      <c r="J386" s="24"/>
      <c r="K386" s="24"/>
      <c r="L386" s="32">
        <v>3</v>
      </c>
      <c r="M386" s="9" t="s">
        <v>1651</v>
      </c>
      <c r="N386" s="9"/>
      <c r="O386" s="18">
        <v>9600119883</v>
      </c>
      <c r="P386" s="195" t="s">
        <v>944</v>
      </c>
      <c r="Q386" s="195" t="s">
        <v>4515</v>
      </c>
      <c r="R386" s="193"/>
      <c r="S386" s="195" t="s">
        <v>37</v>
      </c>
      <c r="T386" s="195">
        <v>600044</v>
      </c>
      <c r="U386" s="195" t="s">
        <v>38</v>
      </c>
      <c r="V386" s="195" t="s">
        <v>23</v>
      </c>
      <c r="W386" s="193">
        <v>4</v>
      </c>
      <c r="X386" s="195">
        <v>0</v>
      </c>
      <c r="Y386" s="195">
        <v>2</v>
      </c>
      <c r="Z386" s="195">
        <v>2</v>
      </c>
      <c r="AA386" s="193" t="s">
        <v>4148</v>
      </c>
      <c r="AB386" s="2"/>
    </row>
    <row r="387" spans="1:28" ht="15" customHeight="1">
      <c r="A387" s="16">
        <v>386</v>
      </c>
      <c r="B387" s="14" t="s">
        <v>1652</v>
      </c>
      <c r="C387" s="14" t="str">
        <f>_xlfn.CONCAT(B387&amp;" "&amp;W387&amp;X387&amp;Y387&amp;Z387)</f>
        <v>West Pharmaceutical Packaging India Pvt. L 4052</v>
      </c>
      <c r="D387" s="16">
        <v>481</v>
      </c>
      <c r="E387" s="14" t="s">
        <v>90</v>
      </c>
      <c r="F387" s="14"/>
      <c r="G387" s="30">
        <v>41970</v>
      </c>
      <c r="H387" s="30"/>
      <c r="I387" s="30"/>
      <c r="J387" s="24">
        <v>45964</v>
      </c>
      <c r="K387" s="24">
        <v>46328</v>
      </c>
      <c r="L387" s="32">
        <v>3</v>
      </c>
      <c r="M387" s="14" t="s">
        <v>1653</v>
      </c>
      <c r="N387" s="8"/>
      <c r="O387" s="18">
        <v>9951672672</v>
      </c>
      <c r="P387" s="195" t="s">
        <v>1654</v>
      </c>
      <c r="Q387" s="195" t="s">
        <v>4516</v>
      </c>
      <c r="R387" s="195" t="s">
        <v>1655</v>
      </c>
      <c r="S387" s="195" t="s">
        <v>1656</v>
      </c>
      <c r="T387" s="195">
        <v>517588</v>
      </c>
      <c r="U387" s="195" t="s">
        <v>54</v>
      </c>
      <c r="V387" s="195" t="s">
        <v>23</v>
      </c>
      <c r="W387" s="193">
        <v>4</v>
      </c>
      <c r="X387" s="195">
        <v>0</v>
      </c>
      <c r="Y387" s="195">
        <v>5</v>
      </c>
      <c r="Z387" s="195">
        <v>2</v>
      </c>
      <c r="AA387" s="193" t="s">
        <v>4148</v>
      </c>
      <c r="AB387" s="2"/>
    </row>
    <row r="388" spans="1:28" ht="15" customHeight="1">
      <c r="A388" s="16">
        <v>387</v>
      </c>
      <c r="B388" s="14" t="s">
        <v>1658</v>
      </c>
      <c r="C388" s="14" t="str">
        <f>_xlfn.CONCAT(B388&amp;" "&amp;W388&amp;X388&amp;Y388&amp;Z388)</f>
        <v>Siddhant Engg Services 2301</v>
      </c>
      <c r="D388" s="16">
        <v>466</v>
      </c>
      <c r="E388" s="14" t="s">
        <v>42</v>
      </c>
      <c r="F388" s="14"/>
      <c r="G388" s="30">
        <v>41975</v>
      </c>
      <c r="H388" s="30"/>
      <c r="I388" s="30"/>
      <c r="J388" s="24"/>
      <c r="K388" s="24"/>
      <c r="L388" s="32">
        <v>3</v>
      </c>
      <c r="M388" s="9" t="s">
        <v>1659</v>
      </c>
      <c r="N388" s="9"/>
      <c r="O388" s="18" t="s">
        <v>1660</v>
      </c>
      <c r="P388" s="195" t="s">
        <v>1143</v>
      </c>
      <c r="Q388" s="195" t="s">
        <v>4517</v>
      </c>
      <c r="R388" s="193"/>
      <c r="S388" s="195" t="s">
        <v>321</v>
      </c>
      <c r="T388" s="195">
        <v>422007</v>
      </c>
      <c r="U388" s="195" t="s">
        <v>172</v>
      </c>
      <c r="V388" s="195" t="s">
        <v>23</v>
      </c>
      <c r="W388" s="193">
        <v>2</v>
      </c>
      <c r="X388" s="195">
        <v>3</v>
      </c>
      <c r="Y388" s="195">
        <v>0</v>
      </c>
      <c r="Z388" s="195">
        <v>1</v>
      </c>
      <c r="AA388" s="193" t="s">
        <v>5215</v>
      </c>
      <c r="AB388" s="2"/>
    </row>
    <row r="389" spans="1:28" ht="15" customHeight="1">
      <c r="A389" s="16">
        <v>388</v>
      </c>
      <c r="B389" s="14" t="s">
        <v>1661</v>
      </c>
      <c r="C389" s="14" t="str">
        <f>_xlfn.CONCAT(B389&amp;" "&amp;W389&amp;X389&amp;Y389&amp;Z389)</f>
        <v>Tata Consultancy Services Ltd 8003</v>
      </c>
      <c r="D389" s="16">
        <v>482</v>
      </c>
      <c r="E389" s="14" t="s">
        <v>90</v>
      </c>
      <c r="F389" s="14"/>
      <c r="G389" s="30">
        <v>41981</v>
      </c>
      <c r="H389" s="30"/>
      <c r="I389" s="30"/>
      <c r="J389" s="24">
        <v>44650</v>
      </c>
      <c r="K389" s="24">
        <v>45014</v>
      </c>
      <c r="L389" s="32">
        <v>3</v>
      </c>
      <c r="M389" s="14" t="s">
        <v>1662</v>
      </c>
      <c r="N389" s="8"/>
      <c r="O389" s="19">
        <v>9923326270</v>
      </c>
      <c r="P389" s="195" t="s">
        <v>1663</v>
      </c>
      <c r="Q389" s="195" t="s">
        <v>4518</v>
      </c>
      <c r="R389" s="195" t="s">
        <v>1664</v>
      </c>
      <c r="S389" s="195" t="s">
        <v>1665</v>
      </c>
      <c r="T389" s="195">
        <v>403526</v>
      </c>
      <c r="U389" s="195" t="s">
        <v>1666</v>
      </c>
      <c r="V389" s="195" t="s">
        <v>23</v>
      </c>
      <c r="W389" s="193">
        <v>8</v>
      </c>
      <c r="X389" s="195">
        <v>0</v>
      </c>
      <c r="Y389" s="195">
        <v>0</v>
      </c>
      <c r="Z389" s="195">
        <v>3</v>
      </c>
      <c r="AA389" s="193" t="s">
        <v>4118</v>
      </c>
      <c r="AB389" s="2"/>
    </row>
    <row r="390" spans="1:28" ht="15" customHeight="1">
      <c r="A390" s="16">
        <v>389</v>
      </c>
      <c r="B390" s="14" t="s">
        <v>1667</v>
      </c>
      <c r="C390" s="14" t="str">
        <f>_xlfn.CONCAT(B390&amp;" "&amp;W390&amp;X390&amp;Y390&amp;Z390)</f>
        <v>Honeywell International (India) Pvt. Ltd 1111</v>
      </c>
      <c r="D390" s="16">
        <v>485</v>
      </c>
      <c r="E390" s="14" t="s">
        <v>90</v>
      </c>
      <c r="F390" s="14"/>
      <c r="G390" s="30">
        <v>41992</v>
      </c>
      <c r="H390" s="30"/>
      <c r="I390" s="30"/>
      <c r="J390" s="24">
        <v>44629</v>
      </c>
      <c r="K390" s="24">
        <v>44993</v>
      </c>
      <c r="L390" s="32">
        <v>3</v>
      </c>
      <c r="M390" s="9" t="s">
        <v>1668</v>
      </c>
      <c r="N390" s="9"/>
      <c r="O390" s="18" t="s">
        <v>1669</v>
      </c>
      <c r="P390" s="195" t="s">
        <v>1670</v>
      </c>
      <c r="Q390" s="195" t="s">
        <v>4519</v>
      </c>
      <c r="R390" s="193"/>
      <c r="S390" s="195" t="s">
        <v>428</v>
      </c>
      <c r="T390" s="195">
        <v>122044</v>
      </c>
      <c r="U390" s="195" t="s">
        <v>429</v>
      </c>
      <c r="V390" s="195" t="s">
        <v>23</v>
      </c>
      <c r="W390" s="193">
        <v>1</v>
      </c>
      <c r="X390" s="195">
        <v>1</v>
      </c>
      <c r="Y390" s="195">
        <v>1</v>
      </c>
      <c r="Z390" s="195">
        <v>1</v>
      </c>
      <c r="AA390" s="193" t="s">
        <v>4118</v>
      </c>
      <c r="AB390" s="2"/>
    </row>
    <row r="391" spans="1:28" s="225" customFormat="1" ht="15" customHeight="1">
      <c r="A391" s="37">
        <v>390</v>
      </c>
      <c r="B391" s="38" t="s">
        <v>1671</v>
      </c>
      <c r="C391" s="14" t="str">
        <f>_xlfn.CONCAT(B391&amp;" "&amp;W391&amp;X391&amp;Y391&amp;Z391)</f>
        <v>Oerlikon Balzers Coating India Ltd 1111</v>
      </c>
      <c r="D391" s="37" t="s">
        <v>5222</v>
      </c>
      <c r="E391" s="38"/>
      <c r="F391" s="38"/>
      <c r="G391" s="38"/>
      <c r="H391" s="38"/>
      <c r="I391" s="38"/>
      <c r="J391" s="39"/>
      <c r="K391" s="39"/>
      <c r="L391" s="32">
        <v>3</v>
      </c>
      <c r="M391" s="38" t="s">
        <v>1672</v>
      </c>
      <c r="N391" s="40"/>
      <c r="O391" s="41">
        <v>7798982150</v>
      </c>
      <c r="P391" s="42" t="s">
        <v>1099</v>
      </c>
      <c r="Q391" s="42" t="s">
        <v>4520</v>
      </c>
      <c r="R391" s="43"/>
      <c r="S391" s="42" t="s">
        <v>428</v>
      </c>
      <c r="T391" s="42">
        <v>122001</v>
      </c>
      <c r="U391" s="42" t="s">
        <v>429</v>
      </c>
      <c r="V391" s="42" t="s">
        <v>23</v>
      </c>
      <c r="W391" s="193">
        <v>1</v>
      </c>
      <c r="X391" s="42">
        <v>1</v>
      </c>
      <c r="Y391" s="42">
        <v>1</v>
      </c>
      <c r="Z391" s="42">
        <v>1</v>
      </c>
      <c r="AA391" s="193" t="s">
        <v>4118</v>
      </c>
      <c r="AB391" s="221"/>
    </row>
    <row r="392" spans="1:28" ht="15" customHeight="1">
      <c r="A392" s="16">
        <v>391</v>
      </c>
      <c r="B392" s="14" t="s">
        <v>1673</v>
      </c>
      <c r="C392" s="14" t="str">
        <f>_xlfn.CONCAT(B392&amp;" "&amp;W392&amp;X392&amp;Y392&amp;Z392)</f>
        <v>Agile Electric Subassembly Pvt. Ltd 4024</v>
      </c>
      <c r="D392" s="16">
        <v>468</v>
      </c>
      <c r="E392" s="14" t="s">
        <v>42</v>
      </c>
      <c r="F392" s="14"/>
      <c r="G392" s="30">
        <v>42006</v>
      </c>
      <c r="H392" s="30"/>
      <c r="I392" s="30"/>
      <c r="J392" s="24"/>
      <c r="K392" s="24"/>
      <c r="L392" s="32">
        <v>3</v>
      </c>
      <c r="M392" s="14" t="s">
        <v>1674</v>
      </c>
      <c r="N392" s="8"/>
      <c r="O392" s="18" t="s">
        <v>1675</v>
      </c>
      <c r="P392" s="195" t="s">
        <v>1676</v>
      </c>
      <c r="Q392" s="195" t="s">
        <v>4521</v>
      </c>
      <c r="R392" s="195" t="s">
        <v>1677</v>
      </c>
      <c r="S392" s="195" t="s">
        <v>37</v>
      </c>
      <c r="T392" s="195">
        <v>603209</v>
      </c>
      <c r="U392" s="195" t="s">
        <v>38</v>
      </c>
      <c r="V392" s="195" t="s">
        <v>23</v>
      </c>
      <c r="W392" s="193">
        <v>4</v>
      </c>
      <c r="X392" s="195">
        <v>0</v>
      </c>
      <c r="Y392" s="195">
        <v>2</v>
      </c>
      <c r="Z392" s="195">
        <v>4</v>
      </c>
      <c r="AA392" s="193" t="s">
        <v>4148</v>
      </c>
      <c r="AB392" s="2"/>
    </row>
    <row r="393" spans="1:28" ht="15" customHeight="1">
      <c r="A393" s="16">
        <v>392</v>
      </c>
      <c r="B393" s="14" t="s">
        <v>1678</v>
      </c>
      <c r="C393" s="14" t="str">
        <f>_xlfn.CONCAT(B393&amp;" "&amp;W393&amp;X393&amp;Y393&amp;Z393)</f>
        <v>Machroplast 4022</v>
      </c>
      <c r="D393" s="16">
        <v>486</v>
      </c>
      <c r="E393" s="14" t="s">
        <v>90</v>
      </c>
      <c r="F393" s="14"/>
      <c r="G393" s="30">
        <v>42006</v>
      </c>
      <c r="H393" s="30"/>
      <c r="I393" s="30"/>
      <c r="J393" s="24">
        <v>43758</v>
      </c>
      <c r="K393" s="24">
        <v>44123</v>
      </c>
      <c r="L393" s="32">
        <v>3</v>
      </c>
      <c r="M393" s="14" t="s">
        <v>1679</v>
      </c>
      <c r="N393" s="8"/>
      <c r="O393" s="18" t="s">
        <v>1680</v>
      </c>
      <c r="P393" s="195" t="s">
        <v>791</v>
      </c>
      <c r="Q393" s="195" t="s">
        <v>4522</v>
      </c>
      <c r="R393" s="195" t="s">
        <v>1681</v>
      </c>
      <c r="S393" s="195" t="s">
        <v>37</v>
      </c>
      <c r="T393" s="195">
        <v>600044</v>
      </c>
      <c r="U393" s="195" t="s">
        <v>38</v>
      </c>
      <c r="V393" s="195" t="s">
        <v>23</v>
      </c>
      <c r="W393" s="193">
        <v>4</v>
      </c>
      <c r="X393" s="195">
        <v>0</v>
      </c>
      <c r="Y393" s="195">
        <v>2</v>
      </c>
      <c r="Z393" s="195">
        <v>2</v>
      </c>
      <c r="AA393" s="193" t="s">
        <v>4148</v>
      </c>
      <c r="AB393" s="2"/>
    </row>
    <row r="394" spans="1:28" ht="15" customHeight="1">
      <c r="A394" s="16">
        <v>393</v>
      </c>
      <c r="B394" s="14" t="s">
        <v>1682</v>
      </c>
      <c r="C394" s="14" t="str">
        <f>_xlfn.CONCAT(B394&amp;" "&amp;W394&amp;X394&amp;Y394&amp;Z394)</f>
        <v>HPL Eletric &amp; Power Pvt. Ltd 1313</v>
      </c>
      <c r="D394" s="16">
        <v>465</v>
      </c>
      <c r="E394" s="14" t="s">
        <v>42</v>
      </c>
      <c r="F394" s="14"/>
      <c r="G394" s="30">
        <v>42025</v>
      </c>
      <c r="H394" s="30"/>
      <c r="I394" s="30"/>
      <c r="J394" s="24">
        <v>45895</v>
      </c>
      <c r="K394" s="24">
        <v>46259</v>
      </c>
      <c r="L394" s="32">
        <v>3</v>
      </c>
      <c r="M394" s="14" t="s">
        <v>1683</v>
      </c>
      <c r="N394" s="8"/>
      <c r="O394" s="18" t="s">
        <v>1684</v>
      </c>
      <c r="P394" s="195" t="s">
        <v>1685</v>
      </c>
      <c r="Q394" s="195" t="s">
        <v>4523</v>
      </c>
      <c r="R394" s="193"/>
      <c r="S394" s="195" t="s">
        <v>665</v>
      </c>
      <c r="T394" s="195">
        <v>173209</v>
      </c>
      <c r="U394" s="195" t="s">
        <v>336</v>
      </c>
      <c r="V394" s="195" t="s">
        <v>23</v>
      </c>
      <c r="W394" s="193">
        <v>1</v>
      </c>
      <c r="X394" s="195">
        <v>3</v>
      </c>
      <c r="Y394" s="195">
        <v>1</v>
      </c>
      <c r="Z394" s="195">
        <v>3</v>
      </c>
      <c r="AA394" s="193" t="s">
        <v>4118</v>
      </c>
      <c r="AB394" s="2"/>
    </row>
    <row r="395" spans="1:28" ht="15" customHeight="1">
      <c r="A395" s="16">
        <v>394</v>
      </c>
      <c r="B395" s="14" t="s">
        <v>1686</v>
      </c>
      <c r="C395" s="14" t="str">
        <f>_xlfn.CONCAT(B395&amp;" "&amp;W395&amp;X395&amp;Y395&amp;Z395)</f>
        <v>Parle Elizabeth Tools Pvt. Ltd 2222</v>
      </c>
      <c r="D395" s="16">
        <v>441</v>
      </c>
      <c r="E395" s="14" t="s">
        <v>42</v>
      </c>
      <c r="F395" s="14"/>
      <c r="G395" s="30">
        <v>42027</v>
      </c>
      <c r="H395" s="30"/>
      <c r="I395" s="30"/>
      <c r="J395" s="24">
        <v>45383</v>
      </c>
      <c r="K395" s="24">
        <v>45747</v>
      </c>
      <c r="L395" s="32">
        <v>3</v>
      </c>
      <c r="M395" s="8"/>
      <c r="N395" s="8"/>
      <c r="O395" s="19"/>
      <c r="P395" s="195" t="s">
        <v>1687</v>
      </c>
      <c r="Q395" s="195" t="s">
        <v>4524</v>
      </c>
      <c r="R395" s="195" t="s">
        <v>1688</v>
      </c>
      <c r="S395" s="195" t="s">
        <v>177</v>
      </c>
      <c r="T395" s="195">
        <v>401208</v>
      </c>
      <c r="U395" s="195" t="s">
        <v>172</v>
      </c>
      <c r="V395" s="195" t="s">
        <v>23</v>
      </c>
      <c r="W395" s="193">
        <v>2</v>
      </c>
      <c r="X395" s="195">
        <v>2</v>
      </c>
      <c r="Y395" s="195">
        <v>2</v>
      </c>
      <c r="Z395" s="195">
        <v>2</v>
      </c>
      <c r="AA395" s="193" t="s">
        <v>4118</v>
      </c>
      <c r="AB395" s="2"/>
    </row>
    <row r="396" spans="1:28" ht="15" customHeight="1">
      <c r="A396" s="16">
        <v>395</v>
      </c>
      <c r="B396" s="14" t="s">
        <v>1689</v>
      </c>
      <c r="C396" s="14" t="str">
        <f>_xlfn.CONCAT(B396&amp;" "&amp;W396&amp;X396&amp;Y396&amp;Z396)</f>
        <v>Metec CNC OU 0000</v>
      </c>
      <c r="D396" s="16">
        <v>459</v>
      </c>
      <c r="E396" s="14" t="s">
        <v>90</v>
      </c>
      <c r="F396" s="14"/>
      <c r="G396" s="14"/>
      <c r="H396" s="14"/>
      <c r="I396" s="14"/>
      <c r="J396" s="24"/>
      <c r="K396" s="24"/>
      <c r="L396" s="32">
        <v>3</v>
      </c>
      <c r="M396" s="14" t="s">
        <v>1690</v>
      </c>
      <c r="N396" s="8"/>
      <c r="O396" s="18" t="s">
        <v>1691</v>
      </c>
      <c r="P396" s="193"/>
      <c r="Q396" s="193" t="s">
        <v>4525</v>
      </c>
      <c r="R396" s="193"/>
      <c r="S396" s="193"/>
      <c r="T396" s="195">
        <v>51013</v>
      </c>
      <c r="U396" s="193" t="s">
        <v>574</v>
      </c>
      <c r="V396" s="195" t="s">
        <v>1692</v>
      </c>
      <c r="W396" s="193">
        <v>0</v>
      </c>
      <c r="X396" s="195">
        <v>0</v>
      </c>
      <c r="Y396" s="195">
        <v>0</v>
      </c>
      <c r="Z396" s="195">
        <v>0</v>
      </c>
      <c r="AA396" s="193">
        <v>0</v>
      </c>
      <c r="AB396" s="2"/>
    </row>
    <row r="397" spans="1:28" ht="15" customHeight="1">
      <c r="A397" s="16">
        <v>396</v>
      </c>
      <c r="B397" s="14" t="s">
        <v>1693</v>
      </c>
      <c r="C397" s="14" t="str">
        <f>_xlfn.CONCAT(B397&amp;" "&amp;W397&amp;X397&amp;Y397&amp;Z397)</f>
        <v>CMBF Trading &amp; Manufacturing India Pvt Ltd (Carlisle Trading &amp; Manufacturing India Pvt Ltd) (CMM) 4031</v>
      </c>
      <c r="D397" s="16">
        <v>469</v>
      </c>
      <c r="E397" s="14" t="s">
        <v>42</v>
      </c>
      <c r="F397" s="14"/>
      <c r="G397" s="30">
        <v>42039</v>
      </c>
      <c r="H397" s="30"/>
      <c r="I397" s="30"/>
      <c r="J397" s="24">
        <v>45744</v>
      </c>
      <c r="K397" s="24">
        <v>46108</v>
      </c>
      <c r="L397" s="32">
        <v>3</v>
      </c>
      <c r="M397" s="14" t="s">
        <v>1694</v>
      </c>
      <c r="N397" s="8"/>
      <c r="O397" s="18" t="s">
        <v>1695</v>
      </c>
      <c r="P397" s="195" t="s">
        <v>1696</v>
      </c>
      <c r="Q397" s="195" t="s">
        <v>4526</v>
      </c>
      <c r="R397" s="193"/>
      <c r="S397" s="195" t="s">
        <v>353</v>
      </c>
      <c r="T397" s="195">
        <v>602105</v>
      </c>
      <c r="U397" s="195" t="s">
        <v>38</v>
      </c>
      <c r="V397" s="195" t="s">
        <v>23</v>
      </c>
      <c r="W397" s="193">
        <v>4</v>
      </c>
      <c r="X397" s="195">
        <v>0</v>
      </c>
      <c r="Y397" s="195">
        <v>3</v>
      </c>
      <c r="Z397" s="195">
        <v>1</v>
      </c>
      <c r="AA397" s="193" t="s">
        <v>4148</v>
      </c>
      <c r="AB397" s="2"/>
    </row>
    <row r="398" spans="1:28" ht="15" customHeight="1">
      <c r="A398" s="16">
        <v>397</v>
      </c>
      <c r="B398" s="14" t="s">
        <v>1697</v>
      </c>
      <c r="C398" s="14" t="str">
        <f>_xlfn.CONCAT(B398&amp;" "&amp;W398&amp;X398&amp;Y398&amp;Z398)</f>
        <v>J K Fenner (India) Limited 4031</v>
      </c>
      <c r="D398" s="16">
        <v>471</v>
      </c>
      <c r="E398" s="14" t="s">
        <v>42</v>
      </c>
      <c r="F398" s="14"/>
      <c r="G398" s="30">
        <v>42045</v>
      </c>
      <c r="H398" s="30"/>
      <c r="I398" s="30"/>
      <c r="J398" s="39">
        <v>45897</v>
      </c>
      <c r="K398" s="39">
        <v>46261</v>
      </c>
      <c r="L398" s="32">
        <v>3</v>
      </c>
      <c r="M398" s="14" t="s">
        <v>1698</v>
      </c>
      <c r="N398" s="8"/>
      <c r="O398" s="18" t="s">
        <v>1699</v>
      </c>
      <c r="P398" s="195" t="s">
        <v>353</v>
      </c>
      <c r="Q398" s="195" t="s">
        <v>4527</v>
      </c>
      <c r="R398" s="193"/>
      <c r="S398" s="195" t="s">
        <v>354</v>
      </c>
      <c r="T398" s="195">
        <v>602105</v>
      </c>
      <c r="U398" s="195" t="s">
        <v>38</v>
      </c>
      <c r="V398" s="195" t="s">
        <v>23</v>
      </c>
      <c r="W398" s="193">
        <v>4</v>
      </c>
      <c r="X398" s="195">
        <v>0</v>
      </c>
      <c r="Y398" s="195">
        <v>3</v>
      </c>
      <c r="Z398" s="195">
        <v>1</v>
      </c>
      <c r="AA398" s="193" t="s">
        <v>4148</v>
      </c>
      <c r="AB398" s="2"/>
    </row>
    <row r="399" spans="1:28" ht="15" customHeight="1">
      <c r="A399" s="16">
        <v>398</v>
      </c>
      <c r="B399" s="14" t="s">
        <v>1700</v>
      </c>
      <c r="C399" s="14" t="str">
        <f>_xlfn.CONCAT(B399&amp;" "&amp;W399&amp;X399&amp;Y399&amp;Z399)</f>
        <v>R K Industries 4041</v>
      </c>
      <c r="D399" s="16">
        <v>463</v>
      </c>
      <c r="E399" s="14" t="s">
        <v>42</v>
      </c>
      <c r="F399" s="14"/>
      <c r="G399" s="30">
        <v>42045</v>
      </c>
      <c r="H399" s="30"/>
      <c r="I399" s="30"/>
      <c r="J399" s="24">
        <v>44544</v>
      </c>
      <c r="K399" s="24">
        <v>44908</v>
      </c>
      <c r="L399" s="32">
        <v>3</v>
      </c>
      <c r="M399" s="14" t="s">
        <v>1701</v>
      </c>
      <c r="N399" s="8"/>
      <c r="O399" s="18" t="s">
        <v>1702</v>
      </c>
      <c r="P399" s="15" t="s">
        <v>1703</v>
      </c>
      <c r="Q399" s="15" t="s">
        <v>4528</v>
      </c>
      <c r="R399" s="15"/>
      <c r="S399" s="195" t="s">
        <v>37</v>
      </c>
      <c r="T399" s="195">
        <v>600058</v>
      </c>
      <c r="U399" s="195" t="s">
        <v>38</v>
      </c>
      <c r="V399" s="195" t="s">
        <v>23</v>
      </c>
      <c r="W399" s="193">
        <v>4</v>
      </c>
      <c r="X399" s="195">
        <v>0</v>
      </c>
      <c r="Y399" s="195">
        <v>4</v>
      </c>
      <c r="Z399" s="195">
        <v>1</v>
      </c>
      <c r="AA399" s="193" t="s">
        <v>4148</v>
      </c>
      <c r="AB399" s="2"/>
    </row>
    <row r="400" spans="1:28" ht="15" customHeight="1">
      <c r="A400" s="16">
        <v>399</v>
      </c>
      <c r="B400" s="14" t="s">
        <v>1704</v>
      </c>
      <c r="C400" s="14" t="str">
        <f>_xlfn.CONCAT(B400&amp;" "&amp;W400&amp;X400&amp;Y400&amp;Z400)</f>
        <v>Punch Ratna Fasteners Pvt. Ltd 1122</v>
      </c>
      <c r="D400" s="16">
        <v>433</v>
      </c>
      <c r="E400" s="14" t="s">
        <v>42</v>
      </c>
      <c r="F400" s="14"/>
      <c r="G400" s="30">
        <v>42054</v>
      </c>
      <c r="H400" s="30"/>
      <c r="I400" s="30"/>
      <c r="J400" s="24">
        <v>44438</v>
      </c>
      <c r="K400" s="24">
        <v>44802</v>
      </c>
      <c r="L400" s="32">
        <v>3</v>
      </c>
      <c r="M400" s="14" t="s">
        <v>1705</v>
      </c>
      <c r="N400" s="8"/>
      <c r="O400" s="18">
        <v>9896689577</v>
      </c>
      <c r="P400" s="195" t="s">
        <v>1706</v>
      </c>
      <c r="Q400" s="195" t="s">
        <v>4529</v>
      </c>
      <c r="R400" s="193"/>
      <c r="S400" s="195" t="s">
        <v>1529</v>
      </c>
      <c r="T400" s="195">
        <v>124001</v>
      </c>
      <c r="U400" s="195" t="s">
        <v>429</v>
      </c>
      <c r="V400" s="195" t="s">
        <v>23</v>
      </c>
      <c r="W400" s="193">
        <v>1</v>
      </c>
      <c r="X400" s="195">
        <v>1</v>
      </c>
      <c r="Y400" s="195">
        <v>2</v>
      </c>
      <c r="Z400" s="195">
        <v>2</v>
      </c>
      <c r="AA400" s="193" t="s">
        <v>4118</v>
      </c>
      <c r="AB400" s="2"/>
    </row>
    <row r="401" spans="1:28" ht="15" customHeight="1">
      <c r="A401" s="16">
        <v>400</v>
      </c>
      <c r="B401" s="14" t="s">
        <v>1707</v>
      </c>
      <c r="C401" s="14" t="str">
        <f>_xlfn.CONCAT(B401&amp;" "&amp;W401&amp;X401&amp;Y401&amp;Z401)</f>
        <v>Toyota Industries Engine India Pvt Ltd (KTTM) 8021</v>
      </c>
      <c r="D401" s="16">
        <v>460</v>
      </c>
      <c r="E401" s="14" t="s">
        <v>1248</v>
      </c>
      <c r="F401" s="14"/>
      <c r="G401" s="30">
        <v>42062</v>
      </c>
      <c r="H401" s="30"/>
      <c r="I401" s="30"/>
      <c r="J401" s="24">
        <v>44315</v>
      </c>
      <c r="K401" s="24">
        <v>44679</v>
      </c>
      <c r="L401" s="32">
        <v>3</v>
      </c>
      <c r="M401" s="14" t="s">
        <v>1708</v>
      </c>
      <c r="N401" s="8"/>
      <c r="O401" s="18" t="s">
        <v>1709</v>
      </c>
      <c r="P401" s="195" t="s">
        <v>724</v>
      </c>
      <c r="Q401" s="195" t="s">
        <v>4530</v>
      </c>
      <c r="R401" s="195" t="s">
        <v>161</v>
      </c>
      <c r="S401" s="195" t="s">
        <v>21</v>
      </c>
      <c r="T401" s="195">
        <v>560105</v>
      </c>
      <c r="U401" s="195" t="s">
        <v>22</v>
      </c>
      <c r="V401" s="195" t="s">
        <v>23</v>
      </c>
      <c r="W401" s="193">
        <v>8</v>
      </c>
      <c r="X401" s="195">
        <v>0</v>
      </c>
      <c r="Y401" s="195">
        <v>2</v>
      </c>
      <c r="Z401" s="195">
        <v>1</v>
      </c>
      <c r="AA401" s="193" t="s">
        <v>4118</v>
      </c>
      <c r="AB401" s="2"/>
    </row>
    <row r="402" spans="1:28" ht="15" customHeight="1">
      <c r="A402" s="16">
        <v>401</v>
      </c>
      <c r="B402" s="14" t="s">
        <v>1697</v>
      </c>
      <c r="C402" s="14" t="str">
        <f>_xlfn.CONCAT(B402&amp;" "&amp;W402&amp;X402&amp;Y402&amp;Z402)</f>
        <v>J K Fenner (India) Limited 6011</v>
      </c>
      <c r="D402" s="16">
        <v>467</v>
      </c>
      <c r="E402" s="14" t="s">
        <v>42</v>
      </c>
      <c r="F402" s="14"/>
      <c r="G402" s="30">
        <v>42066</v>
      </c>
      <c r="H402" s="30"/>
      <c r="I402" s="30"/>
      <c r="J402" s="24">
        <v>44287</v>
      </c>
      <c r="K402" s="24">
        <v>44651</v>
      </c>
      <c r="L402" s="32">
        <v>3</v>
      </c>
      <c r="M402" s="14" t="s">
        <v>1568</v>
      </c>
      <c r="N402" s="8"/>
      <c r="O402" s="18" t="s">
        <v>1710</v>
      </c>
      <c r="P402" s="195" t="s">
        <v>1711</v>
      </c>
      <c r="Q402" s="195" t="s">
        <v>4531</v>
      </c>
      <c r="R402" s="195" t="s">
        <v>1712</v>
      </c>
      <c r="S402" s="195" t="s">
        <v>53</v>
      </c>
      <c r="T402" s="195">
        <v>502319</v>
      </c>
      <c r="U402" s="195" t="s">
        <v>54</v>
      </c>
      <c r="V402" s="195" t="s">
        <v>23</v>
      </c>
      <c r="W402" s="193">
        <v>6</v>
      </c>
      <c r="X402" s="195">
        <v>0</v>
      </c>
      <c r="Y402" s="195">
        <v>1</v>
      </c>
      <c r="Z402" s="195">
        <v>1</v>
      </c>
      <c r="AA402" s="193" t="s">
        <v>4148</v>
      </c>
      <c r="AB402" s="2"/>
    </row>
    <row r="403" spans="1:28" ht="15" customHeight="1">
      <c r="A403" s="16">
        <v>402</v>
      </c>
      <c r="B403" s="14" t="s">
        <v>1281</v>
      </c>
      <c r="C403" s="14" t="str">
        <f>_xlfn.CONCAT(B403&amp;" "&amp;W403&amp;X403&amp;Y403&amp;Z403)</f>
        <v>Novateur Electrical &amp; Digital Systems Pvt. L 2010</v>
      </c>
      <c r="D403" s="16">
        <v>439</v>
      </c>
      <c r="E403" s="14" t="s">
        <v>42</v>
      </c>
      <c r="F403" s="14"/>
      <c r="G403" s="30">
        <v>42066</v>
      </c>
      <c r="H403" s="30"/>
      <c r="I403" s="30"/>
      <c r="J403" s="24">
        <v>44237</v>
      </c>
      <c r="K403" s="24">
        <v>44601</v>
      </c>
      <c r="L403" s="32">
        <v>3</v>
      </c>
      <c r="M403" s="14" t="s">
        <v>1714</v>
      </c>
      <c r="N403" s="8"/>
      <c r="O403" s="18" t="s">
        <v>1715</v>
      </c>
      <c r="P403" s="195" t="s">
        <v>1409</v>
      </c>
      <c r="Q403" s="195" t="s">
        <v>4532</v>
      </c>
      <c r="R403" s="193"/>
      <c r="S403" s="195" t="s">
        <v>1410</v>
      </c>
      <c r="T403" s="195">
        <v>425003</v>
      </c>
      <c r="U403" s="195" t="s">
        <v>172</v>
      </c>
      <c r="V403" s="195" t="s">
        <v>23</v>
      </c>
      <c r="W403" s="193">
        <v>2</v>
      </c>
      <c r="X403" s="195">
        <v>0</v>
      </c>
      <c r="Y403" s="195">
        <v>1</v>
      </c>
      <c r="Z403" s="195">
        <v>0</v>
      </c>
      <c r="AA403" s="193" t="s">
        <v>4118</v>
      </c>
      <c r="AB403" s="2"/>
    </row>
    <row r="404" spans="1:28" ht="15" customHeight="1">
      <c r="A404" s="16">
        <v>403</v>
      </c>
      <c r="B404" s="14" t="s">
        <v>1716</v>
      </c>
      <c r="C404" s="14" t="str">
        <f>_xlfn.CONCAT(B404&amp;" "&amp;W404&amp;X404&amp;Y404&amp;Z404)</f>
        <v>Pavna Zadi Security Systems Ltd 1153</v>
      </c>
      <c r="D404" s="16">
        <v>483</v>
      </c>
      <c r="E404" s="14" t="s">
        <v>90</v>
      </c>
      <c r="F404" s="14"/>
      <c r="G404" s="30">
        <v>42073</v>
      </c>
      <c r="H404" s="30"/>
      <c r="I404" s="30"/>
      <c r="J404" s="24">
        <v>45308</v>
      </c>
      <c r="K404" s="24">
        <v>45673</v>
      </c>
      <c r="L404" s="32">
        <v>3</v>
      </c>
      <c r="M404" s="14" t="s">
        <v>1717</v>
      </c>
      <c r="N404" s="8"/>
      <c r="O404" s="18" t="s">
        <v>1718</v>
      </c>
      <c r="P404" s="195" t="s">
        <v>1719</v>
      </c>
      <c r="Q404" s="195" t="s">
        <v>4533</v>
      </c>
      <c r="R404" s="195" t="s">
        <v>1720</v>
      </c>
      <c r="S404" s="195" t="s">
        <v>1721</v>
      </c>
      <c r="T404" s="195">
        <v>202001</v>
      </c>
      <c r="U404" s="195" t="s">
        <v>184</v>
      </c>
      <c r="V404" s="195" t="s">
        <v>23</v>
      </c>
      <c r="W404" s="193">
        <v>1</v>
      </c>
      <c r="X404" s="195">
        <v>1</v>
      </c>
      <c r="Y404" s="195">
        <v>5</v>
      </c>
      <c r="Z404" s="195">
        <v>3</v>
      </c>
      <c r="AA404" s="193" t="s">
        <v>4118</v>
      </c>
      <c r="AB404" s="2"/>
    </row>
    <row r="405" spans="1:28" ht="15" customHeight="1">
      <c r="A405" s="16">
        <v>404</v>
      </c>
      <c r="B405" s="14" t="s">
        <v>1722</v>
      </c>
      <c r="C405" s="14" t="str">
        <f>_xlfn.CONCAT(B405&amp;" "&amp;W405&amp;X405&amp;Y405&amp;Z405)</f>
        <v>Numann Auto Products India Pvt. Ltd 8013</v>
      </c>
      <c r="D405" s="16">
        <v>462</v>
      </c>
      <c r="E405" s="14" t="s">
        <v>42</v>
      </c>
      <c r="F405" s="14"/>
      <c r="G405" s="30">
        <v>42077</v>
      </c>
      <c r="H405" s="30"/>
      <c r="I405" s="30"/>
      <c r="J405" s="24">
        <v>44179</v>
      </c>
      <c r="K405" s="24">
        <v>44543</v>
      </c>
      <c r="L405" s="32">
        <v>3</v>
      </c>
      <c r="M405" s="14" t="s">
        <v>1723</v>
      </c>
      <c r="N405" s="8"/>
      <c r="O405" s="18" t="s">
        <v>1724</v>
      </c>
      <c r="P405" s="195" t="s">
        <v>1725</v>
      </c>
      <c r="Q405" s="195" t="s">
        <v>4534</v>
      </c>
      <c r="R405" s="193"/>
      <c r="S405" s="195" t="s">
        <v>121</v>
      </c>
      <c r="T405" s="195">
        <v>635109</v>
      </c>
      <c r="U405" s="195" t="s">
        <v>38</v>
      </c>
      <c r="V405" s="195" t="s">
        <v>23</v>
      </c>
      <c r="W405" s="193">
        <v>8</v>
      </c>
      <c r="X405" s="195">
        <v>0</v>
      </c>
      <c r="Y405" s="195">
        <v>1</v>
      </c>
      <c r="Z405" s="195">
        <v>3</v>
      </c>
      <c r="AA405" s="193" t="s">
        <v>4118</v>
      </c>
      <c r="AB405" s="2"/>
    </row>
    <row r="406" spans="1:28" ht="15" customHeight="1">
      <c r="A406" s="16">
        <v>405</v>
      </c>
      <c r="B406" s="14" t="s">
        <v>1726</v>
      </c>
      <c r="C406" s="14" t="str">
        <f>_xlfn.CONCAT(B406&amp;" "&amp;W406&amp;X406&amp;Y406&amp;Z406)</f>
        <v>Raviraj Hi-Tech Pvt. Ltd 2412</v>
      </c>
      <c r="D406" s="16">
        <v>489</v>
      </c>
      <c r="E406" s="14" t="s">
        <v>90</v>
      </c>
      <c r="F406" s="14"/>
      <c r="G406" s="30">
        <v>42077</v>
      </c>
      <c r="H406" s="30"/>
      <c r="I406" s="30"/>
      <c r="J406" s="24"/>
      <c r="K406" s="24"/>
      <c r="L406" s="32">
        <v>3</v>
      </c>
      <c r="M406" s="14" t="s">
        <v>1727</v>
      </c>
      <c r="N406" s="8"/>
      <c r="O406" s="18" t="s">
        <v>1728</v>
      </c>
      <c r="P406" s="195" t="s">
        <v>1729</v>
      </c>
      <c r="Q406" s="195" t="s">
        <v>4535</v>
      </c>
      <c r="R406" s="193"/>
      <c r="S406" s="195" t="s">
        <v>215</v>
      </c>
      <c r="T406" s="195">
        <v>411057</v>
      </c>
      <c r="U406" s="195" t="s">
        <v>172</v>
      </c>
      <c r="V406" s="195" t="s">
        <v>23</v>
      </c>
      <c r="W406" s="193">
        <v>2</v>
      </c>
      <c r="X406" s="195">
        <v>4</v>
      </c>
      <c r="Y406" s="195">
        <v>1</v>
      </c>
      <c r="Z406" s="195">
        <v>2</v>
      </c>
      <c r="AA406" s="193" t="s">
        <v>4150</v>
      </c>
      <c r="AB406" s="2"/>
    </row>
    <row r="407" spans="1:28" ht="15" customHeight="1">
      <c r="A407" s="16">
        <v>406</v>
      </c>
      <c r="B407" s="14" t="s">
        <v>1730</v>
      </c>
      <c r="C407" s="14" t="str">
        <f>_xlfn.CONCAT(B407&amp;" "&amp;W407&amp;X407&amp;Y407&amp;Z407)</f>
        <v>Indian Institute of Technology (Bombay) 2114</v>
      </c>
      <c r="D407" s="16">
        <v>472</v>
      </c>
      <c r="E407" s="14" t="s">
        <v>42</v>
      </c>
      <c r="F407" s="14"/>
      <c r="G407" s="30">
        <v>42077</v>
      </c>
      <c r="H407" s="30"/>
      <c r="I407" s="30"/>
      <c r="J407" s="24"/>
      <c r="K407" s="24"/>
      <c r="L407" s="32">
        <v>3</v>
      </c>
      <c r="M407" s="14" t="s">
        <v>1731</v>
      </c>
      <c r="N407" s="8"/>
      <c r="O407" s="18" t="s">
        <v>1732</v>
      </c>
      <c r="P407" s="193"/>
      <c r="Q407" s="193" t="s">
        <v>4536</v>
      </c>
      <c r="R407" s="193"/>
      <c r="S407" s="195" t="s">
        <v>221</v>
      </c>
      <c r="T407" s="195">
        <v>400076</v>
      </c>
      <c r="U407" s="195" t="s">
        <v>172</v>
      </c>
      <c r="V407" s="195" t="s">
        <v>23</v>
      </c>
      <c r="W407" s="193">
        <v>2</v>
      </c>
      <c r="X407" s="195">
        <v>1</v>
      </c>
      <c r="Y407" s="195">
        <v>1</v>
      </c>
      <c r="Z407" s="195">
        <v>4</v>
      </c>
      <c r="AA407" s="193" t="s">
        <v>4148</v>
      </c>
      <c r="AB407" s="2"/>
    </row>
    <row r="408" spans="1:28" ht="15" customHeight="1">
      <c r="A408" s="16">
        <v>407</v>
      </c>
      <c r="B408" s="14" t="s">
        <v>1733</v>
      </c>
      <c r="C408" s="14" t="str">
        <f>_xlfn.CONCAT(B408&amp;" "&amp;W408&amp;X408&amp;Y408&amp;Z408)</f>
        <v>Micron Instruments Pvt. Ltd., 1334</v>
      </c>
      <c r="D408" s="16">
        <v>443</v>
      </c>
      <c r="E408" s="14" t="s">
        <v>42</v>
      </c>
      <c r="F408" s="14"/>
      <c r="G408" s="30">
        <v>42079</v>
      </c>
      <c r="H408" s="30"/>
      <c r="I408" s="30"/>
      <c r="J408" s="24">
        <v>44359</v>
      </c>
      <c r="K408" s="24">
        <v>44723</v>
      </c>
      <c r="L408" s="32">
        <v>3</v>
      </c>
      <c r="M408" s="14" t="s">
        <v>1734</v>
      </c>
      <c r="N408" s="14" t="s">
        <v>1735</v>
      </c>
      <c r="O408" s="18" t="s">
        <v>1736</v>
      </c>
      <c r="P408" s="195" t="s">
        <v>1737</v>
      </c>
      <c r="Q408" s="195" t="s">
        <v>4537</v>
      </c>
      <c r="R408" s="193"/>
      <c r="S408" s="195" t="s">
        <v>1738</v>
      </c>
      <c r="T408" s="195">
        <v>160002</v>
      </c>
      <c r="U408" s="195" t="s">
        <v>429</v>
      </c>
      <c r="V408" s="195" t="s">
        <v>23</v>
      </c>
      <c r="W408" s="193">
        <v>1</v>
      </c>
      <c r="X408" s="195">
        <v>3</v>
      </c>
      <c r="Y408" s="195">
        <v>3</v>
      </c>
      <c r="Z408" s="195">
        <v>4</v>
      </c>
      <c r="AA408" s="193" t="s">
        <v>4118</v>
      </c>
      <c r="AB408" s="2"/>
    </row>
    <row r="409" spans="1:28" ht="15" customHeight="1">
      <c r="A409" s="16">
        <v>408</v>
      </c>
      <c r="B409" s="14" t="s">
        <v>1739</v>
      </c>
      <c r="C409" s="14" t="str">
        <f>_xlfn.CONCAT(B409&amp;" "&amp;W409&amp;X409&amp;Y409&amp;Z409)</f>
        <v>Indian Institute of Technology (BHU) 0000</v>
      </c>
      <c r="D409" s="16">
        <v>470</v>
      </c>
      <c r="E409" s="14" t="s">
        <v>42</v>
      </c>
      <c r="F409" s="14"/>
      <c r="G409" s="30">
        <v>42080</v>
      </c>
      <c r="H409" s="30"/>
      <c r="I409" s="30"/>
      <c r="J409" s="24"/>
      <c r="K409" s="24"/>
      <c r="L409" s="32">
        <v>3</v>
      </c>
      <c r="M409" s="14" t="s">
        <v>1740</v>
      </c>
      <c r="N409" s="14" t="s">
        <v>1741</v>
      </c>
      <c r="O409" s="18" t="s">
        <v>1742</v>
      </c>
      <c r="P409" s="15"/>
      <c r="Q409" s="15" t="s">
        <v>4538</v>
      </c>
      <c r="R409" s="193"/>
      <c r="S409" s="195" t="s">
        <v>1743</v>
      </c>
      <c r="T409" s="195">
        <v>221005</v>
      </c>
      <c r="U409" s="195" t="s">
        <v>184</v>
      </c>
      <c r="V409" s="195" t="s">
        <v>23</v>
      </c>
      <c r="W409" s="193">
        <v>0</v>
      </c>
      <c r="X409" s="195">
        <v>0</v>
      </c>
      <c r="Y409" s="195">
        <v>0</v>
      </c>
      <c r="Z409" s="195">
        <v>0</v>
      </c>
      <c r="AA409" s="193">
        <v>0</v>
      </c>
      <c r="AB409" s="2"/>
    </row>
    <row r="410" spans="1:28" ht="15" customHeight="1">
      <c r="A410" s="16">
        <v>409</v>
      </c>
      <c r="B410" s="14" t="s">
        <v>1744</v>
      </c>
      <c r="C410" s="14" t="str">
        <f>_xlfn.CONCAT(B410&amp;" "&amp;W410&amp;X410&amp;Y410&amp;Z410)</f>
        <v>ACG Metalcrafts Private Limited 2451</v>
      </c>
      <c r="D410" s="16">
        <v>473</v>
      </c>
      <c r="E410" s="14" t="s">
        <v>42</v>
      </c>
      <c r="F410" s="14"/>
      <c r="G410" s="30">
        <v>42087</v>
      </c>
      <c r="H410" s="30"/>
      <c r="I410" s="30"/>
      <c r="J410" s="24">
        <v>44652</v>
      </c>
      <c r="K410" s="24">
        <v>45016</v>
      </c>
      <c r="L410" s="32">
        <v>3</v>
      </c>
      <c r="M410" s="9" t="s">
        <v>1745</v>
      </c>
      <c r="N410" s="9"/>
      <c r="O410" s="18" t="s">
        <v>1746</v>
      </c>
      <c r="P410" s="195" t="s">
        <v>1343</v>
      </c>
      <c r="Q410" s="195" t="s">
        <v>4539</v>
      </c>
      <c r="R410" s="195" t="s">
        <v>1747</v>
      </c>
      <c r="S410" s="195" t="s">
        <v>221</v>
      </c>
      <c r="T410" s="195">
        <v>400067</v>
      </c>
      <c r="U410" s="195" t="s">
        <v>172</v>
      </c>
      <c r="V410" s="195" t="s">
        <v>23</v>
      </c>
      <c r="W410" s="193">
        <v>2</v>
      </c>
      <c r="X410" s="195">
        <v>4</v>
      </c>
      <c r="Y410" s="195">
        <v>5</v>
      </c>
      <c r="Z410" s="195">
        <v>1</v>
      </c>
      <c r="AA410" s="193" t="s">
        <v>4151</v>
      </c>
      <c r="AB410" s="2"/>
    </row>
    <row r="411" spans="1:28" ht="15" customHeight="1">
      <c r="A411" s="16">
        <v>410</v>
      </c>
      <c r="B411" s="14" t="s">
        <v>1748</v>
      </c>
      <c r="C411" s="14" t="str">
        <f>_xlfn.CONCAT(B411&amp;" "&amp;W411&amp;X411&amp;Y411&amp;Z411)</f>
        <v>Ganesh Industries 2451</v>
      </c>
      <c r="D411" s="16">
        <v>476</v>
      </c>
      <c r="E411" s="14" t="s">
        <v>42</v>
      </c>
      <c r="F411" s="14"/>
      <c r="G411" s="30">
        <v>42109</v>
      </c>
      <c r="H411" s="30"/>
      <c r="I411" s="30"/>
      <c r="J411" s="24">
        <v>44616</v>
      </c>
      <c r="K411" s="24">
        <v>44980</v>
      </c>
      <c r="L411" s="32">
        <v>3</v>
      </c>
      <c r="M411" s="14" t="s">
        <v>1749</v>
      </c>
      <c r="N411" s="8"/>
      <c r="O411" s="18" t="s">
        <v>1750</v>
      </c>
      <c r="P411" s="195" t="s">
        <v>1751</v>
      </c>
      <c r="Q411" s="195" t="s">
        <v>4540</v>
      </c>
      <c r="R411" s="195" t="s">
        <v>1752</v>
      </c>
      <c r="S411" s="195" t="s">
        <v>215</v>
      </c>
      <c r="T411" s="195">
        <v>411023</v>
      </c>
      <c r="U411" s="195" t="s">
        <v>172</v>
      </c>
      <c r="V411" s="195" t="s">
        <v>23</v>
      </c>
      <c r="W411" s="193">
        <v>2</v>
      </c>
      <c r="X411" s="195">
        <v>4</v>
      </c>
      <c r="Y411" s="195">
        <v>5</v>
      </c>
      <c r="Z411" s="195">
        <v>1</v>
      </c>
      <c r="AA411" s="193" t="s">
        <v>4151</v>
      </c>
      <c r="AB411" s="2"/>
    </row>
    <row r="412" spans="1:28" ht="15" customHeight="1">
      <c r="A412" s="16">
        <v>411</v>
      </c>
      <c r="B412" s="14" t="s">
        <v>1748</v>
      </c>
      <c r="C412" s="14" t="str">
        <f>_xlfn.CONCAT(B412&amp;" "&amp;W412&amp;X412&amp;Y412&amp;Z412)</f>
        <v>Ganesh Industries 2451</v>
      </c>
      <c r="D412" s="16">
        <v>477</v>
      </c>
      <c r="E412" s="14" t="s">
        <v>42</v>
      </c>
      <c r="F412" s="14"/>
      <c r="G412" s="30">
        <v>42109</v>
      </c>
      <c r="H412" s="30"/>
      <c r="I412" s="30"/>
      <c r="J412" s="24">
        <v>44616</v>
      </c>
      <c r="K412" s="24">
        <v>44980</v>
      </c>
      <c r="L412" s="32">
        <v>3</v>
      </c>
      <c r="M412" s="14" t="s">
        <v>1749</v>
      </c>
      <c r="N412" s="8"/>
      <c r="O412" s="18" t="s">
        <v>1750</v>
      </c>
      <c r="P412" s="195" t="s">
        <v>1751</v>
      </c>
      <c r="Q412" s="195" t="s">
        <v>4540</v>
      </c>
      <c r="R412" s="195" t="s">
        <v>1752</v>
      </c>
      <c r="S412" s="195" t="s">
        <v>215</v>
      </c>
      <c r="T412" s="195">
        <v>411023</v>
      </c>
      <c r="U412" s="195" t="s">
        <v>172</v>
      </c>
      <c r="V412" s="195" t="s">
        <v>23</v>
      </c>
      <c r="W412" s="193">
        <v>2</v>
      </c>
      <c r="X412" s="195">
        <v>4</v>
      </c>
      <c r="Y412" s="195">
        <v>5</v>
      </c>
      <c r="Z412" s="195">
        <v>1</v>
      </c>
      <c r="AA412" s="193" t="s">
        <v>4151</v>
      </c>
      <c r="AB412" s="2"/>
    </row>
    <row r="413" spans="1:28" ht="15" customHeight="1">
      <c r="A413" s="16">
        <v>412</v>
      </c>
      <c r="B413" s="14" t="s">
        <v>1753</v>
      </c>
      <c r="C413" s="14" t="str">
        <f>_xlfn.CONCAT(B413&amp;" "&amp;W413&amp;X413&amp;Y413&amp;Z413)</f>
        <v>Aquasub Engg 4131</v>
      </c>
      <c r="D413" s="16">
        <v>454</v>
      </c>
      <c r="E413" s="14" t="s">
        <v>90</v>
      </c>
      <c r="F413" s="14"/>
      <c r="G413" s="30">
        <v>42109</v>
      </c>
      <c r="H413" s="30"/>
      <c r="I413" s="30"/>
      <c r="J413" s="24">
        <v>44582</v>
      </c>
      <c r="K413" s="24">
        <v>44947</v>
      </c>
      <c r="L413" s="32">
        <v>3</v>
      </c>
      <c r="M413" s="14" t="s">
        <v>1754</v>
      </c>
      <c r="N413" s="14" t="s">
        <v>1755</v>
      </c>
      <c r="O413" s="18" t="s">
        <v>1756</v>
      </c>
      <c r="P413" s="195" t="s">
        <v>1757</v>
      </c>
      <c r="Q413" s="195" t="s">
        <v>4541</v>
      </c>
      <c r="R413" s="193"/>
      <c r="S413" s="195" t="s">
        <v>101</v>
      </c>
      <c r="T413" s="195">
        <v>641017</v>
      </c>
      <c r="U413" s="195" t="s">
        <v>38</v>
      </c>
      <c r="V413" s="195" t="s">
        <v>23</v>
      </c>
      <c r="W413" s="193">
        <v>4</v>
      </c>
      <c r="X413" s="195">
        <v>1</v>
      </c>
      <c r="Y413" s="195">
        <v>3</v>
      </c>
      <c r="Z413" s="195">
        <v>1</v>
      </c>
      <c r="AA413" s="193" t="s">
        <v>4148</v>
      </c>
      <c r="AB413" s="2"/>
    </row>
    <row r="414" spans="1:28" ht="15" customHeight="1">
      <c r="A414" s="16">
        <v>413</v>
      </c>
      <c r="B414" s="14" t="s">
        <v>1758</v>
      </c>
      <c r="C414" s="14" t="str">
        <f>_xlfn.CONCAT(B414&amp;" "&amp;W414&amp;X414&amp;Y414&amp;Z414)</f>
        <v>Hind High Vaccum Co. Pvt. Ltd., 8051</v>
      </c>
      <c r="D414" s="16">
        <v>487</v>
      </c>
      <c r="E414" s="14" t="s">
        <v>90</v>
      </c>
      <c r="F414" s="14"/>
      <c r="G414" s="30">
        <v>42116</v>
      </c>
      <c r="H414" s="30"/>
      <c r="I414" s="30"/>
      <c r="J414" s="24"/>
      <c r="K414" s="24"/>
      <c r="L414" s="32">
        <v>3</v>
      </c>
      <c r="M414" s="14" t="s">
        <v>1759</v>
      </c>
      <c r="N414" s="8"/>
      <c r="O414" s="18" t="s">
        <v>1760</v>
      </c>
      <c r="P414" s="195" t="s">
        <v>403</v>
      </c>
      <c r="Q414" s="195" t="s">
        <v>4542</v>
      </c>
      <c r="R414" s="193"/>
      <c r="S414" s="195" t="s">
        <v>21</v>
      </c>
      <c r="T414" s="195">
        <v>560058</v>
      </c>
      <c r="U414" s="195" t="s">
        <v>22</v>
      </c>
      <c r="V414" s="195" t="s">
        <v>23</v>
      </c>
      <c r="W414" s="193">
        <v>8</v>
      </c>
      <c r="X414" s="195">
        <v>0</v>
      </c>
      <c r="Y414" s="195">
        <v>5</v>
      </c>
      <c r="Z414" s="195">
        <v>1</v>
      </c>
      <c r="AA414" s="193" t="s">
        <v>4118</v>
      </c>
      <c r="AB414" s="2"/>
    </row>
    <row r="415" spans="1:28" ht="15" customHeight="1">
      <c r="A415" s="16">
        <v>414</v>
      </c>
      <c r="B415" s="14" t="s">
        <v>1761</v>
      </c>
      <c r="C415" s="14" t="str">
        <f>_xlfn.CONCAT(B415&amp;" "&amp;W415&amp;X415&amp;Y415&amp;Z415)</f>
        <v>Kairish Innotech Pvt Ltd (Schott Kaisha Private Limited) 2111</v>
      </c>
      <c r="D415" s="16">
        <v>490</v>
      </c>
      <c r="E415" s="14" t="s">
        <v>90</v>
      </c>
      <c r="F415" s="14"/>
      <c r="G415" s="30">
        <v>42122</v>
      </c>
      <c r="H415" s="30"/>
      <c r="I415" s="30"/>
      <c r="J415" s="24">
        <v>44664</v>
      </c>
      <c r="K415" s="24">
        <v>45028</v>
      </c>
      <c r="L415" s="32">
        <v>3</v>
      </c>
      <c r="M415" s="14" t="s">
        <v>1762</v>
      </c>
      <c r="N415" s="14" t="s">
        <v>1763</v>
      </c>
      <c r="O415" s="18" t="s">
        <v>1764</v>
      </c>
      <c r="P415" s="195" t="s">
        <v>772</v>
      </c>
      <c r="Q415" s="195" t="s">
        <v>4543</v>
      </c>
      <c r="R415" s="193"/>
      <c r="S415" s="195" t="s">
        <v>1765</v>
      </c>
      <c r="T415" s="195">
        <v>396210</v>
      </c>
      <c r="U415" s="195" t="s">
        <v>774</v>
      </c>
      <c r="V415" s="195" t="s">
        <v>23</v>
      </c>
      <c r="W415" s="193">
        <v>2</v>
      </c>
      <c r="X415" s="195">
        <v>1</v>
      </c>
      <c r="Y415" s="195">
        <v>1</v>
      </c>
      <c r="Z415" s="195">
        <v>1</v>
      </c>
      <c r="AA415" s="193" t="s">
        <v>4118</v>
      </c>
      <c r="AB415" s="2"/>
    </row>
    <row r="416" spans="1:28" ht="15" customHeight="1">
      <c r="A416" s="16">
        <v>415</v>
      </c>
      <c r="B416" s="14" t="s">
        <v>1096</v>
      </c>
      <c r="C416" s="14" t="str">
        <f>_xlfn.CONCAT(B416&amp;" "&amp;W416&amp;X416&amp;Y416&amp;Z416)</f>
        <v>Sandhar Automotives 1111</v>
      </c>
      <c r="D416" s="16">
        <v>491</v>
      </c>
      <c r="E416" s="14" t="s">
        <v>90</v>
      </c>
      <c r="F416" s="14"/>
      <c r="G416" s="30">
        <v>42125</v>
      </c>
      <c r="H416" s="30"/>
      <c r="I416" s="30"/>
      <c r="J416" s="24">
        <v>43846</v>
      </c>
      <c r="K416" s="24">
        <v>44286</v>
      </c>
      <c r="L416" s="32">
        <v>3</v>
      </c>
      <c r="M416" s="14" t="s">
        <v>1766</v>
      </c>
      <c r="N416" s="8"/>
      <c r="O416" s="18" t="s">
        <v>1767</v>
      </c>
      <c r="P416" s="195" t="s">
        <v>1768</v>
      </c>
      <c r="Q416" s="195" t="s">
        <v>4544</v>
      </c>
      <c r="R416" s="193"/>
      <c r="S416" s="195" t="s">
        <v>428</v>
      </c>
      <c r="T416" s="195">
        <v>122101</v>
      </c>
      <c r="U416" s="195" t="s">
        <v>429</v>
      </c>
      <c r="V416" s="195" t="s">
        <v>23</v>
      </c>
      <c r="W416" s="193">
        <v>1</v>
      </c>
      <c r="X416" s="195">
        <v>1</v>
      </c>
      <c r="Y416" s="195">
        <v>1</v>
      </c>
      <c r="Z416" s="195">
        <v>1</v>
      </c>
      <c r="AA416" s="193" t="s">
        <v>4118</v>
      </c>
      <c r="AB416" s="2"/>
    </row>
    <row r="417" spans="1:28" ht="15" customHeight="1">
      <c r="A417" s="16">
        <v>416</v>
      </c>
      <c r="B417" s="14" t="s">
        <v>1769</v>
      </c>
      <c r="C417" s="14" t="str">
        <f>_xlfn.CONCAT(B417&amp;" "&amp;W417&amp;X417&amp;Y417&amp;Z417)</f>
        <v>Ashok Leyland Ltd (Candid Micron) 4161</v>
      </c>
      <c r="D417" s="16">
        <v>484</v>
      </c>
      <c r="E417" s="14" t="s">
        <v>90</v>
      </c>
      <c r="F417" s="14"/>
      <c r="G417" s="30">
        <v>42131</v>
      </c>
      <c r="H417" s="30"/>
      <c r="I417" s="30"/>
      <c r="J417" s="24">
        <v>44594</v>
      </c>
      <c r="K417" s="24">
        <v>44958</v>
      </c>
      <c r="L417" s="32">
        <v>3</v>
      </c>
      <c r="M417" s="14" t="s">
        <v>105</v>
      </c>
      <c r="N417" s="14" t="s">
        <v>28</v>
      </c>
      <c r="O417" s="18" t="s">
        <v>106</v>
      </c>
      <c r="P417" s="195" t="s">
        <v>107</v>
      </c>
      <c r="Q417" s="195" t="s">
        <v>4166</v>
      </c>
      <c r="R417" s="195" t="s">
        <v>108</v>
      </c>
      <c r="S417" s="195" t="s">
        <v>101</v>
      </c>
      <c r="T417" s="195">
        <v>641006</v>
      </c>
      <c r="U417" s="195" t="s">
        <v>38</v>
      </c>
      <c r="V417" s="195" t="s">
        <v>23</v>
      </c>
      <c r="W417" s="193">
        <v>4</v>
      </c>
      <c r="X417" s="195">
        <v>1</v>
      </c>
      <c r="Y417" s="195">
        <v>6</v>
      </c>
      <c r="Z417" s="195">
        <v>1</v>
      </c>
      <c r="AA417" s="193" t="s">
        <v>4148</v>
      </c>
      <c r="AB417" s="2"/>
    </row>
    <row r="418" spans="1:28" ht="15" customHeight="1">
      <c r="A418" s="16">
        <v>417</v>
      </c>
      <c r="B418" s="14" t="s">
        <v>1770</v>
      </c>
      <c r="C418" s="14" t="str">
        <f>_xlfn.CONCAT(B418&amp;" "&amp;W418&amp;X418&amp;Y418&amp;Z418)</f>
        <v>Ace Multi Axes Systems Ltd., 8051</v>
      </c>
      <c r="D418" s="16">
        <v>478</v>
      </c>
      <c r="E418" s="14" t="s">
        <v>42</v>
      </c>
      <c r="F418" s="14"/>
      <c r="G418" s="30">
        <v>42133</v>
      </c>
      <c r="H418" s="30"/>
      <c r="I418" s="30"/>
      <c r="J418" s="24">
        <v>45809</v>
      </c>
      <c r="K418" s="24">
        <v>46173</v>
      </c>
      <c r="L418" s="32">
        <v>3</v>
      </c>
      <c r="M418" s="9" t="s">
        <v>1771</v>
      </c>
      <c r="N418" s="9"/>
      <c r="O418" s="18" t="s">
        <v>1772</v>
      </c>
      <c r="P418" s="195" t="s">
        <v>1773</v>
      </c>
      <c r="Q418" s="195" t="s">
        <v>4545</v>
      </c>
      <c r="R418" s="195" t="s">
        <v>154</v>
      </c>
      <c r="S418" s="195" t="s">
        <v>21</v>
      </c>
      <c r="T418" s="195">
        <v>560058</v>
      </c>
      <c r="U418" s="195" t="s">
        <v>22</v>
      </c>
      <c r="V418" s="195" t="s">
        <v>23</v>
      </c>
      <c r="W418" s="193">
        <v>8</v>
      </c>
      <c r="X418" s="195">
        <v>0</v>
      </c>
      <c r="Y418" s="195">
        <v>5</v>
      </c>
      <c r="Z418" s="195">
        <v>1</v>
      </c>
      <c r="AA418" s="193" t="s">
        <v>4118</v>
      </c>
      <c r="AB418" s="2"/>
    </row>
    <row r="419" spans="1:28" ht="15" customHeight="1">
      <c r="A419" s="16">
        <v>418</v>
      </c>
      <c r="B419" s="14" t="s">
        <v>650</v>
      </c>
      <c r="C419" s="14" t="str">
        <f>_xlfn.CONCAT(B419&amp;" "&amp;W419&amp;X419&amp;Y419&amp;Z419)</f>
        <v>Rohit Industries group P Ltd 1121</v>
      </c>
      <c r="D419" s="16">
        <v>481</v>
      </c>
      <c r="E419" s="14" t="s">
        <v>1248</v>
      </c>
      <c r="F419" s="14"/>
      <c r="G419" s="30">
        <v>42135</v>
      </c>
      <c r="H419" s="30"/>
      <c r="I419" s="30"/>
      <c r="J419" s="24">
        <v>44378</v>
      </c>
      <c r="K419" s="24">
        <v>44742</v>
      </c>
      <c r="L419" s="32">
        <v>3</v>
      </c>
      <c r="M419" s="9" t="s">
        <v>1774</v>
      </c>
      <c r="N419" s="9"/>
      <c r="O419" s="18" t="s">
        <v>1775</v>
      </c>
      <c r="P419" s="195" t="s">
        <v>1776</v>
      </c>
      <c r="Q419" s="195" t="s">
        <v>4546</v>
      </c>
      <c r="R419" s="193"/>
      <c r="S419" s="195" t="s">
        <v>656</v>
      </c>
      <c r="T419" s="195">
        <v>124507</v>
      </c>
      <c r="U419" s="195" t="s">
        <v>429</v>
      </c>
      <c r="V419" s="195" t="s">
        <v>23</v>
      </c>
      <c r="W419" s="193">
        <v>1</v>
      </c>
      <c r="X419" s="195">
        <v>1</v>
      </c>
      <c r="Y419" s="195">
        <v>2</v>
      </c>
      <c r="Z419" s="195">
        <v>1</v>
      </c>
      <c r="AA419" s="193" t="s">
        <v>4118</v>
      </c>
      <c r="AB419" s="2"/>
    </row>
    <row r="420" spans="1:28" ht="15" customHeight="1">
      <c r="A420" s="16">
        <v>419</v>
      </c>
      <c r="B420" s="14" t="s">
        <v>1777</v>
      </c>
      <c r="C420" s="14" t="str">
        <f>_xlfn.CONCAT(B420&amp;" "&amp;W420&amp;X420&amp;Y420&amp;Z420)</f>
        <v>Micro Measures 2301</v>
      </c>
      <c r="D420" s="16">
        <v>475</v>
      </c>
      <c r="E420" s="14" t="s">
        <v>42</v>
      </c>
      <c r="F420" s="14"/>
      <c r="G420" s="30">
        <v>42140</v>
      </c>
      <c r="H420" s="30"/>
      <c r="I420" s="30"/>
      <c r="J420" s="24"/>
      <c r="K420" s="24"/>
      <c r="L420" s="32">
        <v>3</v>
      </c>
      <c r="M420" s="14" t="s">
        <v>1778</v>
      </c>
      <c r="N420" s="14" t="s">
        <v>446</v>
      </c>
      <c r="O420" s="18" t="s">
        <v>1779</v>
      </c>
      <c r="P420" s="195" t="s">
        <v>1780</v>
      </c>
      <c r="Q420" s="195" t="s">
        <v>4547</v>
      </c>
      <c r="R420" s="195" t="s">
        <v>1781</v>
      </c>
      <c r="S420" s="195" t="s">
        <v>321</v>
      </c>
      <c r="T420" s="195">
        <v>422013</v>
      </c>
      <c r="U420" s="195" t="s">
        <v>172</v>
      </c>
      <c r="V420" s="195" t="s">
        <v>23</v>
      </c>
      <c r="W420" s="193">
        <v>2</v>
      </c>
      <c r="X420" s="195">
        <v>3</v>
      </c>
      <c r="Y420" s="195">
        <v>0</v>
      </c>
      <c r="Z420" s="195">
        <v>1</v>
      </c>
      <c r="AA420" s="193" t="s">
        <v>5221</v>
      </c>
      <c r="AB420" s="2"/>
    </row>
    <row r="421" spans="1:28" ht="15" customHeight="1">
      <c r="A421" s="16">
        <v>420</v>
      </c>
      <c r="B421" s="14" t="s">
        <v>1782</v>
      </c>
      <c r="C421" s="14" t="str">
        <f>_xlfn.CONCAT(B421&amp;" "&amp;W421&amp;X421&amp;Y421&amp;Z421)</f>
        <v>SML Mahindra Ltd (SML ISUZU Ltd) 1122</v>
      </c>
      <c r="D421" s="16">
        <v>474</v>
      </c>
      <c r="E421" s="14" t="s">
        <v>42</v>
      </c>
      <c r="F421" s="14"/>
      <c r="G421" s="30">
        <v>42145</v>
      </c>
      <c r="H421" s="30"/>
      <c r="I421" s="30"/>
      <c r="J421" s="24">
        <v>45985</v>
      </c>
      <c r="K421" s="24">
        <v>46349</v>
      </c>
      <c r="L421" s="32">
        <v>3</v>
      </c>
      <c r="M421" s="14" t="s">
        <v>1783</v>
      </c>
      <c r="N421" s="14" t="s">
        <v>899</v>
      </c>
      <c r="O421" s="18" t="s">
        <v>1784</v>
      </c>
      <c r="P421" s="15" t="s">
        <v>1785</v>
      </c>
      <c r="Q421" s="15" t="s">
        <v>4548</v>
      </c>
      <c r="R421" s="15"/>
      <c r="S421" s="195" t="s">
        <v>1786</v>
      </c>
      <c r="T421" s="195">
        <v>144533</v>
      </c>
      <c r="U421" s="195" t="s">
        <v>1787</v>
      </c>
      <c r="V421" s="195" t="s">
        <v>23</v>
      </c>
      <c r="W421" s="193">
        <v>1</v>
      </c>
      <c r="X421" s="195">
        <v>1</v>
      </c>
      <c r="Y421" s="195">
        <v>2</v>
      </c>
      <c r="Z421" s="195">
        <v>2</v>
      </c>
      <c r="AA421" s="193" t="s">
        <v>4118</v>
      </c>
      <c r="AB421" s="2"/>
    </row>
    <row r="422" spans="1:28" ht="15" customHeight="1">
      <c r="A422" s="16">
        <v>421</v>
      </c>
      <c r="B422" s="14" t="s">
        <v>1788</v>
      </c>
      <c r="C422" s="14" t="str">
        <f>_xlfn.CONCAT(B422&amp;" "&amp;W422&amp;X422&amp;Y422&amp;Z422)</f>
        <v>Orient Components Pvt. Ltd., 4041</v>
      </c>
      <c r="D422" s="16">
        <v>391</v>
      </c>
      <c r="E422" s="14" t="s">
        <v>42</v>
      </c>
      <c r="F422" s="14"/>
      <c r="G422" s="30">
        <v>42147</v>
      </c>
      <c r="H422" s="30"/>
      <c r="I422" s="30"/>
      <c r="J422" s="24"/>
      <c r="K422" s="24"/>
      <c r="L422" s="32">
        <v>3</v>
      </c>
      <c r="M422" s="14" t="s">
        <v>1789</v>
      </c>
      <c r="N422" s="8"/>
      <c r="O422" s="18" t="s">
        <v>1790</v>
      </c>
      <c r="P422" s="195" t="s">
        <v>1791</v>
      </c>
      <c r="Q422" s="195" t="s">
        <v>4549</v>
      </c>
      <c r="R422" s="193"/>
      <c r="S422" s="195" t="s">
        <v>37</v>
      </c>
      <c r="T422" s="195">
        <v>600095</v>
      </c>
      <c r="U422" s="195" t="s">
        <v>38</v>
      </c>
      <c r="V422" s="195" t="s">
        <v>23</v>
      </c>
      <c r="W422" s="193">
        <v>4</v>
      </c>
      <c r="X422" s="195">
        <v>0</v>
      </c>
      <c r="Y422" s="195">
        <v>4</v>
      </c>
      <c r="Z422" s="195">
        <v>1</v>
      </c>
      <c r="AA422" s="193" t="s">
        <v>4148</v>
      </c>
      <c r="AB422" s="2"/>
    </row>
    <row r="423" spans="1:28" ht="15" customHeight="1">
      <c r="A423" s="16">
        <v>422</v>
      </c>
      <c r="B423" s="14" t="s">
        <v>1792</v>
      </c>
      <c r="C423" s="14" t="str">
        <f>_xlfn.CONCAT(B423&amp;" "&amp;W423&amp;X423&amp;Y423&amp;Z423)</f>
        <v>G.M. Industries 8051</v>
      </c>
      <c r="D423" s="16">
        <v>492</v>
      </c>
      <c r="E423" s="14" t="s">
        <v>90</v>
      </c>
      <c r="F423" s="14"/>
      <c r="G423" s="30">
        <v>42151</v>
      </c>
      <c r="H423" s="30"/>
      <c r="I423" s="30"/>
      <c r="J423" s="24">
        <v>44655</v>
      </c>
      <c r="K423" s="24">
        <v>45019</v>
      </c>
      <c r="L423" s="32">
        <v>3</v>
      </c>
      <c r="M423" s="14" t="s">
        <v>1793</v>
      </c>
      <c r="N423" s="14" t="s">
        <v>17</v>
      </c>
      <c r="O423" s="18" t="s">
        <v>1794</v>
      </c>
      <c r="P423" s="195" t="s">
        <v>1795</v>
      </c>
      <c r="Q423" s="195" t="s">
        <v>4550</v>
      </c>
      <c r="R423" s="195" t="s">
        <v>1796</v>
      </c>
      <c r="S423" s="195" t="s">
        <v>21</v>
      </c>
      <c r="T423" s="195">
        <v>560091</v>
      </c>
      <c r="U423" s="195" t="s">
        <v>22</v>
      </c>
      <c r="V423" s="195" t="s">
        <v>23</v>
      </c>
      <c r="W423" s="193">
        <v>8</v>
      </c>
      <c r="X423" s="195">
        <v>0</v>
      </c>
      <c r="Y423" s="195">
        <v>5</v>
      </c>
      <c r="Z423" s="195">
        <v>1</v>
      </c>
      <c r="AA423" s="193" t="s">
        <v>4118</v>
      </c>
      <c r="AB423" s="2"/>
    </row>
    <row r="424" spans="1:28" ht="15" customHeight="1">
      <c r="A424" s="16">
        <v>423</v>
      </c>
      <c r="B424" s="14" t="s">
        <v>1489</v>
      </c>
      <c r="C424" s="14" t="str">
        <f>_xlfn.CONCAT(B424&amp;" "&amp;W424&amp;X424&amp;Y424&amp;Z424)</f>
        <v>Federal Mogul Goetze (India) Ltd 1333</v>
      </c>
      <c r="D424" s="16">
        <v>497</v>
      </c>
      <c r="E424" s="14" t="s">
        <v>42</v>
      </c>
      <c r="F424" s="14"/>
      <c r="G424" s="30">
        <v>42157</v>
      </c>
      <c r="H424" s="30"/>
      <c r="I424" s="30"/>
      <c r="J424" s="24">
        <v>44470</v>
      </c>
      <c r="K424" s="24">
        <v>44834</v>
      </c>
      <c r="L424" s="32">
        <v>3</v>
      </c>
      <c r="M424" s="14" t="s">
        <v>1797</v>
      </c>
      <c r="N424" s="8"/>
      <c r="O424" s="18" t="s">
        <v>1798</v>
      </c>
      <c r="P424" s="193"/>
      <c r="Q424" s="193" t="s">
        <v>4551</v>
      </c>
      <c r="R424" s="193"/>
      <c r="S424" s="195" t="s">
        <v>1799</v>
      </c>
      <c r="T424" s="195">
        <v>147021</v>
      </c>
      <c r="U424" s="195" t="s">
        <v>1787</v>
      </c>
      <c r="V424" s="195" t="s">
        <v>23</v>
      </c>
      <c r="W424" s="193">
        <v>1</v>
      </c>
      <c r="X424" s="195">
        <v>3</v>
      </c>
      <c r="Y424" s="195">
        <v>3</v>
      </c>
      <c r="Z424" s="195">
        <v>3</v>
      </c>
      <c r="AA424" s="193" t="s">
        <v>4118</v>
      </c>
      <c r="AB424" s="2"/>
    </row>
    <row r="425" spans="1:28" ht="15" customHeight="1">
      <c r="A425" s="16">
        <v>424</v>
      </c>
      <c r="B425" s="14" t="s">
        <v>1800</v>
      </c>
      <c r="C425" s="14" t="str">
        <f>_xlfn.CONCAT(B425&amp;" "&amp;W425&amp;X425&amp;Y425&amp;Z425)</f>
        <v>L G Balakrishnanan &amp; Bros Limited 4162</v>
      </c>
      <c r="D425" s="16">
        <v>493</v>
      </c>
      <c r="E425" s="14" t="s">
        <v>90</v>
      </c>
      <c r="F425" s="14"/>
      <c r="G425" s="30">
        <v>42157</v>
      </c>
      <c r="H425" s="30"/>
      <c r="I425" s="30"/>
      <c r="J425" s="24">
        <v>45383</v>
      </c>
      <c r="K425" s="24">
        <v>45747</v>
      </c>
      <c r="L425" s="32">
        <v>3</v>
      </c>
      <c r="M425" s="14" t="s">
        <v>412</v>
      </c>
      <c r="N425" s="14" t="s">
        <v>413</v>
      </c>
      <c r="O425" s="19"/>
      <c r="P425" s="195" t="s">
        <v>414</v>
      </c>
      <c r="Q425" s="195" t="s">
        <v>4220</v>
      </c>
      <c r="R425" s="193"/>
      <c r="S425" s="195" t="s">
        <v>101</v>
      </c>
      <c r="T425" s="195">
        <v>641653</v>
      </c>
      <c r="U425" s="195" t="s">
        <v>38</v>
      </c>
      <c r="V425" s="195" t="s">
        <v>23</v>
      </c>
      <c r="W425" s="193">
        <v>4</v>
      </c>
      <c r="X425" s="195">
        <v>1</v>
      </c>
      <c r="Y425" s="195">
        <v>6</v>
      </c>
      <c r="Z425" s="195">
        <v>2</v>
      </c>
      <c r="AA425" s="193" t="s">
        <v>4148</v>
      </c>
      <c r="AB425" s="2"/>
    </row>
    <row r="426" spans="1:28" ht="15" customHeight="1">
      <c r="A426" s="16">
        <v>425</v>
      </c>
      <c r="B426" s="14" t="s">
        <v>1801</v>
      </c>
      <c r="C426" s="14" t="str">
        <f>_xlfn.CONCAT(B426&amp;" "&amp;W426&amp;X426&amp;Y426&amp;Z426)</f>
        <v>Dhruv Industries Limited 1111</v>
      </c>
      <c r="D426" s="16">
        <v>499</v>
      </c>
      <c r="E426" s="14" t="s">
        <v>42</v>
      </c>
      <c r="F426" s="14"/>
      <c r="G426" s="30">
        <v>42177</v>
      </c>
      <c r="H426" s="30"/>
      <c r="I426" s="30"/>
      <c r="J426" s="24">
        <v>44652</v>
      </c>
      <c r="K426" s="24">
        <v>45016</v>
      </c>
      <c r="L426" s="32">
        <v>3</v>
      </c>
      <c r="M426" s="14" t="s">
        <v>1802</v>
      </c>
      <c r="N426" s="8"/>
      <c r="O426" s="18" t="s">
        <v>1803</v>
      </c>
      <c r="P426" s="195" t="s">
        <v>1804</v>
      </c>
      <c r="Q426" s="195" t="s">
        <v>4552</v>
      </c>
      <c r="R426" s="193"/>
      <c r="S426" s="195" t="s">
        <v>428</v>
      </c>
      <c r="T426" s="195">
        <v>122001</v>
      </c>
      <c r="U426" s="195" t="s">
        <v>429</v>
      </c>
      <c r="V426" s="195" t="s">
        <v>23</v>
      </c>
      <c r="W426" s="193">
        <v>1</v>
      </c>
      <c r="X426" s="195">
        <v>1</v>
      </c>
      <c r="Y426" s="195">
        <v>1</v>
      </c>
      <c r="Z426" s="195">
        <v>1</v>
      </c>
      <c r="AA426" s="193" t="s">
        <v>4118</v>
      </c>
      <c r="AB426" s="2"/>
    </row>
    <row r="427" spans="1:28" ht="15" customHeight="1">
      <c r="A427" s="16">
        <v>426</v>
      </c>
      <c r="B427" s="14" t="s">
        <v>1805</v>
      </c>
      <c r="C427" s="14" t="str">
        <f>_xlfn.CONCAT(B427&amp;" "&amp;W427&amp;X427&amp;Y427&amp;Z427)</f>
        <v>Jaicom 1112</v>
      </c>
      <c r="D427" s="16">
        <v>494</v>
      </c>
      <c r="E427" s="14" t="s">
        <v>90</v>
      </c>
      <c r="F427" s="14"/>
      <c r="G427" s="30">
        <v>42177</v>
      </c>
      <c r="H427" s="30"/>
      <c r="I427" s="30"/>
      <c r="J427" s="24"/>
      <c r="K427" s="24"/>
      <c r="L427" s="32">
        <v>3</v>
      </c>
      <c r="M427" s="14" t="s">
        <v>1806</v>
      </c>
      <c r="N427" s="8"/>
      <c r="O427" s="18" t="s">
        <v>1807</v>
      </c>
      <c r="P427" s="195" t="s">
        <v>1808</v>
      </c>
      <c r="Q427" s="195" t="s">
        <v>4553</v>
      </c>
      <c r="R427" s="193"/>
      <c r="S427" s="195" t="s">
        <v>681</v>
      </c>
      <c r="T427" s="195">
        <v>110034</v>
      </c>
      <c r="U427" s="195" t="s">
        <v>81</v>
      </c>
      <c r="V427" s="195" t="s">
        <v>23</v>
      </c>
      <c r="W427" s="193">
        <v>1</v>
      </c>
      <c r="X427" s="195">
        <v>1</v>
      </c>
      <c r="Y427" s="195">
        <v>1</v>
      </c>
      <c r="Z427" s="195">
        <v>2</v>
      </c>
      <c r="AA427" s="193" t="s">
        <v>4118</v>
      </c>
      <c r="AB427" s="2"/>
    </row>
    <row r="428" spans="1:28" ht="15" customHeight="1">
      <c r="A428" s="16">
        <v>427</v>
      </c>
      <c r="B428" s="14" t="s">
        <v>1809</v>
      </c>
      <c r="C428" s="14" t="str">
        <f>_xlfn.CONCAT(B428&amp;" "&amp;W428&amp;X428&amp;Y428&amp;Z428)</f>
        <v>V3 Mouldings Pvt Ltd 8013</v>
      </c>
      <c r="D428" s="16">
        <v>496</v>
      </c>
      <c r="E428" s="14" t="s">
        <v>42</v>
      </c>
      <c r="F428" s="14"/>
      <c r="G428" s="30">
        <v>42179</v>
      </c>
      <c r="H428" s="30"/>
      <c r="I428" s="30"/>
      <c r="J428" s="24">
        <v>45938</v>
      </c>
      <c r="K428" s="24">
        <v>46302</v>
      </c>
      <c r="L428" s="32">
        <v>3</v>
      </c>
      <c r="M428" s="14" t="s">
        <v>1810</v>
      </c>
      <c r="N428" s="8"/>
      <c r="O428" s="18" t="s">
        <v>1811</v>
      </c>
      <c r="P428" s="195" t="s">
        <v>1812</v>
      </c>
      <c r="Q428" s="195" t="s">
        <v>4554</v>
      </c>
      <c r="R428" s="195" t="s">
        <v>1813</v>
      </c>
      <c r="S428" s="195" t="s">
        <v>21</v>
      </c>
      <c r="T428" s="195">
        <v>560074</v>
      </c>
      <c r="U428" s="195" t="s">
        <v>22</v>
      </c>
      <c r="V428" s="195" t="s">
        <v>23</v>
      </c>
      <c r="W428" s="193">
        <v>8</v>
      </c>
      <c r="X428" s="195">
        <v>0</v>
      </c>
      <c r="Y428" s="195">
        <v>1</v>
      </c>
      <c r="Z428" s="195">
        <v>3</v>
      </c>
      <c r="AA428" s="193" t="s">
        <v>4118</v>
      </c>
      <c r="AB428" s="2"/>
    </row>
    <row r="429" spans="1:28" ht="15" customHeight="1">
      <c r="A429" s="16">
        <v>428</v>
      </c>
      <c r="B429" s="14" t="s">
        <v>1814</v>
      </c>
      <c r="C429" s="14" t="str">
        <f>_xlfn.CONCAT(B429&amp;" "&amp;W429&amp;X429&amp;Y429&amp;Z429)</f>
        <v>Sona Speed Pvt Ltd (Superchem Finishers) 8032</v>
      </c>
      <c r="D429" s="16">
        <v>432</v>
      </c>
      <c r="E429" s="14" t="s">
        <v>42</v>
      </c>
      <c r="F429" s="14"/>
      <c r="G429" s="30">
        <v>42187</v>
      </c>
      <c r="H429" s="30"/>
      <c r="I429" s="30"/>
      <c r="J429" s="24">
        <v>44566</v>
      </c>
      <c r="K429" s="24">
        <v>44930</v>
      </c>
      <c r="L429" s="32">
        <v>3</v>
      </c>
      <c r="M429" s="14" t="s">
        <v>1815</v>
      </c>
      <c r="N429" s="14" t="s">
        <v>254</v>
      </c>
      <c r="O429" s="18" t="s">
        <v>1816</v>
      </c>
      <c r="P429" s="195" t="s">
        <v>436</v>
      </c>
      <c r="Q429" s="195" t="s">
        <v>4555</v>
      </c>
      <c r="R429" s="193"/>
      <c r="S429" s="195" t="s">
        <v>21</v>
      </c>
      <c r="T429" s="195">
        <v>570090</v>
      </c>
      <c r="U429" s="195" t="s">
        <v>22</v>
      </c>
      <c r="V429" s="195" t="s">
        <v>23</v>
      </c>
      <c r="W429" s="193">
        <v>8</v>
      </c>
      <c r="X429" s="195">
        <v>0</v>
      </c>
      <c r="Y429" s="195">
        <v>3</v>
      </c>
      <c r="Z429" s="195">
        <v>2</v>
      </c>
      <c r="AA429" s="193" t="s">
        <v>4118</v>
      </c>
      <c r="AB429" s="2"/>
    </row>
    <row r="430" spans="1:28" ht="15" customHeight="1">
      <c r="A430" s="16">
        <v>429</v>
      </c>
      <c r="B430" s="14" t="s">
        <v>1817</v>
      </c>
      <c r="C430" s="14" t="str">
        <f>_xlfn.CONCAT(B430&amp;" "&amp;W430&amp;X430&amp;Y430&amp;Z430)</f>
        <v>MbEngg GmbH &amp; Co. KG 0000</v>
      </c>
      <c r="D430" s="16">
        <v>437</v>
      </c>
      <c r="E430" s="14" t="s">
        <v>42</v>
      </c>
      <c r="F430" s="14"/>
      <c r="G430" s="14"/>
      <c r="H430" s="14"/>
      <c r="I430" s="14"/>
      <c r="J430" s="24"/>
      <c r="K430" s="24"/>
      <c r="L430" s="32">
        <v>3</v>
      </c>
      <c r="M430" s="14" t="s">
        <v>1818</v>
      </c>
      <c r="N430" s="8"/>
      <c r="O430" s="18" t="s">
        <v>1819</v>
      </c>
      <c r="P430" s="195" t="s">
        <v>1820</v>
      </c>
      <c r="Q430" s="195" t="s">
        <v>4556</v>
      </c>
      <c r="R430" s="193"/>
      <c r="S430" s="195" t="s">
        <v>1295</v>
      </c>
      <c r="T430" s="193"/>
      <c r="U430" s="193" t="s">
        <v>574</v>
      </c>
      <c r="V430" s="193"/>
      <c r="W430" s="193">
        <v>0</v>
      </c>
      <c r="X430" s="193">
        <v>0</v>
      </c>
      <c r="Y430" s="193">
        <v>0</v>
      </c>
      <c r="Z430" s="193">
        <v>0</v>
      </c>
      <c r="AA430" s="193">
        <v>0</v>
      </c>
      <c r="AB430" s="2"/>
    </row>
    <row r="431" spans="1:28" ht="15" customHeight="1">
      <c r="A431" s="16">
        <v>430</v>
      </c>
      <c r="B431" s="14" t="s">
        <v>1821</v>
      </c>
      <c r="C431" s="14" t="str">
        <f>_xlfn.CONCAT(B431&amp;" "&amp;W431&amp;X431&amp;Y431&amp;Z431)</f>
        <v>Rishab Instruments Pvt. Ltd 2301</v>
      </c>
      <c r="D431" s="16">
        <v>498</v>
      </c>
      <c r="E431" s="14" t="s">
        <v>42</v>
      </c>
      <c r="F431" s="14"/>
      <c r="G431" s="30">
        <v>42188</v>
      </c>
      <c r="H431" s="30"/>
      <c r="I431" s="30"/>
      <c r="J431" s="24">
        <v>44236</v>
      </c>
      <c r="K431" s="24">
        <v>44600</v>
      </c>
      <c r="L431" s="32">
        <v>3</v>
      </c>
      <c r="M431" s="14" t="s">
        <v>1822</v>
      </c>
      <c r="N431" s="8"/>
      <c r="O431" s="18" t="s">
        <v>1823</v>
      </c>
      <c r="P431" s="193"/>
      <c r="Q431" s="193" t="s">
        <v>4557</v>
      </c>
      <c r="R431" s="193"/>
      <c r="S431" s="195" t="s">
        <v>321</v>
      </c>
      <c r="T431" s="195">
        <v>422007</v>
      </c>
      <c r="U431" s="195" t="s">
        <v>172</v>
      </c>
      <c r="V431" s="195" t="s">
        <v>23</v>
      </c>
      <c r="W431" s="193">
        <v>2</v>
      </c>
      <c r="X431" s="195">
        <v>3</v>
      </c>
      <c r="Y431" s="195">
        <v>0</v>
      </c>
      <c r="Z431" s="195">
        <v>1</v>
      </c>
      <c r="AA431" s="193" t="s">
        <v>5221</v>
      </c>
      <c r="AB431" s="2"/>
    </row>
    <row r="432" spans="1:28" ht="15" customHeight="1">
      <c r="A432" s="16">
        <v>431</v>
      </c>
      <c r="B432" s="14" t="s">
        <v>1824</v>
      </c>
      <c r="C432" s="14" t="str">
        <f>_xlfn.CONCAT(B432&amp;" "&amp;W432&amp;X432&amp;Y432&amp;Z432)</f>
        <v>Surelia Wire-Cut Pvt. Ltd., 5301</v>
      </c>
      <c r="D432" s="16">
        <v>500</v>
      </c>
      <c r="E432" s="14" t="s">
        <v>42</v>
      </c>
      <c r="F432" s="14"/>
      <c r="G432" s="30">
        <v>42196</v>
      </c>
      <c r="H432" s="30"/>
      <c r="I432" s="30"/>
      <c r="J432" s="24"/>
      <c r="K432" s="24"/>
      <c r="L432" s="32">
        <v>3</v>
      </c>
      <c r="M432" s="14" t="s">
        <v>1825</v>
      </c>
      <c r="N432" s="8"/>
      <c r="O432" s="18" t="s">
        <v>1826</v>
      </c>
      <c r="P432" s="193"/>
      <c r="Q432" s="193" t="s">
        <v>4558</v>
      </c>
      <c r="R432" s="193"/>
      <c r="S432" s="195" t="s">
        <v>1131</v>
      </c>
      <c r="T432" s="195">
        <v>360002</v>
      </c>
      <c r="U432" s="195" t="s">
        <v>144</v>
      </c>
      <c r="V432" s="195" t="s">
        <v>23</v>
      </c>
      <c r="W432" s="193">
        <v>5</v>
      </c>
      <c r="X432" s="195">
        <v>3</v>
      </c>
      <c r="Y432" s="195">
        <v>0</v>
      </c>
      <c r="Z432" s="195">
        <v>1</v>
      </c>
      <c r="AA432" s="193" t="s">
        <v>4135</v>
      </c>
      <c r="AB432" s="2"/>
    </row>
    <row r="433" spans="1:28" ht="15" customHeight="1">
      <c r="A433" s="16">
        <v>432</v>
      </c>
      <c r="B433" s="14" t="s">
        <v>1489</v>
      </c>
      <c r="C433" s="14" t="str">
        <f>_xlfn.CONCAT(B433&amp;" "&amp;W433&amp;X433&amp;Y433&amp;Z433)</f>
        <v>Federal Mogul Goetze (India) Ltd 8071</v>
      </c>
      <c r="D433" s="16">
        <v>501</v>
      </c>
      <c r="E433" s="14" t="s">
        <v>42</v>
      </c>
      <c r="F433" s="14"/>
      <c r="G433" s="30">
        <v>42198</v>
      </c>
      <c r="H433" s="30"/>
      <c r="I433" s="30"/>
      <c r="J433" s="24">
        <v>44461</v>
      </c>
      <c r="K433" s="24">
        <v>44825</v>
      </c>
      <c r="L433" s="32">
        <v>3</v>
      </c>
      <c r="M433" s="14" t="s">
        <v>1827</v>
      </c>
      <c r="N433" s="8"/>
      <c r="O433" s="18" t="s">
        <v>1828</v>
      </c>
      <c r="P433" s="193"/>
      <c r="Q433" s="193" t="s">
        <v>4559</v>
      </c>
      <c r="R433" s="193"/>
      <c r="S433" s="195" t="s">
        <v>21</v>
      </c>
      <c r="T433" s="195">
        <v>560064</v>
      </c>
      <c r="U433" s="195" t="s">
        <v>22</v>
      </c>
      <c r="V433" s="195" t="s">
        <v>23</v>
      </c>
      <c r="W433" s="193">
        <v>8</v>
      </c>
      <c r="X433" s="195">
        <v>0</v>
      </c>
      <c r="Y433" s="195">
        <v>7</v>
      </c>
      <c r="Z433" s="195">
        <v>1</v>
      </c>
      <c r="AA433" s="193" t="s">
        <v>4118</v>
      </c>
      <c r="AB433" s="2"/>
    </row>
    <row r="434" spans="1:28" ht="15" customHeight="1">
      <c r="A434" s="16">
        <v>433</v>
      </c>
      <c r="B434" s="14" t="s">
        <v>1829</v>
      </c>
      <c r="C434" s="14" t="str">
        <f>_xlfn.CONCAT(B434&amp;" "&amp;W434&amp;X434&amp;Y434&amp;Z434)</f>
        <v>Multilink 8033</v>
      </c>
      <c r="D434" s="16">
        <v>503</v>
      </c>
      <c r="E434" s="14" t="s">
        <v>42</v>
      </c>
      <c r="F434" s="14"/>
      <c r="G434" s="30">
        <v>45856</v>
      </c>
      <c r="H434" s="30"/>
      <c r="I434" s="30"/>
      <c r="J434" s="24">
        <v>45792</v>
      </c>
      <c r="K434" s="24">
        <v>46156</v>
      </c>
      <c r="L434" s="32">
        <v>3</v>
      </c>
      <c r="M434" s="14" t="s">
        <v>1830</v>
      </c>
      <c r="N434" s="14" t="s">
        <v>1831</v>
      </c>
      <c r="O434" s="18" t="s">
        <v>1832</v>
      </c>
      <c r="P434" s="15"/>
      <c r="Q434" s="15" t="s">
        <v>4560</v>
      </c>
      <c r="R434" s="193"/>
      <c r="S434" s="195" t="s">
        <v>275</v>
      </c>
      <c r="T434" s="195">
        <v>570016</v>
      </c>
      <c r="U434" s="195" t="s">
        <v>22</v>
      </c>
      <c r="V434" s="195" t="s">
        <v>23</v>
      </c>
      <c r="W434" s="193">
        <v>8</v>
      </c>
      <c r="X434" s="195">
        <v>0</v>
      </c>
      <c r="Y434" s="195">
        <v>3</v>
      </c>
      <c r="Z434" s="195">
        <v>3</v>
      </c>
      <c r="AA434" s="193" t="s">
        <v>4118</v>
      </c>
      <c r="AB434" s="2"/>
    </row>
    <row r="435" spans="1:28" ht="15" customHeight="1">
      <c r="A435" s="16">
        <v>434</v>
      </c>
      <c r="B435" s="14" t="s">
        <v>1833</v>
      </c>
      <c r="C435" s="14" t="str">
        <f>_xlfn.CONCAT(B435&amp;" "&amp;W435&amp;X435&amp;Y435&amp;Z435)</f>
        <v>Doctor Pack India Pvt. Ltd., 8012</v>
      </c>
      <c r="D435" s="16">
        <v>495</v>
      </c>
      <c r="E435" s="14" t="s">
        <v>90</v>
      </c>
      <c r="F435" s="14"/>
      <c r="G435" s="30">
        <v>42208</v>
      </c>
      <c r="H435" s="30"/>
      <c r="I435" s="30"/>
      <c r="J435" s="24">
        <v>44434</v>
      </c>
      <c r="K435" s="24">
        <v>44798</v>
      </c>
      <c r="L435" s="32">
        <v>3</v>
      </c>
      <c r="M435" s="14" t="s">
        <v>1834</v>
      </c>
      <c r="N435" s="14" t="s">
        <v>339</v>
      </c>
      <c r="O435" s="18" t="s">
        <v>1835</v>
      </c>
      <c r="P435" s="15" t="s">
        <v>1836</v>
      </c>
      <c r="Q435" s="15" t="s">
        <v>4561</v>
      </c>
      <c r="R435" s="15"/>
      <c r="S435" s="195" t="s">
        <v>21</v>
      </c>
      <c r="T435" s="195">
        <v>560105</v>
      </c>
      <c r="U435" s="195" t="s">
        <v>22</v>
      </c>
      <c r="V435" s="195" t="s">
        <v>23</v>
      </c>
      <c r="W435" s="193">
        <v>8</v>
      </c>
      <c r="X435" s="195">
        <v>0</v>
      </c>
      <c r="Y435" s="195">
        <v>1</v>
      </c>
      <c r="Z435" s="195">
        <v>2</v>
      </c>
      <c r="AA435" s="193" t="s">
        <v>4118</v>
      </c>
      <c r="AB435" s="2"/>
    </row>
    <row r="436" spans="1:28" ht="15" customHeight="1">
      <c r="A436" s="16">
        <v>435</v>
      </c>
      <c r="B436" s="14" t="s">
        <v>1837</v>
      </c>
      <c r="C436" s="14" t="str">
        <f>_xlfn.CONCAT(B436&amp;" "&amp;W436&amp;X436&amp;Y436&amp;Z436)</f>
        <v>Velankani Electronics Pvt. Ltd., 8021</v>
      </c>
      <c r="D436" s="16">
        <v>504</v>
      </c>
      <c r="E436" s="14" t="s">
        <v>42</v>
      </c>
      <c r="F436" s="14"/>
      <c r="G436" s="30">
        <v>42209</v>
      </c>
      <c r="H436" s="30"/>
      <c r="I436" s="30"/>
      <c r="J436" s="24">
        <v>45754</v>
      </c>
      <c r="K436" s="24">
        <v>46118</v>
      </c>
      <c r="L436" s="32">
        <v>3</v>
      </c>
      <c r="M436" s="14" t="s">
        <v>1838</v>
      </c>
      <c r="N436" s="8"/>
      <c r="O436" s="19"/>
      <c r="P436" s="195" t="s">
        <v>718</v>
      </c>
      <c r="Q436" s="195" t="s">
        <v>4562</v>
      </c>
      <c r="R436" s="193"/>
      <c r="S436" s="195" t="s">
        <v>21</v>
      </c>
      <c r="T436" s="195">
        <v>560100</v>
      </c>
      <c r="U436" s="195" t="s">
        <v>22</v>
      </c>
      <c r="V436" s="195" t="s">
        <v>23</v>
      </c>
      <c r="W436" s="193">
        <v>8</v>
      </c>
      <c r="X436" s="195">
        <v>0</v>
      </c>
      <c r="Y436" s="195">
        <v>2</v>
      </c>
      <c r="Z436" s="195">
        <v>1</v>
      </c>
      <c r="AA436" s="193" t="s">
        <v>4118</v>
      </c>
      <c r="AB436" s="2"/>
    </row>
    <row r="437" spans="1:28" ht="15" customHeight="1">
      <c r="A437" s="16">
        <v>436</v>
      </c>
      <c r="B437" s="14" t="s">
        <v>1839</v>
      </c>
      <c r="C437" s="14" t="str">
        <f>_xlfn.CONCAT(B437&amp;" "&amp;W437&amp;X437&amp;Y437&amp;Z437)</f>
        <v>BRS Precision Manufacturing Pvt. Ltd., 8032</v>
      </c>
      <c r="D437" s="16">
        <v>502</v>
      </c>
      <c r="E437" s="14" t="s">
        <v>42</v>
      </c>
      <c r="F437" s="14"/>
      <c r="G437" s="30">
        <v>42215</v>
      </c>
      <c r="H437" s="30"/>
      <c r="I437" s="30"/>
      <c r="J437" s="24">
        <v>44196</v>
      </c>
      <c r="K437" s="24">
        <v>44560</v>
      </c>
      <c r="L437" s="32">
        <v>3</v>
      </c>
      <c r="M437" s="14" t="s">
        <v>1840</v>
      </c>
      <c r="N437" s="14" t="s">
        <v>71</v>
      </c>
      <c r="O437" s="19"/>
      <c r="P437" s="195" t="s">
        <v>458</v>
      </c>
      <c r="Q437" s="195" t="s">
        <v>4563</v>
      </c>
      <c r="R437" s="193"/>
      <c r="S437" s="195" t="s">
        <v>1269</v>
      </c>
      <c r="T437" s="195">
        <v>562112</v>
      </c>
      <c r="U437" s="195" t="s">
        <v>22</v>
      </c>
      <c r="V437" s="195" t="s">
        <v>23</v>
      </c>
      <c r="W437" s="193">
        <v>8</v>
      </c>
      <c r="X437" s="195">
        <v>0</v>
      </c>
      <c r="Y437" s="195">
        <v>3</v>
      </c>
      <c r="Z437" s="195">
        <v>2</v>
      </c>
      <c r="AA437" s="193" t="s">
        <v>4118</v>
      </c>
      <c r="AB437" s="2"/>
    </row>
    <row r="438" spans="1:28" ht="15" customHeight="1">
      <c r="A438" s="16">
        <v>437</v>
      </c>
      <c r="B438" s="14" t="s">
        <v>1841</v>
      </c>
      <c r="C438" s="14" t="str">
        <f>_xlfn.CONCAT(B438&amp;" "&amp;W438&amp;X438&amp;Y438&amp;Z438)</f>
        <v>Elite Technologies 6021</v>
      </c>
      <c r="D438" s="16">
        <v>517</v>
      </c>
      <c r="E438" s="14" t="s">
        <v>90</v>
      </c>
      <c r="F438" s="14"/>
      <c r="G438" s="30">
        <v>42221</v>
      </c>
      <c r="H438" s="30"/>
      <c r="I438" s="30"/>
      <c r="J438" s="24">
        <v>43861</v>
      </c>
      <c r="K438" s="24">
        <v>44226</v>
      </c>
      <c r="L438" s="32">
        <v>3</v>
      </c>
      <c r="M438" s="14" t="s">
        <v>1842</v>
      </c>
      <c r="N438" s="14" t="s">
        <v>1433</v>
      </c>
      <c r="O438" s="18" t="s">
        <v>1843</v>
      </c>
      <c r="P438" s="195" t="s">
        <v>1585</v>
      </c>
      <c r="Q438" s="195" t="s">
        <v>4564</v>
      </c>
      <c r="R438" s="193"/>
      <c r="S438" s="195" t="s">
        <v>53</v>
      </c>
      <c r="T438" s="195">
        <v>500037</v>
      </c>
      <c r="U438" s="193" t="s">
        <v>1844</v>
      </c>
      <c r="V438" s="195" t="s">
        <v>23</v>
      </c>
      <c r="W438" s="193">
        <v>6</v>
      </c>
      <c r="X438" s="195">
        <v>0</v>
      </c>
      <c r="Y438" s="195">
        <v>2</v>
      </c>
      <c r="Z438" s="195">
        <v>1</v>
      </c>
      <c r="AA438" s="193" t="s">
        <v>4148</v>
      </c>
      <c r="AB438" s="2"/>
    </row>
    <row r="439" spans="1:28" ht="15" customHeight="1">
      <c r="A439" s="16">
        <v>438</v>
      </c>
      <c r="B439" s="14" t="s">
        <v>1845</v>
      </c>
      <c r="C439" s="14" t="str">
        <f>_xlfn.CONCAT(B439&amp;" "&amp;W439&amp;X439&amp;Y439&amp;Z439)</f>
        <v>Impex Plastic Works 1161</v>
      </c>
      <c r="D439" s="16">
        <v>426</v>
      </c>
      <c r="E439" s="14" t="s">
        <v>42</v>
      </c>
      <c r="F439" s="14"/>
      <c r="G439" s="30">
        <v>42233</v>
      </c>
      <c r="H439" s="30"/>
      <c r="I439" s="30"/>
      <c r="J439" s="24">
        <v>44121</v>
      </c>
      <c r="K439" s="24">
        <v>44485</v>
      </c>
      <c r="L439" s="32">
        <v>3</v>
      </c>
      <c r="M439" s="14" t="s">
        <v>1846</v>
      </c>
      <c r="N439" s="8"/>
      <c r="O439" s="18" t="s">
        <v>1847</v>
      </c>
      <c r="P439" s="195" t="s">
        <v>1848</v>
      </c>
      <c r="Q439" s="195" t="s">
        <v>4565</v>
      </c>
      <c r="R439" s="193"/>
      <c r="S439" s="195" t="s">
        <v>454</v>
      </c>
      <c r="T439" s="195">
        <v>121001</v>
      </c>
      <c r="U439" s="193" t="s">
        <v>429</v>
      </c>
      <c r="V439" s="195" t="s">
        <v>23</v>
      </c>
      <c r="W439" s="193">
        <v>1</v>
      </c>
      <c r="X439" s="195">
        <v>1</v>
      </c>
      <c r="Y439" s="195">
        <v>6</v>
      </c>
      <c r="Z439" s="195">
        <v>1</v>
      </c>
      <c r="AA439" s="193" t="s">
        <v>4118</v>
      </c>
      <c r="AB439" s="2"/>
    </row>
    <row r="440" spans="1:28" ht="15" customHeight="1">
      <c r="A440" s="16">
        <v>439</v>
      </c>
      <c r="B440" s="14" t="s">
        <v>1849</v>
      </c>
      <c r="C440" s="14" t="str">
        <f>_xlfn.CONCAT(B440&amp;" "&amp;W440&amp;X440&amp;Y440&amp;Z440)</f>
        <v>Schneider Electric India Pvt Ltd (Larsen &amp; Toubro Limited) (H090) 2431</v>
      </c>
      <c r="D440" s="16">
        <v>519</v>
      </c>
      <c r="E440" s="14" t="s">
        <v>90</v>
      </c>
      <c r="F440" s="14"/>
      <c r="G440" s="30">
        <v>42241</v>
      </c>
      <c r="H440" s="30"/>
      <c r="I440" s="30"/>
      <c r="J440" s="24">
        <v>44470</v>
      </c>
      <c r="K440" s="24">
        <v>44834</v>
      </c>
      <c r="L440" s="32">
        <v>3</v>
      </c>
      <c r="M440" s="14" t="s">
        <v>1850</v>
      </c>
      <c r="N440" s="8"/>
      <c r="O440" s="18" t="s">
        <v>1851</v>
      </c>
      <c r="P440" s="195" t="s">
        <v>1852</v>
      </c>
      <c r="Q440" s="195" t="s">
        <v>4566</v>
      </c>
      <c r="R440" s="193"/>
      <c r="S440" s="195" t="s">
        <v>1421</v>
      </c>
      <c r="T440" s="195">
        <v>414111</v>
      </c>
      <c r="U440" s="195" t="s">
        <v>172</v>
      </c>
      <c r="V440" s="195" t="s">
        <v>23</v>
      </c>
      <c r="W440" s="193">
        <v>2</v>
      </c>
      <c r="X440" s="195">
        <v>4</v>
      </c>
      <c r="Y440" s="195">
        <v>3</v>
      </c>
      <c r="Z440" s="195">
        <v>1</v>
      </c>
      <c r="AA440" s="193" t="s">
        <v>4151</v>
      </c>
      <c r="AB440" s="2"/>
    </row>
    <row r="441" spans="1:28" ht="15" customHeight="1">
      <c r="A441" s="16">
        <v>440</v>
      </c>
      <c r="B441" s="14" t="s">
        <v>1853</v>
      </c>
      <c r="C441" s="14" t="str">
        <f>_xlfn.CONCAT(B441&amp;" "&amp;W441&amp;X441&amp;Y441&amp;Z441)</f>
        <v>Rohit Springforms Pvt. Ltd., 2411</v>
      </c>
      <c r="D441" s="16">
        <v>525</v>
      </c>
      <c r="E441" s="14" t="s">
        <v>90</v>
      </c>
      <c r="F441" s="14"/>
      <c r="G441" s="30">
        <v>42244</v>
      </c>
      <c r="H441" s="30"/>
      <c r="I441" s="30"/>
      <c r="J441" s="24">
        <v>44446</v>
      </c>
      <c r="K441" s="24">
        <v>45175</v>
      </c>
      <c r="L441" s="32">
        <v>3</v>
      </c>
      <c r="M441" s="14" t="s">
        <v>1854</v>
      </c>
      <c r="N441" s="14" t="s">
        <v>28</v>
      </c>
      <c r="O441" s="18" t="s">
        <v>1855</v>
      </c>
      <c r="P441" s="195" t="s">
        <v>214</v>
      </c>
      <c r="Q441" s="195" t="s">
        <v>4567</v>
      </c>
      <c r="R441" s="193"/>
      <c r="S441" s="195" t="s">
        <v>215</v>
      </c>
      <c r="T441" s="195">
        <v>411026</v>
      </c>
      <c r="U441" s="195" t="s">
        <v>172</v>
      </c>
      <c r="V441" s="195" t="s">
        <v>23</v>
      </c>
      <c r="W441" s="193">
        <v>2</v>
      </c>
      <c r="X441" s="195">
        <v>4</v>
      </c>
      <c r="Y441" s="195">
        <v>1</v>
      </c>
      <c r="Z441" s="195">
        <v>1</v>
      </c>
      <c r="AA441" s="193" t="s">
        <v>4150</v>
      </c>
      <c r="AB441" s="2"/>
    </row>
    <row r="442" spans="1:28" ht="15" customHeight="1">
      <c r="A442" s="16">
        <v>441</v>
      </c>
      <c r="B442" s="14" t="s">
        <v>104</v>
      </c>
      <c r="C442" s="14" t="str">
        <f>_xlfn.CONCAT(B442&amp;" "&amp;W442&amp;X442&amp;Y442&amp;Z442)</f>
        <v>Candid Micron Measurements P Ltd. 4161</v>
      </c>
      <c r="D442" s="16">
        <v>99</v>
      </c>
      <c r="E442" s="14" t="s">
        <v>42</v>
      </c>
      <c r="F442" s="14"/>
      <c r="G442" s="30">
        <v>42248</v>
      </c>
      <c r="H442" s="30"/>
      <c r="I442" s="30"/>
      <c r="J442" s="24"/>
      <c r="K442" s="24"/>
      <c r="L442" s="32">
        <v>3</v>
      </c>
      <c r="M442" s="14" t="s">
        <v>105</v>
      </c>
      <c r="N442" s="14" t="s">
        <v>28</v>
      </c>
      <c r="O442" s="18" t="s">
        <v>106</v>
      </c>
      <c r="P442" s="195" t="s">
        <v>107</v>
      </c>
      <c r="Q442" s="195" t="s">
        <v>4166</v>
      </c>
      <c r="R442" s="195" t="s">
        <v>108</v>
      </c>
      <c r="S442" s="195" t="s">
        <v>101</v>
      </c>
      <c r="T442" s="195">
        <v>641006</v>
      </c>
      <c r="U442" s="195" t="s">
        <v>38</v>
      </c>
      <c r="V442" s="195" t="s">
        <v>23</v>
      </c>
      <c r="W442" s="193">
        <v>4</v>
      </c>
      <c r="X442" s="195">
        <v>1</v>
      </c>
      <c r="Y442" s="195">
        <v>6</v>
      </c>
      <c r="Z442" s="195">
        <v>1</v>
      </c>
      <c r="AA442" s="193" t="s">
        <v>4148</v>
      </c>
      <c r="AB442" s="2"/>
    </row>
    <row r="443" spans="1:28" ht="15" customHeight="1">
      <c r="A443" s="16">
        <v>442</v>
      </c>
      <c r="B443" s="14" t="s">
        <v>1856</v>
      </c>
      <c r="C443" s="14" t="str">
        <f>_xlfn.CONCAT(B443&amp;" "&amp;W443&amp;X443&amp;Y443&amp;Z443)</f>
        <v>Wipro Enterprises Limited 8071</v>
      </c>
      <c r="D443" s="16">
        <v>518</v>
      </c>
      <c r="E443" s="14" t="s">
        <v>90</v>
      </c>
      <c r="F443" s="14"/>
      <c r="G443" s="30">
        <v>42259</v>
      </c>
      <c r="H443" s="30"/>
      <c r="I443" s="30"/>
      <c r="J443" s="26">
        <v>45833</v>
      </c>
      <c r="K443" s="26">
        <v>46197</v>
      </c>
      <c r="L443" s="32">
        <v>3</v>
      </c>
      <c r="M443" s="14" t="s">
        <v>1857</v>
      </c>
      <c r="N443" s="8"/>
      <c r="O443" s="18" t="s">
        <v>1858</v>
      </c>
      <c r="P443" s="195" t="s">
        <v>1859</v>
      </c>
      <c r="Q443" s="195" t="s">
        <v>4568</v>
      </c>
      <c r="R443" s="193"/>
      <c r="S443" s="195" t="s">
        <v>1859</v>
      </c>
      <c r="T443" s="195">
        <v>562110</v>
      </c>
      <c r="U443" s="195" t="s">
        <v>22</v>
      </c>
      <c r="V443" s="195" t="s">
        <v>23</v>
      </c>
      <c r="W443" s="193">
        <v>8</v>
      </c>
      <c r="X443" s="195">
        <v>0</v>
      </c>
      <c r="Y443" s="195">
        <v>7</v>
      </c>
      <c r="Z443" s="195">
        <v>1</v>
      </c>
      <c r="AA443" s="193" t="s">
        <v>4118</v>
      </c>
      <c r="AB443" s="2"/>
    </row>
    <row r="444" spans="1:28" ht="15" customHeight="1">
      <c r="A444" s="16">
        <v>443</v>
      </c>
      <c r="B444" s="14" t="s">
        <v>1860</v>
      </c>
      <c r="C444" s="14" t="str">
        <f>_xlfn.CONCAT(B444&amp;" "&amp;W444&amp;X444&amp;Y444&amp;Z444)</f>
        <v>Prem Industries 8033</v>
      </c>
      <c r="D444" s="16">
        <v>520</v>
      </c>
      <c r="E444" s="14" t="s">
        <v>90</v>
      </c>
      <c r="F444" s="14"/>
      <c r="G444" s="30">
        <v>42262</v>
      </c>
      <c r="H444" s="30"/>
      <c r="I444" s="30"/>
      <c r="J444" s="24">
        <v>44594</v>
      </c>
      <c r="K444" s="24">
        <v>44958</v>
      </c>
      <c r="L444" s="32">
        <v>3</v>
      </c>
      <c r="M444" s="14" t="s">
        <v>1861</v>
      </c>
      <c r="N444" s="14" t="s">
        <v>254</v>
      </c>
      <c r="O444" s="18" t="s">
        <v>1862</v>
      </c>
      <c r="P444" s="15"/>
      <c r="Q444" s="15" t="s">
        <v>4569</v>
      </c>
      <c r="R444" s="193"/>
      <c r="S444" s="195" t="s">
        <v>275</v>
      </c>
      <c r="T444" s="195">
        <v>570016</v>
      </c>
      <c r="U444" s="195" t="s">
        <v>22</v>
      </c>
      <c r="V444" s="195" t="s">
        <v>23</v>
      </c>
      <c r="W444" s="193">
        <v>8</v>
      </c>
      <c r="X444" s="195">
        <v>0</v>
      </c>
      <c r="Y444" s="195">
        <v>3</v>
      </c>
      <c r="Z444" s="195">
        <v>3</v>
      </c>
      <c r="AA444" s="193" t="s">
        <v>4118</v>
      </c>
      <c r="AB444" s="2"/>
    </row>
    <row r="445" spans="1:28" ht="15" customHeight="1">
      <c r="A445" s="16">
        <v>444</v>
      </c>
      <c r="B445" s="14" t="s">
        <v>508</v>
      </c>
      <c r="C445" s="14" t="str">
        <f>_xlfn.CONCAT(B445&amp;" "&amp;W445&amp;X445&amp;Y445&amp;Z445)</f>
        <v>Delphi TVS Diesel Systems Ltd. 4031</v>
      </c>
      <c r="D445" s="16">
        <v>410</v>
      </c>
      <c r="E445" s="14" t="s">
        <v>42</v>
      </c>
      <c r="F445" s="14"/>
      <c r="G445" s="30">
        <v>42263</v>
      </c>
      <c r="H445" s="30"/>
      <c r="I445" s="30"/>
      <c r="J445" s="24">
        <v>44592</v>
      </c>
      <c r="K445" s="24">
        <v>44956</v>
      </c>
      <c r="L445" s="32">
        <v>3</v>
      </c>
      <c r="M445" s="14" t="s">
        <v>1863</v>
      </c>
      <c r="N445" s="8"/>
      <c r="O445" s="18" t="s">
        <v>1864</v>
      </c>
      <c r="P445" s="195" t="s">
        <v>1865</v>
      </c>
      <c r="Q445" s="195" t="s">
        <v>4570</v>
      </c>
      <c r="R445" s="193"/>
      <c r="S445" s="195" t="s">
        <v>37</v>
      </c>
      <c r="T445" s="195">
        <v>263153</v>
      </c>
      <c r="U445" s="195" t="s">
        <v>38</v>
      </c>
      <c r="V445" s="195" t="s">
        <v>23</v>
      </c>
      <c r="W445" s="193">
        <v>4</v>
      </c>
      <c r="X445" s="195">
        <v>0</v>
      </c>
      <c r="Y445" s="195">
        <v>3</v>
      </c>
      <c r="Z445" s="195">
        <v>1</v>
      </c>
      <c r="AA445" s="193" t="s">
        <v>4148</v>
      </c>
      <c r="AB445" s="2"/>
    </row>
    <row r="446" spans="1:28" ht="15" customHeight="1">
      <c r="A446" s="16">
        <v>445</v>
      </c>
      <c r="B446" s="14" t="s">
        <v>1866</v>
      </c>
      <c r="C446" s="14" t="str">
        <f>_xlfn.CONCAT(B446&amp;" "&amp;W446&amp;X446&amp;Y446&amp;Z446)</f>
        <v>Tube Investments of India Ltd., 4042</v>
      </c>
      <c r="D446" s="16">
        <v>523</v>
      </c>
      <c r="E446" s="14" t="s">
        <v>90</v>
      </c>
      <c r="F446" s="14"/>
      <c r="G446" s="30">
        <v>42267</v>
      </c>
      <c r="H446" s="30"/>
      <c r="I446" s="30"/>
      <c r="J446" s="24"/>
      <c r="K446" s="24"/>
      <c r="L446" s="32">
        <v>3</v>
      </c>
      <c r="M446" s="14" t="s">
        <v>1867</v>
      </c>
      <c r="N446" s="14" t="s">
        <v>1868</v>
      </c>
      <c r="O446" s="18" t="s">
        <v>1869</v>
      </c>
      <c r="P446" s="193"/>
      <c r="Q446" s="193" t="s">
        <v>4571</v>
      </c>
      <c r="R446" s="193"/>
      <c r="S446" s="195" t="s">
        <v>37</v>
      </c>
      <c r="T446" s="195">
        <v>600054</v>
      </c>
      <c r="U446" s="195" t="s">
        <v>38</v>
      </c>
      <c r="V446" s="195" t="s">
        <v>23</v>
      </c>
      <c r="W446" s="193">
        <v>4</v>
      </c>
      <c r="X446" s="195">
        <v>0</v>
      </c>
      <c r="Y446" s="195">
        <v>4</v>
      </c>
      <c r="Z446" s="195">
        <v>2</v>
      </c>
      <c r="AA446" s="193" t="s">
        <v>4148</v>
      </c>
      <c r="AB446" s="2"/>
    </row>
    <row r="447" spans="1:28" ht="15" customHeight="1">
      <c r="A447" s="16">
        <v>446</v>
      </c>
      <c r="B447" s="14" t="s">
        <v>1870</v>
      </c>
      <c r="C447" s="14" t="str">
        <f>_xlfn.CONCAT(B447&amp;" "&amp;W447&amp;X447&amp;Y447&amp;Z447)</f>
        <v>KPSV Industries Pvt. Ltd., 8013</v>
      </c>
      <c r="D447" s="16">
        <v>521</v>
      </c>
      <c r="E447" s="14" t="s">
        <v>90</v>
      </c>
      <c r="F447" s="14"/>
      <c r="G447" s="30">
        <v>42278</v>
      </c>
      <c r="H447" s="30"/>
      <c r="I447" s="30"/>
      <c r="J447" s="24"/>
      <c r="K447" s="24"/>
      <c r="L447" s="32">
        <v>3</v>
      </c>
      <c r="M447" s="14" t="s">
        <v>1871</v>
      </c>
      <c r="N447" s="14" t="s">
        <v>254</v>
      </c>
      <c r="O447" s="19"/>
      <c r="P447" s="195" t="s">
        <v>1330</v>
      </c>
      <c r="Q447" s="195" t="s">
        <v>4572</v>
      </c>
      <c r="R447" s="193"/>
      <c r="S447" s="195" t="s">
        <v>121</v>
      </c>
      <c r="T447" s="195">
        <v>635126</v>
      </c>
      <c r="U447" s="195" t="s">
        <v>38</v>
      </c>
      <c r="V447" s="195" t="s">
        <v>23</v>
      </c>
      <c r="W447" s="193">
        <v>8</v>
      </c>
      <c r="X447" s="195">
        <v>0</v>
      </c>
      <c r="Y447" s="195">
        <v>1</v>
      </c>
      <c r="Z447" s="195">
        <v>3</v>
      </c>
      <c r="AA447" s="193" t="s">
        <v>4118</v>
      </c>
      <c r="AB447" s="2"/>
    </row>
    <row r="448" spans="1:28" ht="15" customHeight="1">
      <c r="A448" s="16">
        <v>447</v>
      </c>
      <c r="B448" s="14" t="s">
        <v>1872</v>
      </c>
      <c r="C448" s="14" t="str">
        <f>_xlfn.CONCAT(B448&amp;" "&amp;W448&amp;X448&amp;Y448&amp;Z448)</f>
        <v>Sunrays Engineers Pvt. Ltd., 1111</v>
      </c>
      <c r="D448" s="16">
        <v>508</v>
      </c>
      <c r="E448" s="14" t="s">
        <v>42</v>
      </c>
      <c r="F448" s="14"/>
      <c r="G448" s="30">
        <v>42280</v>
      </c>
      <c r="H448" s="30"/>
      <c r="I448" s="30"/>
      <c r="J448" s="24"/>
      <c r="K448" s="24"/>
      <c r="L448" s="32">
        <v>3</v>
      </c>
      <c r="M448" s="14" t="s">
        <v>1873</v>
      </c>
      <c r="N448" s="8"/>
      <c r="O448" s="18" t="s">
        <v>1874</v>
      </c>
      <c r="P448" s="195" t="s">
        <v>1157</v>
      </c>
      <c r="Q448" s="195" t="s">
        <v>4573</v>
      </c>
      <c r="R448" s="195" t="s">
        <v>1875</v>
      </c>
      <c r="S448" s="195" t="s">
        <v>428</v>
      </c>
      <c r="T448" s="195">
        <v>122050</v>
      </c>
      <c r="U448" s="195" t="s">
        <v>429</v>
      </c>
      <c r="V448" s="195" t="s">
        <v>23</v>
      </c>
      <c r="W448" s="193">
        <v>1</v>
      </c>
      <c r="X448" s="195">
        <v>1</v>
      </c>
      <c r="Y448" s="195">
        <v>1</v>
      </c>
      <c r="Z448" s="195">
        <v>1</v>
      </c>
      <c r="AA448" s="193" t="s">
        <v>4118</v>
      </c>
      <c r="AB448" s="2"/>
    </row>
    <row r="449" spans="1:28" ht="15" customHeight="1">
      <c r="A449" s="16">
        <v>448</v>
      </c>
      <c r="B449" s="14" t="s">
        <v>1876</v>
      </c>
      <c r="C449" s="14" t="str">
        <f>_xlfn.CONCAT(B449&amp;" "&amp;W449&amp;X449&amp;Y449&amp;Z449)</f>
        <v>Fine Blanking Pvt. Ltd., 8001</v>
      </c>
      <c r="D449" s="16">
        <v>505</v>
      </c>
      <c r="E449" s="14" t="s">
        <v>42</v>
      </c>
      <c r="F449" s="14"/>
      <c r="G449" s="30">
        <v>42282</v>
      </c>
      <c r="H449" s="30"/>
      <c r="I449" s="30"/>
      <c r="J449" s="24">
        <v>44088</v>
      </c>
      <c r="K449" s="24">
        <v>44452</v>
      </c>
      <c r="L449" s="32">
        <v>3</v>
      </c>
      <c r="M449" s="14" t="s">
        <v>1877</v>
      </c>
      <c r="N449" s="8"/>
      <c r="O449" s="18" t="s">
        <v>1878</v>
      </c>
      <c r="P449" s="195" t="s">
        <v>1879</v>
      </c>
      <c r="Q449" s="195" t="s">
        <v>4574</v>
      </c>
      <c r="R449" s="193"/>
      <c r="S449" s="195" t="s">
        <v>1880</v>
      </c>
      <c r="T449" s="195">
        <v>580030</v>
      </c>
      <c r="U449" s="195" t="s">
        <v>22</v>
      </c>
      <c r="V449" s="195" t="s">
        <v>23</v>
      </c>
      <c r="W449" s="193">
        <v>8</v>
      </c>
      <c r="X449" s="195">
        <v>0</v>
      </c>
      <c r="Y449" s="195">
        <v>0</v>
      </c>
      <c r="Z449" s="195">
        <v>1</v>
      </c>
      <c r="AA449" s="193" t="s">
        <v>4118</v>
      </c>
      <c r="AB449" s="2"/>
    </row>
    <row r="450" spans="1:28" ht="15" customHeight="1">
      <c r="A450" s="16">
        <v>449</v>
      </c>
      <c r="B450" s="14" t="s">
        <v>1881</v>
      </c>
      <c r="C450" s="14" t="str">
        <f>_xlfn.CONCAT(B450&amp;" "&amp;W450&amp;X450&amp;Y450&amp;Z450)</f>
        <v>Roca Bathroom Products Pvt. Ltd., 4031</v>
      </c>
      <c r="D450" s="16">
        <v>509</v>
      </c>
      <c r="E450" s="14" t="s">
        <v>42</v>
      </c>
      <c r="F450" s="14"/>
      <c r="G450" s="30">
        <v>42288</v>
      </c>
      <c r="H450" s="30"/>
      <c r="I450" s="30"/>
      <c r="J450" s="24"/>
      <c r="K450" s="24"/>
      <c r="L450" s="32">
        <v>3</v>
      </c>
      <c r="M450" s="14" t="s">
        <v>1882</v>
      </c>
      <c r="N450" s="8"/>
      <c r="O450" s="18" t="s">
        <v>1883</v>
      </c>
      <c r="P450" s="195" t="s">
        <v>1884</v>
      </c>
      <c r="Q450" s="195" t="s">
        <v>4575</v>
      </c>
      <c r="R450" s="195" t="s">
        <v>1885</v>
      </c>
      <c r="S450" s="195" t="s">
        <v>37</v>
      </c>
      <c r="T450" s="195">
        <v>602105</v>
      </c>
      <c r="U450" s="195" t="s">
        <v>38</v>
      </c>
      <c r="V450" s="195" t="s">
        <v>23</v>
      </c>
      <c r="W450" s="193">
        <v>4</v>
      </c>
      <c r="X450" s="195">
        <v>0</v>
      </c>
      <c r="Y450" s="195">
        <v>3</v>
      </c>
      <c r="Z450" s="195">
        <v>1</v>
      </c>
      <c r="AA450" s="193" t="s">
        <v>4148</v>
      </c>
      <c r="AB450" s="2"/>
    </row>
    <row r="451" spans="1:28" ht="15" customHeight="1">
      <c r="A451" s="16">
        <v>450</v>
      </c>
      <c r="B451" s="14" t="s">
        <v>813</v>
      </c>
      <c r="C451" s="14" t="str">
        <f>_xlfn.CONCAT(B451&amp;" "&amp;W451&amp;X451&amp;Y451&amp;Z451)</f>
        <v>Titan Industries Ltd 8013</v>
      </c>
      <c r="D451" s="16">
        <v>526</v>
      </c>
      <c r="E451" s="14" t="s">
        <v>90</v>
      </c>
      <c r="F451" s="14"/>
      <c r="G451" s="30">
        <v>42292</v>
      </c>
      <c r="H451" s="30"/>
      <c r="I451" s="30"/>
      <c r="J451" s="24">
        <v>44470</v>
      </c>
      <c r="K451" s="24">
        <v>44834</v>
      </c>
      <c r="L451" s="32">
        <v>3</v>
      </c>
      <c r="M451" s="14" t="s">
        <v>1886</v>
      </c>
      <c r="N451" s="8"/>
      <c r="O451" s="18" t="s">
        <v>816</v>
      </c>
      <c r="P451" s="195" t="s">
        <v>725</v>
      </c>
      <c r="Q451" s="195" t="s">
        <v>4302</v>
      </c>
      <c r="R451" s="193"/>
      <c r="S451" s="195" t="s">
        <v>21</v>
      </c>
      <c r="T451" s="195">
        <v>562158</v>
      </c>
      <c r="U451" s="195" t="s">
        <v>22</v>
      </c>
      <c r="V451" s="195" t="s">
        <v>23</v>
      </c>
      <c r="W451" s="193">
        <v>8</v>
      </c>
      <c r="X451" s="195">
        <v>0</v>
      </c>
      <c r="Y451" s="195">
        <v>1</v>
      </c>
      <c r="Z451" s="195">
        <v>3</v>
      </c>
      <c r="AA451" s="193" t="s">
        <v>4118</v>
      </c>
      <c r="AB451" s="2"/>
    </row>
    <row r="452" spans="1:28" ht="15" customHeight="1">
      <c r="A452" s="16">
        <v>451</v>
      </c>
      <c r="B452" s="14" t="s">
        <v>1887</v>
      </c>
      <c r="C452" s="14" t="str">
        <f>_xlfn.CONCAT(B452&amp;" "&amp;W452&amp;X452&amp;Y452&amp;Z452)</f>
        <v>Multiples India 4041</v>
      </c>
      <c r="D452" s="16">
        <v>528</v>
      </c>
      <c r="E452" s="14" t="s">
        <v>90</v>
      </c>
      <c r="F452" s="14"/>
      <c r="G452" s="30">
        <v>42307</v>
      </c>
      <c r="H452" s="30"/>
      <c r="I452" s="30"/>
      <c r="J452" s="24"/>
      <c r="K452" s="24"/>
      <c r="L452" s="32">
        <v>3</v>
      </c>
      <c r="M452" s="14" t="s">
        <v>1539</v>
      </c>
      <c r="N452" s="8"/>
      <c r="O452" s="19"/>
      <c r="P452" s="195" t="s">
        <v>1888</v>
      </c>
      <c r="Q452" s="195" t="s">
        <v>4576</v>
      </c>
      <c r="R452" s="195" t="s">
        <v>1047</v>
      </c>
      <c r="S452" s="195" t="s">
        <v>37</v>
      </c>
      <c r="T452" s="195">
        <v>600106</v>
      </c>
      <c r="U452" s="195" t="s">
        <v>22</v>
      </c>
      <c r="V452" s="195" t="s">
        <v>23</v>
      </c>
      <c r="W452" s="193">
        <v>4</v>
      </c>
      <c r="X452" s="195">
        <v>0</v>
      </c>
      <c r="Y452" s="195">
        <v>4</v>
      </c>
      <c r="Z452" s="195">
        <v>1</v>
      </c>
      <c r="AA452" s="193" t="s">
        <v>4148</v>
      </c>
      <c r="AB452" s="2"/>
    </row>
    <row r="453" spans="1:28" ht="15" customHeight="1">
      <c r="A453" s="16">
        <v>452</v>
      </c>
      <c r="B453" s="14" t="s">
        <v>1889</v>
      </c>
      <c r="C453" s="14" t="str">
        <f>_xlfn.CONCAT(B453&amp;" "&amp;W453&amp;X453&amp;Y453&amp;Z453)</f>
        <v>Schneider Electric India Pvt Ltd (Larsen &amp; Toubro Limited) 5112</v>
      </c>
      <c r="D453" s="16">
        <v>524</v>
      </c>
      <c r="E453" s="14" t="s">
        <v>1136</v>
      </c>
      <c r="F453" s="14"/>
      <c r="G453" s="30">
        <v>42310</v>
      </c>
      <c r="H453" s="30"/>
      <c r="I453" s="30"/>
      <c r="J453" s="24">
        <v>44253</v>
      </c>
      <c r="K453" s="24">
        <v>44617</v>
      </c>
      <c r="L453" s="32">
        <v>3</v>
      </c>
      <c r="M453" s="14" t="s">
        <v>1890</v>
      </c>
      <c r="N453" s="8"/>
      <c r="O453" s="19"/>
      <c r="P453" s="195" t="s">
        <v>1891</v>
      </c>
      <c r="Q453" s="195" t="s">
        <v>4577</v>
      </c>
      <c r="R453" s="195" t="s">
        <v>1892</v>
      </c>
      <c r="S453" s="195" t="s">
        <v>1545</v>
      </c>
      <c r="T453" s="195">
        <v>390019</v>
      </c>
      <c r="U453" s="195" t="s">
        <v>144</v>
      </c>
      <c r="V453" s="195" t="s">
        <v>23</v>
      </c>
      <c r="W453" s="193">
        <v>5</v>
      </c>
      <c r="X453" s="195">
        <v>1</v>
      </c>
      <c r="Y453" s="195">
        <v>1</v>
      </c>
      <c r="Z453" s="195">
        <v>2</v>
      </c>
      <c r="AA453" s="193" t="s">
        <v>4118</v>
      </c>
      <c r="AB453" s="2"/>
    </row>
    <row r="454" spans="1:28" ht="15" customHeight="1">
      <c r="A454" s="16">
        <v>453</v>
      </c>
      <c r="B454" s="14" t="s">
        <v>1893</v>
      </c>
      <c r="C454" s="14" t="str">
        <f>_xlfn.CONCAT(B454&amp;" "&amp;W454&amp;X454&amp;Y454&amp;Z454)</f>
        <v>Auto CNC Machining Ltd., 8051</v>
      </c>
      <c r="D454" s="16">
        <v>529</v>
      </c>
      <c r="E454" s="14" t="s">
        <v>90</v>
      </c>
      <c r="F454" s="14"/>
      <c r="G454" s="30">
        <v>42312</v>
      </c>
      <c r="H454" s="30"/>
      <c r="I454" s="30"/>
      <c r="J454" s="24">
        <v>44292</v>
      </c>
      <c r="K454" s="24">
        <v>44656</v>
      </c>
      <c r="L454" s="32">
        <v>3</v>
      </c>
      <c r="M454" s="14" t="s">
        <v>1894</v>
      </c>
      <c r="N454" s="14" t="s">
        <v>28</v>
      </c>
      <c r="O454" s="18" t="s">
        <v>1895</v>
      </c>
      <c r="P454" s="195" t="s">
        <v>403</v>
      </c>
      <c r="Q454" s="195" t="s">
        <v>4578</v>
      </c>
      <c r="R454" s="193"/>
      <c r="S454" s="195" t="s">
        <v>21</v>
      </c>
      <c r="T454" s="195">
        <v>560058</v>
      </c>
      <c r="U454" s="195" t="s">
        <v>22</v>
      </c>
      <c r="V454" s="195" t="s">
        <v>23</v>
      </c>
      <c r="W454" s="193">
        <v>8</v>
      </c>
      <c r="X454" s="195">
        <v>0</v>
      </c>
      <c r="Y454" s="195">
        <v>5</v>
      </c>
      <c r="Z454" s="195">
        <v>1</v>
      </c>
      <c r="AA454" s="193" t="s">
        <v>4118</v>
      </c>
      <c r="AB454" s="2"/>
    </row>
    <row r="455" spans="1:28" ht="15" customHeight="1">
      <c r="A455" s="16">
        <v>454</v>
      </c>
      <c r="B455" s="14" t="s">
        <v>1896</v>
      </c>
      <c r="C455" s="14" t="str">
        <f>_xlfn.CONCAT(B455&amp;" "&amp;W455&amp;X455&amp;Y455&amp;Z455)</f>
        <v>Phoenix Engg 2021</v>
      </c>
      <c r="D455" s="16">
        <v>507</v>
      </c>
      <c r="E455" s="14" t="s">
        <v>42</v>
      </c>
      <c r="F455" s="14"/>
      <c r="G455" s="30">
        <v>42313</v>
      </c>
      <c r="H455" s="30"/>
      <c r="I455" s="30"/>
      <c r="J455" s="24">
        <v>45945</v>
      </c>
      <c r="K455" s="24">
        <v>46309</v>
      </c>
      <c r="L455" s="32">
        <v>3</v>
      </c>
      <c r="M455" s="14" t="s">
        <v>1897</v>
      </c>
      <c r="N455" s="14" t="s">
        <v>254</v>
      </c>
      <c r="O455" s="18" t="s">
        <v>1898</v>
      </c>
      <c r="P455" s="195" t="s">
        <v>908</v>
      </c>
      <c r="Q455" s="195" t="s">
        <v>4579</v>
      </c>
      <c r="R455" s="193"/>
      <c r="S455" s="195" t="s">
        <v>171</v>
      </c>
      <c r="T455" s="195">
        <v>431136</v>
      </c>
      <c r="U455" s="195" t="s">
        <v>172</v>
      </c>
      <c r="V455" s="195" t="s">
        <v>23</v>
      </c>
      <c r="W455" s="193">
        <v>2</v>
      </c>
      <c r="X455" s="195">
        <v>0</v>
      </c>
      <c r="Y455" s="195">
        <v>2</v>
      </c>
      <c r="Z455" s="195">
        <v>1</v>
      </c>
      <c r="AA455" s="193" t="s">
        <v>4118</v>
      </c>
      <c r="AB455" s="2"/>
    </row>
    <row r="456" spans="1:28" ht="15" customHeight="1">
      <c r="A456" s="16">
        <v>455</v>
      </c>
      <c r="B456" s="14" t="s">
        <v>1899</v>
      </c>
      <c r="C456" s="14" t="str">
        <f>_xlfn.CONCAT(B456&amp;" "&amp;W456&amp;X456&amp;Y456&amp;Z456)</f>
        <v>LM Van Moppes Diamond Tools India Pvt. L 4041</v>
      </c>
      <c r="D456" s="16">
        <v>512</v>
      </c>
      <c r="E456" s="14" t="s">
        <v>42</v>
      </c>
      <c r="F456" s="14"/>
      <c r="G456" s="30">
        <v>42314</v>
      </c>
      <c r="H456" s="30"/>
      <c r="I456" s="30"/>
      <c r="J456" s="24">
        <v>45918</v>
      </c>
      <c r="K456" s="24">
        <v>46282</v>
      </c>
      <c r="L456" s="32">
        <v>3</v>
      </c>
      <c r="M456" s="14" t="s">
        <v>1900</v>
      </c>
      <c r="N456" s="14" t="s">
        <v>722</v>
      </c>
      <c r="O456" s="18" t="s">
        <v>1901</v>
      </c>
      <c r="P456" s="195" t="s">
        <v>537</v>
      </c>
      <c r="Q456" s="195" t="s">
        <v>4580</v>
      </c>
      <c r="R456" s="193"/>
      <c r="S456" s="195" t="s">
        <v>37</v>
      </c>
      <c r="T456" s="195">
        <v>600011</v>
      </c>
      <c r="U456" s="195" t="s">
        <v>38</v>
      </c>
      <c r="V456" s="195" t="s">
        <v>23</v>
      </c>
      <c r="W456" s="193">
        <v>4</v>
      </c>
      <c r="X456" s="195">
        <v>0</v>
      </c>
      <c r="Y456" s="195">
        <v>4</v>
      </c>
      <c r="Z456" s="195">
        <v>1</v>
      </c>
      <c r="AA456" s="193" t="s">
        <v>4148</v>
      </c>
      <c r="AB456" s="2"/>
    </row>
    <row r="457" spans="1:28" ht="15" customHeight="1">
      <c r="A457" s="16">
        <v>456</v>
      </c>
      <c r="B457" s="14" t="s">
        <v>1196</v>
      </c>
      <c r="C457" s="14" t="str">
        <f>_xlfn.CONCAT(B457&amp;" "&amp;W457&amp;X457&amp;Y457&amp;Z457)</f>
        <v>Bhabha Atomic Research Centre 2115</v>
      </c>
      <c r="D457" s="16">
        <v>511</v>
      </c>
      <c r="E457" s="14" t="s">
        <v>42</v>
      </c>
      <c r="F457" s="14"/>
      <c r="G457" s="30">
        <v>42315</v>
      </c>
      <c r="H457" s="30"/>
      <c r="I457" s="30"/>
      <c r="J457" s="24"/>
      <c r="K457" s="24"/>
      <c r="L457" s="32">
        <v>3</v>
      </c>
      <c r="M457" s="14" t="s">
        <v>1902</v>
      </c>
      <c r="N457" s="14" t="s">
        <v>899</v>
      </c>
      <c r="O457" s="18" t="s">
        <v>1903</v>
      </c>
      <c r="P457" s="195" t="s">
        <v>1904</v>
      </c>
      <c r="Q457" s="195" t="s">
        <v>4581</v>
      </c>
      <c r="R457" s="193"/>
      <c r="S457" s="195" t="s">
        <v>221</v>
      </c>
      <c r="T457" s="195">
        <v>400085</v>
      </c>
      <c r="U457" s="195" t="s">
        <v>172</v>
      </c>
      <c r="V457" s="195" t="s">
        <v>23</v>
      </c>
      <c r="W457" s="193">
        <v>2</v>
      </c>
      <c r="X457" s="195">
        <v>1</v>
      </c>
      <c r="Y457" s="195">
        <v>1</v>
      </c>
      <c r="Z457" s="195">
        <v>5</v>
      </c>
      <c r="AA457" s="193" t="s">
        <v>4118</v>
      </c>
      <c r="AB457" s="2"/>
    </row>
    <row r="458" spans="1:28" ht="15" customHeight="1">
      <c r="A458" s="16">
        <v>457</v>
      </c>
      <c r="B458" s="14" t="s">
        <v>223</v>
      </c>
      <c r="C458" s="14" t="str">
        <f>_xlfn.CONCAT(B458&amp;" "&amp;W458&amp;X458&amp;Y458&amp;Z458)</f>
        <v>Maini Precision Products (P) Ltd. 8012</v>
      </c>
      <c r="D458" s="16">
        <v>510</v>
      </c>
      <c r="E458" s="14" t="s">
        <v>42</v>
      </c>
      <c r="F458" s="14"/>
      <c r="G458" s="30">
        <v>42324</v>
      </c>
      <c r="H458" s="30"/>
      <c r="I458" s="30"/>
      <c r="J458" s="24">
        <v>44599</v>
      </c>
      <c r="K458" s="24">
        <v>44963</v>
      </c>
      <c r="L458" s="32">
        <v>3</v>
      </c>
      <c r="M458" s="14" t="s">
        <v>1905</v>
      </c>
      <c r="N458" s="14" t="s">
        <v>1906</v>
      </c>
      <c r="O458" s="18" t="s">
        <v>1907</v>
      </c>
      <c r="P458" s="195" t="s">
        <v>273</v>
      </c>
      <c r="Q458" s="195" t="s">
        <v>4582</v>
      </c>
      <c r="R458" s="193"/>
      <c r="S458" s="195" t="s">
        <v>21</v>
      </c>
      <c r="T458" s="195">
        <v>562106</v>
      </c>
      <c r="U458" s="195" t="s">
        <v>22</v>
      </c>
      <c r="V458" s="195" t="s">
        <v>23</v>
      </c>
      <c r="W458" s="193">
        <v>8</v>
      </c>
      <c r="X458" s="195">
        <v>0</v>
      </c>
      <c r="Y458" s="195">
        <v>1</v>
      </c>
      <c r="Z458" s="195">
        <v>2</v>
      </c>
      <c r="AA458" s="193" t="s">
        <v>4118</v>
      </c>
      <c r="AB458" s="2"/>
    </row>
    <row r="459" spans="1:28" ht="15" customHeight="1">
      <c r="A459" s="16">
        <v>458</v>
      </c>
      <c r="B459" s="14" t="s">
        <v>1908</v>
      </c>
      <c r="C459" s="14" t="str">
        <f>_xlfn.CONCAT(B459&amp;" "&amp;W459&amp;X459&amp;Y459&amp;Z459)</f>
        <v>Akshar Brass Industries 5401</v>
      </c>
      <c r="D459" s="16">
        <v>513</v>
      </c>
      <c r="E459" s="14" t="s">
        <v>42</v>
      </c>
      <c r="F459" s="14"/>
      <c r="G459" s="30">
        <v>42327</v>
      </c>
      <c r="H459" s="30"/>
      <c r="I459" s="30"/>
      <c r="J459" s="24"/>
      <c r="K459" s="24"/>
      <c r="L459" s="32">
        <v>3</v>
      </c>
      <c r="M459" s="14" t="s">
        <v>1909</v>
      </c>
      <c r="N459" s="8"/>
      <c r="O459" s="18" t="s">
        <v>1910</v>
      </c>
      <c r="P459" s="195" t="s">
        <v>1330</v>
      </c>
      <c r="Q459" s="195" t="s">
        <v>4583</v>
      </c>
      <c r="R459" s="193"/>
      <c r="S459" s="195" t="s">
        <v>571</v>
      </c>
      <c r="T459" s="195">
        <v>361004</v>
      </c>
      <c r="U459" s="195" t="s">
        <v>144</v>
      </c>
      <c r="V459" s="195" t="s">
        <v>23</v>
      </c>
      <c r="W459" s="193">
        <v>5</v>
      </c>
      <c r="X459" s="195">
        <v>4</v>
      </c>
      <c r="Y459" s="195">
        <v>0</v>
      </c>
      <c r="Z459" s="195">
        <v>1</v>
      </c>
      <c r="AA459" s="193" t="s">
        <v>4137</v>
      </c>
      <c r="AB459" s="2"/>
    </row>
    <row r="460" spans="1:28" ht="15" customHeight="1">
      <c r="A460" s="16">
        <v>459</v>
      </c>
      <c r="B460" s="14" t="s">
        <v>1911</v>
      </c>
      <c r="C460" s="14" t="str">
        <f>_xlfn.CONCAT(B460&amp;" "&amp;W460&amp;X460&amp;Y460&amp;Z460)</f>
        <v>Fortune Plastech 8051</v>
      </c>
      <c r="D460" s="16">
        <v>515</v>
      </c>
      <c r="E460" s="14" t="s">
        <v>42</v>
      </c>
      <c r="F460" s="14"/>
      <c r="G460" s="30">
        <v>42340</v>
      </c>
      <c r="H460" s="30"/>
      <c r="I460" s="30"/>
      <c r="J460" s="24"/>
      <c r="K460" s="24"/>
      <c r="L460" s="32">
        <v>3</v>
      </c>
      <c r="M460" s="14" t="s">
        <v>1912</v>
      </c>
      <c r="N460" s="8"/>
      <c r="O460" s="18" t="s">
        <v>1913</v>
      </c>
      <c r="P460" s="195" t="s">
        <v>1914</v>
      </c>
      <c r="Q460" s="195" t="s">
        <v>4584</v>
      </c>
      <c r="R460" s="195" t="s">
        <v>1915</v>
      </c>
      <c r="S460" s="195" t="s">
        <v>21</v>
      </c>
      <c r="T460" s="195" t="s">
        <v>1916</v>
      </c>
      <c r="U460" s="195" t="s">
        <v>22</v>
      </c>
      <c r="V460" s="195" t="s">
        <v>23</v>
      </c>
      <c r="W460" s="193">
        <v>8</v>
      </c>
      <c r="X460" s="195">
        <v>0</v>
      </c>
      <c r="Y460" s="195">
        <v>5</v>
      </c>
      <c r="Z460" s="195">
        <v>1</v>
      </c>
      <c r="AA460" s="193" t="s">
        <v>4118</v>
      </c>
      <c r="AB460" s="2"/>
    </row>
    <row r="461" spans="1:28" ht="15" customHeight="1">
      <c r="A461" s="16">
        <v>460</v>
      </c>
      <c r="B461" s="14" t="s">
        <v>1917</v>
      </c>
      <c r="C461" s="14" t="str">
        <f>_xlfn.CONCAT(B461&amp;" "&amp;W461&amp;X461&amp;Y461&amp;Z461)</f>
        <v>JJG Machining Pvt Ltd 8012</v>
      </c>
      <c r="D461" s="16">
        <v>537</v>
      </c>
      <c r="E461" s="14" t="s">
        <v>42</v>
      </c>
      <c r="F461" s="14"/>
      <c r="G461" s="30">
        <v>42343</v>
      </c>
      <c r="H461" s="30"/>
      <c r="I461" s="30"/>
      <c r="J461" s="24">
        <v>45902</v>
      </c>
      <c r="K461" s="24">
        <v>46266</v>
      </c>
      <c r="L461" s="32">
        <v>3</v>
      </c>
      <c r="M461" s="14" t="s">
        <v>1918</v>
      </c>
      <c r="N461" s="8"/>
      <c r="O461" s="18" t="s">
        <v>1919</v>
      </c>
      <c r="P461" s="195" t="s">
        <v>718</v>
      </c>
      <c r="Q461" s="195" t="s">
        <v>4585</v>
      </c>
      <c r="R461" s="193"/>
      <c r="S461" s="195" t="s">
        <v>21</v>
      </c>
      <c r="T461" s="195">
        <v>560100</v>
      </c>
      <c r="U461" s="195" t="s">
        <v>22</v>
      </c>
      <c r="V461" s="195" t="s">
        <v>23</v>
      </c>
      <c r="W461" s="193">
        <v>8</v>
      </c>
      <c r="X461" s="195">
        <v>0</v>
      </c>
      <c r="Y461" s="195">
        <v>1</v>
      </c>
      <c r="Z461" s="195">
        <v>2</v>
      </c>
      <c r="AA461" s="193" t="s">
        <v>4118</v>
      </c>
      <c r="AB461" s="2"/>
    </row>
    <row r="462" spans="1:28" ht="15" customHeight="1">
      <c r="A462" s="16">
        <v>461</v>
      </c>
      <c r="B462" s="14" t="s">
        <v>1920</v>
      </c>
      <c r="C462" s="14" t="str">
        <f>_xlfn.CONCAT(B462&amp;" "&amp;W462&amp;X462&amp;Y462&amp;Z462)</f>
        <v>Epitome Components 2431</v>
      </c>
      <c r="D462" s="16">
        <v>530</v>
      </c>
      <c r="E462" s="14" t="s">
        <v>1921</v>
      </c>
      <c r="F462" s="14"/>
      <c r="G462" s="30">
        <v>42353</v>
      </c>
      <c r="H462" s="30"/>
      <c r="I462" s="30"/>
      <c r="J462" s="24">
        <v>43510</v>
      </c>
      <c r="K462" s="24">
        <v>43874</v>
      </c>
      <c r="L462" s="32">
        <v>3</v>
      </c>
      <c r="M462" s="14" t="s">
        <v>1922</v>
      </c>
      <c r="N462" s="8"/>
      <c r="O462" s="18" t="s">
        <v>1923</v>
      </c>
      <c r="P462" s="195" t="s">
        <v>1924</v>
      </c>
      <c r="Q462" s="195" t="s">
        <v>4586</v>
      </c>
      <c r="R462" s="193"/>
      <c r="S462" s="195" t="s">
        <v>1421</v>
      </c>
      <c r="T462" s="195">
        <v>414301</v>
      </c>
      <c r="U462" s="195" t="s">
        <v>172</v>
      </c>
      <c r="V462" s="195" t="s">
        <v>23</v>
      </c>
      <c r="W462" s="193">
        <v>2</v>
      </c>
      <c r="X462" s="195">
        <v>4</v>
      </c>
      <c r="Y462" s="195">
        <v>3</v>
      </c>
      <c r="Z462" s="195">
        <v>1</v>
      </c>
      <c r="AA462" s="193" t="s">
        <v>4151</v>
      </c>
      <c r="AB462" s="2"/>
    </row>
    <row r="463" spans="1:28" ht="15" customHeight="1">
      <c r="A463" s="16">
        <v>462</v>
      </c>
      <c r="B463" s="14" t="s">
        <v>1925</v>
      </c>
      <c r="C463" s="14" t="str">
        <f>_xlfn.CONCAT(B463&amp;" "&amp;W463&amp;X463&amp;Y463&amp;Z463)</f>
        <v>Derewala Industries Ltd., 1015</v>
      </c>
      <c r="D463" s="16">
        <v>536</v>
      </c>
      <c r="E463" s="14" t="s">
        <v>42</v>
      </c>
      <c r="F463" s="14"/>
      <c r="G463" s="30">
        <v>42361</v>
      </c>
      <c r="H463" s="30"/>
      <c r="I463" s="30"/>
      <c r="J463" s="24">
        <v>43605</v>
      </c>
      <c r="K463" s="24">
        <v>43970</v>
      </c>
      <c r="L463" s="32">
        <v>3</v>
      </c>
      <c r="M463" s="14" t="s">
        <v>1926</v>
      </c>
      <c r="N463" s="8"/>
      <c r="O463" s="18" t="s">
        <v>1927</v>
      </c>
      <c r="P463" s="195" t="s">
        <v>1928</v>
      </c>
      <c r="Q463" s="195" t="s">
        <v>4587</v>
      </c>
      <c r="R463" s="193"/>
      <c r="S463" s="195" t="s">
        <v>759</v>
      </c>
      <c r="T463" s="195">
        <v>302022</v>
      </c>
      <c r="U463" s="195" t="s">
        <v>74</v>
      </c>
      <c r="V463" s="195" t="s">
        <v>23</v>
      </c>
      <c r="W463" s="193">
        <v>1</v>
      </c>
      <c r="X463" s="195">
        <v>0</v>
      </c>
      <c r="Y463" s="195">
        <v>1</v>
      </c>
      <c r="Z463" s="195">
        <v>5</v>
      </c>
      <c r="AA463" s="193" t="s">
        <v>4118</v>
      </c>
      <c r="AB463" s="2"/>
    </row>
    <row r="464" spans="1:28" ht="15" customHeight="1">
      <c r="A464" s="16">
        <v>463</v>
      </c>
      <c r="B464" s="14" t="s">
        <v>1217</v>
      </c>
      <c r="C464" s="14" t="str">
        <f>_xlfn.CONCAT(B464&amp;" "&amp;W464&amp;X464&amp;Y464&amp;Z464)</f>
        <v>Mindarika Pvt Ltd 4032</v>
      </c>
      <c r="D464" s="16">
        <v>538</v>
      </c>
      <c r="E464" s="14" t="s">
        <v>42</v>
      </c>
      <c r="F464" s="14"/>
      <c r="G464" s="30">
        <v>42387</v>
      </c>
      <c r="H464" s="30"/>
      <c r="I464" s="30"/>
      <c r="J464" s="24">
        <v>45847</v>
      </c>
      <c r="K464" s="24">
        <v>46211</v>
      </c>
      <c r="L464" s="32">
        <v>3</v>
      </c>
      <c r="M464" s="14" t="s">
        <v>1929</v>
      </c>
      <c r="N464" s="8"/>
      <c r="O464" s="18" t="s">
        <v>1219</v>
      </c>
      <c r="P464" s="195" t="s">
        <v>1930</v>
      </c>
      <c r="Q464" s="195" t="s">
        <v>4588</v>
      </c>
      <c r="R464" s="193"/>
      <c r="S464" s="195" t="s">
        <v>354</v>
      </c>
      <c r="T464" s="195">
        <v>603204</v>
      </c>
      <c r="U464" s="195" t="s">
        <v>38</v>
      </c>
      <c r="V464" s="195" t="s">
        <v>23</v>
      </c>
      <c r="W464" s="193">
        <v>4</v>
      </c>
      <c r="X464" s="195">
        <v>0</v>
      </c>
      <c r="Y464" s="195">
        <v>3</v>
      </c>
      <c r="Z464" s="195">
        <v>2</v>
      </c>
      <c r="AA464" s="193" t="s">
        <v>4148</v>
      </c>
      <c r="AB464" s="2"/>
    </row>
    <row r="465" spans="1:28" ht="15" customHeight="1">
      <c r="A465" s="16">
        <v>464</v>
      </c>
      <c r="B465" s="14" t="s">
        <v>1931</v>
      </c>
      <c r="C465" s="14" t="str">
        <f>_xlfn.CONCAT(B465&amp;" "&amp;W465&amp;X465&amp;Y465&amp;Z465)</f>
        <v>Nextech Engg 5301</v>
      </c>
      <c r="D465" s="16">
        <v>539</v>
      </c>
      <c r="E465" s="14" t="s">
        <v>42</v>
      </c>
      <c r="F465" s="14"/>
      <c r="G465" s="30">
        <v>42388</v>
      </c>
      <c r="H465" s="30"/>
      <c r="I465" s="30"/>
      <c r="J465" s="24"/>
      <c r="K465" s="24"/>
      <c r="L465" s="32">
        <v>3</v>
      </c>
      <c r="M465" s="14" t="s">
        <v>1932</v>
      </c>
      <c r="N465" s="14" t="s">
        <v>1933</v>
      </c>
      <c r="O465" s="18" t="s">
        <v>1934</v>
      </c>
      <c r="P465" s="193"/>
      <c r="Q465" s="193" t="s">
        <v>4589</v>
      </c>
      <c r="R465" s="193"/>
      <c r="S465" s="195" t="s">
        <v>1131</v>
      </c>
      <c r="T465" s="195">
        <v>360001</v>
      </c>
      <c r="U465" s="195" t="s">
        <v>144</v>
      </c>
      <c r="V465" s="195" t="s">
        <v>23</v>
      </c>
      <c r="W465" s="193">
        <v>5</v>
      </c>
      <c r="X465" s="195">
        <v>3</v>
      </c>
      <c r="Y465" s="195">
        <v>0</v>
      </c>
      <c r="Z465" s="195">
        <v>1</v>
      </c>
      <c r="AA465" s="193" t="s">
        <v>4135</v>
      </c>
      <c r="AB465" s="2"/>
    </row>
    <row r="466" spans="1:28" ht="15" customHeight="1">
      <c r="A466" s="16">
        <v>465</v>
      </c>
      <c r="B466" s="14" t="s">
        <v>1935</v>
      </c>
      <c r="C466" s="14" t="str">
        <f>_xlfn.CONCAT(B466&amp;" "&amp;W466&amp;X466&amp;Y466&amp;Z466)</f>
        <v>Milacron India Pvt Ltd (Ferromatik Milacron India Pvt. Ltd.,) 5011</v>
      </c>
      <c r="D466" s="16">
        <v>531</v>
      </c>
      <c r="E466" s="14" t="s">
        <v>90</v>
      </c>
      <c r="F466" s="14"/>
      <c r="G466" s="30">
        <v>42390</v>
      </c>
      <c r="H466" s="30"/>
      <c r="I466" s="30"/>
      <c r="J466" s="24">
        <v>44274</v>
      </c>
      <c r="K466" s="24">
        <v>45003</v>
      </c>
      <c r="L466" s="32">
        <v>3</v>
      </c>
      <c r="M466" s="14" t="s">
        <v>1936</v>
      </c>
      <c r="N466" s="8"/>
      <c r="O466" s="18" t="s">
        <v>1937</v>
      </c>
      <c r="P466" s="195" t="s">
        <v>1938</v>
      </c>
      <c r="Q466" s="195" t="s">
        <v>4590</v>
      </c>
      <c r="R466" s="193"/>
      <c r="S466" s="195" t="s">
        <v>143</v>
      </c>
      <c r="T466" s="195">
        <v>382445</v>
      </c>
      <c r="U466" s="195" t="s">
        <v>144</v>
      </c>
      <c r="V466" s="195" t="s">
        <v>23</v>
      </c>
      <c r="W466" s="193">
        <v>5</v>
      </c>
      <c r="X466" s="195">
        <v>0</v>
      </c>
      <c r="Y466" s="195">
        <v>1</v>
      </c>
      <c r="Z466" s="195">
        <v>1</v>
      </c>
      <c r="AA466" s="193" t="s">
        <v>4118</v>
      </c>
      <c r="AB466" s="2"/>
    </row>
    <row r="467" spans="1:28" ht="15" customHeight="1">
      <c r="A467" s="16">
        <v>466</v>
      </c>
      <c r="B467" s="14" t="s">
        <v>1031</v>
      </c>
      <c r="C467" s="14" t="str">
        <f>_xlfn.CONCAT(B467&amp;" "&amp;W467&amp;X467&amp;Y467&amp;Z467)</f>
        <v>Vikson Spring Pvt Ltd 2421</v>
      </c>
      <c r="D467" s="16">
        <v>535</v>
      </c>
      <c r="E467" s="14" t="s">
        <v>90</v>
      </c>
      <c r="F467" s="14"/>
      <c r="G467" s="30">
        <v>42390</v>
      </c>
      <c r="H467" s="30"/>
      <c r="I467" s="30"/>
      <c r="J467" s="24">
        <v>44584</v>
      </c>
      <c r="K467" s="24">
        <v>44948</v>
      </c>
      <c r="L467" s="32">
        <v>3</v>
      </c>
      <c r="M467" s="14" t="s">
        <v>1939</v>
      </c>
      <c r="N467" s="8"/>
      <c r="O467" s="18" t="s">
        <v>1940</v>
      </c>
      <c r="P467" s="195" t="s">
        <v>1941</v>
      </c>
      <c r="Q467" s="195" t="s">
        <v>4591</v>
      </c>
      <c r="R467" s="193"/>
      <c r="S467" s="195" t="s">
        <v>215</v>
      </c>
      <c r="T467" s="195">
        <v>410501</v>
      </c>
      <c r="U467" s="195" t="s">
        <v>172</v>
      </c>
      <c r="V467" s="195" t="s">
        <v>23</v>
      </c>
      <c r="W467" s="193">
        <v>2</v>
      </c>
      <c r="X467" s="195">
        <v>4</v>
      </c>
      <c r="Y467" s="195">
        <v>2</v>
      </c>
      <c r="Z467" s="195">
        <v>1</v>
      </c>
      <c r="AA467" s="193" t="s">
        <v>4151</v>
      </c>
      <c r="AB467" s="2"/>
    </row>
    <row r="468" spans="1:28" ht="15" customHeight="1">
      <c r="A468" s="16">
        <v>467</v>
      </c>
      <c r="B468" s="14" t="s">
        <v>1942</v>
      </c>
      <c r="C468" s="14" t="str">
        <f>_xlfn.CONCAT(B468&amp;" "&amp;W468&amp;X468&amp;Y468&amp;Z468)</f>
        <v>Marelli Motherson Automotive Lighting India Pvt Ltd (Magneti Marelli Motherson Auto System Ltd) 5011</v>
      </c>
      <c r="D468" s="16">
        <v>541</v>
      </c>
      <c r="E468" s="14" t="s">
        <v>42</v>
      </c>
      <c r="F468" s="14"/>
      <c r="G468" s="30">
        <v>42406</v>
      </c>
      <c r="H468" s="30"/>
      <c r="I468" s="30"/>
      <c r="J468" s="24">
        <v>45870</v>
      </c>
      <c r="K468" s="24">
        <v>46234</v>
      </c>
      <c r="L468" s="32">
        <v>3</v>
      </c>
      <c r="M468" s="14" t="s">
        <v>1943</v>
      </c>
      <c r="N468" s="8"/>
      <c r="O468" s="18" t="s">
        <v>1944</v>
      </c>
      <c r="P468" s="195" t="s">
        <v>1945</v>
      </c>
      <c r="Q468" s="195" t="s">
        <v>4592</v>
      </c>
      <c r="R468" s="193"/>
      <c r="S468" s="195" t="s">
        <v>143</v>
      </c>
      <c r="T468" s="195" t="s">
        <v>1946</v>
      </c>
      <c r="U468" s="195" t="s">
        <v>144</v>
      </c>
      <c r="V468" s="195" t="s">
        <v>23</v>
      </c>
      <c r="W468" s="193">
        <v>5</v>
      </c>
      <c r="X468" s="195">
        <v>0</v>
      </c>
      <c r="Y468" s="195">
        <v>1</v>
      </c>
      <c r="Z468" s="195">
        <v>1</v>
      </c>
      <c r="AA468" s="193" t="s">
        <v>4118</v>
      </c>
      <c r="AB468" s="2"/>
    </row>
    <row r="469" spans="1:28" ht="15" customHeight="1">
      <c r="A469" s="16">
        <v>468</v>
      </c>
      <c r="B469" s="14" t="s">
        <v>1947</v>
      </c>
      <c r="C469" s="14" t="str">
        <f>_xlfn.CONCAT(B469&amp;" "&amp;W469&amp;X469&amp;Y469&amp;Z469)</f>
        <v>Gilbarco Veeder Root India Pvt. Ltd., 4131</v>
      </c>
      <c r="D469" s="16">
        <v>540</v>
      </c>
      <c r="E469" s="14" t="s">
        <v>42</v>
      </c>
      <c r="F469" s="14"/>
      <c r="G469" s="30">
        <v>42416</v>
      </c>
      <c r="H469" s="30"/>
      <c r="I469" s="30"/>
      <c r="J469" s="24">
        <v>44134</v>
      </c>
      <c r="K469" s="24">
        <v>44498</v>
      </c>
      <c r="L469" s="32">
        <v>3</v>
      </c>
      <c r="M469" s="14" t="s">
        <v>1948</v>
      </c>
      <c r="N469" s="14" t="s">
        <v>1949</v>
      </c>
      <c r="O469" s="18" t="s">
        <v>1950</v>
      </c>
      <c r="P469" s="195" t="s">
        <v>1951</v>
      </c>
      <c r="Q469" s="195" t="s">
        <v>4593</v>
      </c>
      <c r="R469" s="195" t="s">
        <v>392</v>
      </c>
      <c r="S469" s="195" t="s">
        <v>101</v>
      </c>
      <c r="T469" s="195">
        <v>641021</v>
      </c>
      <c r="U469" s="195" t="s">
        <v>38</v>
      </c>
      <c r="V469" s="195" t="s">
        <v>23</v>
      </c>
      <c r="W469" s="193">
        <v>4</v>
      </c>
      <c r="X469" s="195">
        <v>1</v>
      </c>
      <c r="Y469" s="195">
        <v>3</v>
      </c>
      <c r="Z469" s="195">
        <v>1</v>
      </c>
      <c r="AA469" s="193" t="s">
        <v>4148</v>
      </c>
      <c r="AB469" s="2"/>
    </row>
    <row r="470" spans="1:28" ht="15" customHeight="1">
      <c r="A470" s="16">
        <v>469</v>
      </c>
      <c r="B470" s="14" t="s">
        <v>1952</v>
      </c>
      <c r="C470" s="14" t="str">
        <f>_xlfn.CONCAT(B470&amp;" "&amp;W470&amp;X470&amp;Y470&amp;Z470)</f>
        <v>K-Max Technologies Pvt. Ltd., 4041</v>
      </c>
      <c r="D470" s="16">
        <v>516</v>
      </c>
      <c r="E470" s="14" t="s">
        <v>90</v>
      </c>
      <c r="F470" s="14"/>
      <c r="G470" s="30">
        <v>42421</v>
      </c>
      <c r="H470" s="30"/>
      <c r="I470" s="30"/>
      <c r="J470" s="24">
        <v>44544</v>
      </c>
      <c r="K470" s="24">
        <v>44908</v>
      </c>
      <c r="L470" s="32">
        <v>3</v>
      </c>
      <c r="M470" s="14" t="s">
        <v>1261</v>
      </c>
      <c r="N470" s="8"/>
      <c r="O470" s="18" t="s">
        <v>1953</v>
      </c>
      <c r="P470" s="195" t="s">
        <v>62</v>
      </c>
      <c r="Q470" s="195" t="s">
        <v>4594</v>
      </c>
      <c r="R470" s="193"/>
      <c r="S470" s="195" t="s">
        <v>37</v>
      </c>
      <c r="T470" s="195">
        <v>600098</v>
      </c>
      <c r="U470" s="195" t="s">
        <v>38</v>
      </c>
      <c r="V470" s="195" t="s">
        <v>23</v>
      </c>
      <c r="W470" s="193">
        <v>4</v>
      </c>
      <c r="X470" s="195">
        <v>0</v>
      </c>
      <c r="Y470" s="195">
        <v>4</v>
      </c>
      <c r="Z470" s="195">
        <v>1</v>
      </c>
      <c r="AA470" s="193" t="s">
        <v>4148</v>
      </c>
      <c r="AB470" s="2"/>
    </row>
    <row r="471" spans="1:28" ht="15" customHeight="1">
      <c r="A471" s="16">
        <v>470</v>
      </c>
      <c r="B471" s="14" t="s">
        <v>1954</v>
      </c>
      <c r="C471" s="14" t="str">
        <f>_xlfn.CONCAT(B471&amp;" "&amp;W471&amp;X471&amp;Y471&amp;Z471)</f>
        <v>Numann Industries 8013</v>
      </c>
      <c r="D471" s="16">
        <v>544</v>
      </c>
      <c r="E471" s="14" t="s">
        <v>42</v>
      </c>
      <c r="F471" s="14"/>
      <c r="G471" s="30">
        <v>42426</v>
      </c>
      <c r="H471" s="30"/>
      <c r="I471" s="30"/>
      <c r="J471" s="24">
        <v>45751</v>
      </c>
      <c r="K471" s="24">
        <v>46115</v>
      </c>
      <c r="L471" s="32">
        <v>3</v>
      </c>
      <c r="M471" s="14" t="s">
        <v>1955</v>
      </c>
      <c r="N471" s="8"/>
      <c r="O471" s="18" t="s">
        <v>1724</v>
      </c>
      <c r="P471" s="15"/>
      <c r="Q471" s="15" t="s">
        <v>4595</v>
      </c>
      <c r="R471" s="193"/>
      <c r="S471" s="195" t="s">
        <v>121</v>
      </c>
      <c r="T471" s="195">
        <v>635126</v>
      </c>
      <c r="U471" s="195" t="s">
        <v>38</v>
      </c>
      <c r="V471" s="195" t="s">
        <v>23</v>
      </c>
      <c r="W471" s="193">
        <v>8</v>
      </c>
      <c r="X471" s="195">
        <v>0</v>
      </c>
      <c r="Y471" s="195">
        <v>1</v>
      </c>
      <c r="Z471" s="195">
        <v>3</v>
      </c>
      <c r="AA471" s="193" t="s">
        <v>4118</v>
      </c>
      <c r="AB471" s="2"/>
    </row>
    <row r="472" spans="1:28" ht="15" customHeight="1">
      <c r="A472" s="16">
        <v>471</v>
      </c>
      <c r="B472" s="14" t="s">
        <v>1956</v>
      </c>
      <c r="C472" s="14" t="str">
        <f>_xlfn.CONCAT(B472&amp;" "&amp;W472&amp;X472&amp;Y472&amp;Z472)</f>
        <v>Mayur Enterprises 2411</v>
      </c>
      <c r="D472" s="16">
        <v>542</v>
      </c>
      <c r="E472" s="14" t="s">
        <v>42</v>
      </c>
      <c r="F472" s="14"/>
      <c r="G472" s="30">
        <v>42427</v>
      </c>
      <c r="H472" s="30"/>
      <c r="I472" s="30"/>
      <c r="J472" s="24"/>
      <c r="K472" s="24"/>
      <c r="L472" s="32">
        <v>3</v>
      </c>
      <c r="M472" s="14" t="s">
        <v>1957</v>
      </c>
      <c r="N472" s="8"/>
      <c r="O472" s="18" t="s">
        <v>1958</v>
      </c>
      <c r="P472" s="193"/>
      <c r="Q472" s="193" t="s">
        <v>4596</v>
      </c>
      <c r="R472" s="193"/>
      <c r="S472" s="195" t="s">
        <v>215</v>
      </c>
      <c r="T472" s="195">
        <v>411026</v>
      </c>
      <c r="U472" s="195" t="s">
        <v>172</v>
      </c>
      <c r="V472" s="195" t="s">
        <v>23</v>
      </c>
      <c r="W472" s="193">
        <v>2</v>
      </c>
      <c r="X472" s="195">
        <v>4</v>
      </c>
      <c r="Y472" s="195">
        <v>1</v>
      </c>
      <c r="Z472" s="195">
        <v>1</v>
      </c>
      <c r="AA472" s="193" t="s">
        <v>4150</v>
      </c>
      <c r="AB472" s="2"/>
    </row>
    <row r="473" spans="1:28" ht="15" customHeight="1">
      <c r="A473" s="16">
        <v>472</v>
      </c>
      <c r="B473" s="14" t="s">
        <v>1959</v>
      </c>
      <c r="C473" s="14" t="str">
        <f>_xlfn.CONCAT(B473&amp;" "&amp;W473&amp;X473&amp;Y473&amp;Z473)</f>
        <v>TopFlite Components Pvt Ltd 8033</v>
      </c>
      <c r="D473" s="16">
        <v>545</v>
      </c>
      <c r="E473" s="14" t="s">
        <v>42</v>
      </c>
      <c r="F473" s="14"/>
      <c r="G473" s="30">
        <v>42430</v>
      </c>
      <c r="H473" s="30"/>
      <c r="I473" s="30"/>
      <c r="J473" s="24">
        <v>44282</v>
      </c>
      <c r="K473" s="24">
        <v>44646</v>
      </c>
      <c r="L473" s="32">
        <v>3</v>
      </c>
      <c r="M473" s="14" t="s">
        <v>1960</v>
      </c>
      <c r="N473" s="8"/>
      <c r="O473" s="18" t="s">
        <v>1961</v>
      </c>
      <c r="P473" s="195" t="s">
        <v>1962</v>
      </c>
      <c r="Q473" s="195" t="s">
        <v>4597</v>
      </c>
      <c r="R473" s="193"/>
      <c r="S473" s="195" t="s">
        <v>275</v>
      </c>
      <c r="T473" s="195">
        <v>570018</v>
      </c>
      <c r="U473" s="195" t="s">
        <v>22</v>
      </c>
      <c r="V473" s="195" t="s">
        <v>23</v>
      </c>
      <c r="W473" s="193">
        <v>8</v>
      </c>
      <c r="X473" s="195">
        <v>0</v>
      </c>
      <c r="Y473" s="195">
        <v>3</v>
      </c>
      <c r="Z473" s="195">
        <v>3</v>
      </c>
      <c r="AA473" s="193" t="s">
        <v>4118</v>
      </c>
      <c r="AB473" s="2"/>
    </row>
    <row r="474" spans="1:28" ht="15" customHeight="1">
      <c r="A474" s="16">
        <v>473</v>
      </c>
      <c r="B474" s="14" t="s">
        <v>557</v>
      </c>
      <c r="C474" s="14" t="str">
        <f>_xlfn.CONCAT(B474&amp;" "&amp;W474&amp;X474&amp;Y474&amp;Z474)</f>
        <v>Toyota Kirloskar Auto Parts P Ltd 8032</v>
      </c>
      <c r="D474" s="16">
        <v>479</v>
      </c>
      <c r="E474" s="14" t="s">
        <v>1248</v>
      </c>
      <c r="F474" s="14"/>
      <c r="G474" s="30">
        <v>42430</v>
      </c>
      <c r="H474" s="30"/>
      <c r="I474" s="30"/>
      <c r="J474" s="24">
        <v>45702</v>
      </c>
      <c r="K474" s="24">
        <v>46066</v>
      </c>
      <c r="L474" s="32">
        <v>3</v>
      </c>
      <c r="M474" s="9" t="s">
        <v>1963</v>
      </c>
      <c r="N474" s="9"/>
      <c r="O474" s="18" t="s">
        <v>1964</v>
      </c>
      <c r="P474" s="195" t="s">
        <v>1965</v>
      </c>
      <c r="Q474" s="195" t="s">
        <v>4598</v>
      </c>
      <c r="R474" s="195" t="s">
        <v>560</v>
      </c>
      <c r="S474" s="195" t="s">
        <v>21</v>
      </c>
      <c r="T474" s="195">
        <v>562109</v>
      </c>
      <c r="U474" s="195" t="s">
        <v>22</v>
      </c>
      <c r="V474" s="195" t="s">
        <v>23</v>
      </c>
      <c r="W474" s="193">
        <v>8</v>
      </c>
      <c r="X474" s="195">
        <v>0</v>
      </c>
      <c r="Y474" s="195">
        <v>3</v>
      </c>
      <c r="Z474" s="195">
        <v>2</v>
      </c>
      <c r="AA474" s="193" t="s">
        <v>4118</v>
      </c>
      <c r="AB474" s="2"/>
    </row>
    <row r="475" spans="1:28" ht="15" customHeight="1">
      <c r="A475" s="16">
        <v>474</v>
      </c>
      <c r="B475" s="14" t="s">
        <v>1652</v>
      </c>
      <c r="C475" s="14" t="str">
        <f>_xlfn.CONCAT(B475&amp;" "&amp;W475&amp;X475&amp;Y475&amp;Z475)</f>
        <v>West Pharmaceutical Packaging India Pvt. L 4052</v>
      </c>
      <c r="D475" s="16" t="s">
        <v>1966</v>
      </c>
      <c r="E475" s="14" t="s">
        <v>90</v>
      </c>
      <c r="F475" s="14"/>
      <c r="G475" s="30">
        <v>42437</v>
      </c>
      <c r="H475" s="30"/>
      <c r="I475" s="30"/>
      <c r="J475" s="24">
        <v>45964</v>
      </c>
      <c r="K475" s="24">
        <v>46328</v>
      </c>
      <c r="L475" s="32">
        <v>3</v>
      </c>
      <c r="M475" s="9" t="s">
        <v>1967</v>
      </c>
      <c r="N475" s="9"/>
      <c r="O475" s="18">
        <v>9951672672</v>
      </c>
      <c r="P475" s="195" t="s">
        <v>1968</v>
      </c>
      <c r="Q475" s="195" t="s">
        <v>4599</v>
      </c>
      <c r="R475" s="193"/>
      <c r="S475" s="195" t="s">
        <v>1969</v>
      </c>
      <c r="T475" s="195">
        <v>517588</v>
      </c>
      <c r="U475" s="195" t="s">
        <v>54</v>
      </c>
      <c r="V475" s="195" t="s">
        <v>23</v>
      </c>
      <c r="W475" s="193">
        <v>4</v>
      </c>
      <c r="X475" s="195">
        <v>0</v>
      </c>
      <c r="Y475" s="195">
        <v>5</v>
      </c>
      <c r="Z475" s="195">
        <v>2</v>
      </c>
      <c r="AA475" s="193" t="s">
        <v>4148</v>
      </c>
      <c r="AB475" s="2"/>
    </row>
    <row r="476" spans="1:28" ht="15" customHeight="1">
      <c r="A476" s="16">
        <v>475</v>
      </c>
      <c r="B476" s="14" t="s">
        <v>1970</v>
      </c>
      <c r="C476" s="14" t="str">
        <f>_xlfn.CONCAT(B476&amp;" "&amp;W476&amp;X476&amp;Y476&amp;Z476)</f>
        <v>Rupa Engg Industries 4112</v>
      </c>
      <c r="D476" s="16">
        <v>543</v>
      </c>
      <c r="E476" s="14" t="s">
        <v>42</v>
      </c>
      <c r="F476" s="14"/>
      <c r="G476" s="30">
        <v>42439</v>
      </c>
      <c r="H476" s="30"/>
      <c r="I476" s="30"/>
      <c r="J476" s="24"/>
      <c r="K476" s="24"/>
      <c r="L476" s="32">
        <v>3</v>
      </c>
      <c r="M476" s="14" t="s">
        <v>1971</v>
      </c>
      <c r="N476" s="8"/>
      <c r="O476" s="18" t="s">
        <v>1972</v>
      </c>
      <c r="P476" s="15"/>
      <c r="Q476" s="15" t="s">
        <v>4600</v>
      </c>
      <c r="R476" s="193"/>
      <c r="S476" s="195" t="s">
        <v>101</v>
      </c>
      <c r="T476" s="195">
        <v>641004</v>
      </c>
      <c r="U476" s="195" t="s">
        <v>38</v>
      </c>
      <c r="V476" s="195" t="s">
        <v>23</v>
      </c>
      <c r="W476" s="193">
        <v>4</v>
      </c>
      <c r="X476" s="195">
        <v>1</v>
      </c>
      <c r="Y476" s="195">
        <v>1</v>
      </c>
      <c r="Z476" s="195">
        <v>2</v>
      </c>
      <c r="AA476" s="193" t="s">
        <v>4148</v>
      </c>
      <c r="AB476" s="2"/>
    </row>
    <row r="477" spans="1:28" ht="15" customHeight="1">
      <c r="A477" s="16">
        <v>476</v>
      </c>
      <c r="B477" s="14" t="s">
        <v>1973</v>
      </c>
      <c r="C477" s="14" t="str">
        <f>_xlfn.CONCAT(B477&amp;" "&amp;W477&amp;X477&amp;Y477&amp;Z477)</f>
        <v>BG LI-IN Electricals Ltd 2021</v>
      </c>
      <c r="D477" s="16">
        <v>534</v>
      </c>
      <c r="E477" s="14" t="s">
        <v>90</v>
      </c>
      <c r="F477" s="14"/>
      <c r="G477" s="30">
        <v>42445</v>
      </c>
      <c r="H477" s="30"/>
      <c r="I477" s="30"/>
      <c r="J477" s="24">
        <v>44147</v>
      </c>
      <c r="K477" s="24">
        <v>44511</v>
      </c>
      <c r="L477" s="32">
        <v>3</v>
      </c>
      <c r="M477" s="9" t="s">
        <v>1974</v>
      </c>
      <c r="N477" s="9"/>
      <c r="O477" s="18" t="s">
        <v>1975</v>
      </c>
      <c r="P477" s="195" t="s">
        <v>908</v>
      </c>
      <c r="Q477" s="195" t="s">
        <v>4601</v>
      </c>
      <c r="R477" s="193"/>
      <c r="S477" s="195" t="s">
        <v>171</v>
      </c>
      <c r="T477" s="195">
        <v>431136</v>
      </c>
      <c r="U477" s="195" t="s">
        <v>172</v>
      </c>
      <c r="V477" s="195" t="s">
        <v>23</v>
      </c>
      <c r="W477" s="193">
        <v>2</v>
      </c>
      <c r="X477" s="195">
        <v>0</v>
      </c>
      <c r="Y477" s="195">
        <v>2</v>
      </c>
      <c r="Z477" s="195">
        <v>1</v>
      </c>
      <c r="AA477" s="193" t="s">
        <v>4118</v>
      </c>
      <c r="AB477" s="2"/>
    </row>
    <row r="478" spans="1:28" ht="15" customHeight="1">
      <c r="A478" s="16">
        <v>477</v>
      </c>
      <c r="B478" s="14" t="s">
        <v>1976</v>
      </c>
      <c r="C478" s="14" t="str">
        <f>_xlfn.CONCAT(B478&amp;" "&amp;W478&amp;X478&amp;Y478&amp;Z478)</f>
        <v>Schneider Electric India Pvt Ltd (Larsen &amp; Toubro Limited) (H099) 2431</v>
      </c>
      <c r="D478" s="16">
        <v>552</v>
      </c>
      <c r="E478" s="14" t="s">
        <v>90</v>
      </c>
      <c r="F478" s="14"/>
      <c r="G478" s="30">
        <v>42448</v>
      </c>
      <c r="H478" s="30"/>
      <c r="I478" s="30"/>
      <c r="J478" s="24">
        <v>44386</v>
      </c>
      <c r="K478" s="24">
        <v>44750</v>
      </c>
      <c r="L478" s="32">
        <v>3</v>
      </c>
      <c r="M478" s="9" t="s">
        <v>1977</v>
      </c>
      <c r="N478" s="9"/>
      <c r="O478" s="18" t="s">
        <v>1978</v>
      </c>
      <c r="P478" s="195" t="s">
        <v>1852</v>
      </c>
      <c r="Q478" s="195" t="s">
        <v>4566</v>
      </c>
      <c r="R478" s="193"/>
      <c r="S478" s="195" t="s">
        <v>1421</v>
      </c>
      <c r="T478" s="195">
        <v>414111</v>
      </c>
      <c r="U478" s="195" t="s">
        <v>172</v>
      </c>
      <c r="V478" s="195" t="s">
        <v>23</v>
      </c>
      <c r="W478" s="193">
        <v>2</v>
      </c>
      <c r="X478" s="195">
        <v>4</v>
      </c>
      <c r="Y478" s="195">
        <v>3</v>
      </c>
      <c r="Z478" s="195">
        <v>1</v>
      </c>
      <c r="AA478" s="193" t="s">
        <v>4151</v>
      </c>
      <c r="AB478" s="2"/>
    </row>
    <row r="479" spans="1:28" ht="15" customHeight="1">
      <c r="A479" s="16">
        <v>478</v>
      </c>
      <c r="B479" s="14" t="s">
        <v>1979</v>
      </c>
      <c r="C479" s="14" t="str">
        <f>_xlfn.CONCAT(B479&amp;" "&amp;W479&amp;X479&amp;Y479&amp;Z479)</f>
        <v>CG Power &amp; Industrial soln Ltd (Crompton Greaves Ltd) 2301</v>
      </c>
      <c r="D479" s="16">
        <v>555</v>
      </c>
      <c r="E479" s="14" t="s">
        <v>90</v>
      </c>
      <c r="F479" s="14"/>
      <c r="G479" s="30">
        <v>42457</v>
      </c>
      <c r="H479" s="30"/>
      <c r="I479" s="30"/>
      <c r="J479" s="24">
        <v>44546</v>
      </c>
      <c r="K479" s="24">
        <v>44727</v>
      </c>
      <c r="L479" s="32">
        <v>3</v>
      </c>
      <c r="M479" s="14" t="s">
        <v>1980</v>
      </c>
      <c r="N479" s="8"/>
      <c r="O479" s="18" t="s">
        <v>1981</v>
      </c>
      <c r="P479" s="193"/>
      <c r="Q479" s="193" t="s">
        <v>4602</v>
      </c>
      <c r="R479" s="193"/>
      <c r="S479" s="195" t="s">
        <v>321</v>
      </c>
      <c r="T479" s="195">
        <v>422010</v>
      </c>
      <c r="U479" s="195" t="s">
        <v>172</v>
      </c>
      <c r="V479" s="195" t="s">
        <v>23</v>
      </c>
      <c r="W479" s="193">
        <v>2</v>
      </c>
      <c r="X479" s="195">
        <v>3</v>
      </c>
      <c r="Y479" s="195">
        <v>0</v>
      </c>
      <c r="Z479" s="195">
        <v>1</v>
      </c>
      <c r="AA479" s="193" t="s">
        <v>5221</v>
      </c>
      <c r="AB479" s="2"/>
    </row>
    <row r="480" spans="1:28" ht="15" customHeight="1">
      <c r="A480" s="16">
        <v>479</v>
      </c>
      <c r="B480" s="14" t="s">
        <v>1982</v>
      </c>
      <c r="C480" s="14" t="str">
        <f>_xlfn.CONCAT(B480&amp;" "&amp;W480&amp;X480&amp;Y480&amp;Z480)</f>
        <v>Sandhar Components 1111</v>
      </c>
      <c r="D480" s="16">
        <v>553</v>
      </c>
      <c r="E480" s="14" t="s">
        <v>90</v>
      </c>
      <c r="F480" s="14"/>
      <c r="G480" s="30">
        <v>42462</v>
      </c>
      <c r="H480" s="30"/>
      <c r="I480" s="30"/>
      <c r="J480" s="24">
        <v>43843</v>
      </c>
      <c r="K480" s="24">
        <v>44208</v>
      </c>
      <c r="L480" s="32">
        <v>3</v>
      </c>
      <c r="M480" s="14" t="s">
        <v>1983</v>
      </c>
      <c r="N480" s="8"/>
      <c r="O480" s="18" t="s">
        <v>1984</v>
      </c>
      <c r="P480" s="195" t="s">
        <v>859</v>
      </c>
      <c r="Q480" s="195" t="s">
        <v>4603</v>
      </c>
      <c r="R480" s="193"/>
      <c r="S480" s="195" t="s">
        <v>428</v>
      </c>
      <c r="T480" s="195">
        <v>122050</v>
      </c>
      <c r="U480" s="195" t="s">
        <v>81</v>
      </c>
      <c r="V480" s="195" t="s">
        <v>23</v>
      </c>
      <c r="W480" s="193">
        <v>1</v>
      </c>
      <c r="X480" s="195">
        <v>1</v>
      </c>
      <c r="Y480" s="195">
        <v>1</v>
      </c>
      <c r="Z480" s="195">
        <v>1</v>
      </c>
      <c r="AA480" s="193" t="s">
        <v>4118</v>
      </c>
      <c r="AB480" s="2"/>
    </row>
    <row r="481" spans="1:28" ht="15" customHeight="1">
      <c r="A481" s="16">
        <v>480</v>
      </c>
      <c r="B481" s="14" t="s">
        <v>1985</v>
      </c>
      <c r="C481" s="14" t="str">
        <f>_xlfn.CONCAT(B481&amp;" "&amp;W481&amp;X481&amp;Y481&amp;Z481)</f>
        <v>Reammac Precision Tools 4022</v>
      </c>
      <c r="D481" s="16">
        <v>546</v>
      </c>
      <c r="E481" s="14" t="s">
        <v>42</v>
      </c>
      <c r="F481" s="14"/>
      <c r="G481" s="30">
        <v>42462</v>
      </c>
      <c r="H481" s="30"/>
      <c r="I481" s="30"/>
      <c r="J481" s="24">
        <v>44305</v>
      </c>
      <c r="K481" s="24">
        <v>44669</v>
      </c>
      <c r="L481" s="32">
        <v>3</v>
      </c>
      <c r="M481" s="9" t="s">
        <v>1986</v>
      </c>
      <c r="N481" s="9"/>
      <c r="O481" s="18" t="s">
        <v>1987</v>
      </c>
      <c r="P481" s="193"/>
      <c r="Q481" s="193" t="s">
        <v>4604</v>
      </c>
      <c r="R481" s="193"/>
      <c r="S481" s="195" t="s">
        <v>37</v>
      </c>
      <c r="T481" s="195">
        <v>600044</v>
      </c>
      <c r="U481" s="195" t="s">
        <v>38</v>
      </c>
      <c r="V481" s="195" t="s">
        <v>23</v>
      </c>
      <c r="W481" s="193">
        <v>4</v>
      </c>
      <c r="X481" s="195">
        <v>0</v>
      </c>
      <c r="Y481" s="195">
        <v>2</v>
      </c>
      <c r="Z481" s="195">
        <v>2</v>
      </c>
      <c r="AA481" s="193" t="s">
        <v>4148</v>
      </c>
      <c r="AB481" s="2"/>
    </row>
    <row r="482" spans="1:28" ht="15" customHeight="1">
      <c r="A482" s="16">
        <v>481</v>
      </c>
      <c r="B482" s="14" t="s">
        <v>1988</v>
      </c>
      <c r="C482" s="14" t="str">
        <f>_xlfn.CONCAT(B482&amp;" "&amp;W482&amp;X482&amp;Y482&amp;Z482)</f>
        <v>Balaji Aluminium Extrusions Pvt Ltd 1121</v>
      </c>
      <c r="D482" s="16">
        <v>547</v>
      </c>
      <c r="E482" s="14" t="s">
        <v>42</v>
      </c>
      <c r="F482" s="14"/>
      <c r="G482" s="23">
        <v>42474</v>
      </c>
      <c r="H482" s="28"/>
      <c r="I482" s="28"/>
      <c r="J482" s="24">
        <v>44378</v>
      </c>
      <c r="K482" s="24">
        <v>44742</v>
      </c>
      <c r="L482" s="32">
        <v>3</v>
      </c>
      <c r="M482" s="14" t="s">
        <v>1989</v>
      </c>
      <c r="N482" s="8"/>
      <c r="O482" s="18">
        <v>9810944050</v>
      </c>
      <c r="P482" s="195" t="s">
        <v>656</v>
      </c>
      <c r="Q482" s="195" t="s">
        <v>4605</v>
      </c>
      <c r="R482" s="193"/>
      <c r="S482" s="195" t="s">
        <v>655</v>
      </c>
      <c r="T482" s="195">
        <v>124507</v>
      </c>
      <c r="U482" s="195" t="s">
        <v>429</v>
      </c>
      <c r="V482" s="195" t="s">
        <v>23</v>
      </c>
      <c r="W482" s="193">
        <v>1</v>
      </c>
      <c r="X482" s="195">
        <v>1</v>
      </c>
      <c r="Y482" s="195">
        <v>2</v>
      </c>
      <c r="Z482" s="195">
        <v>1</v>
      </c>
      <c r="AA482" s="193" t="s">
        <v>4118</v>
      </c>
      <c r="AB482" s="2"/>
    </row>
    <row r="483" spans="1:28" ht="15" customHeight="1">
      <c r="A483" s="16">
        <v>482</v>
      </c>
      <c r="B483" s="14" t="s">
        <v>1991</v>
      </c>
      <c r="C483" s="14" t="str">
        <f>_xlfn.CONCAT(B483&amp;" "&amp;W483&amp;X483&amp;Y483&amp;Z483)</f>
        <v>Kalgidhar Industrial Corporation 1335</v>
      </c>
      <c r="D483" s="16">
        <v>548</v>
      </c>
      <c r="E483" s="14" t="s">
        <v>42</v>
      </c>
      <c r="F483" s="14"/>
      <c r="G483" s="30">
        <v>42485</v>
      </c>
      <c r="H483" s="30"/>
      <c r="I483" s="30"/>
      <c r="J483" s="24"/>
      <c r="K483" s="24"/>
      <c r="L483" s="32">
        <v>3</v>
      </c>
      <c r="M483" s="14" t="s">
        <v>1992</v>
      </c>
      <c r="N483" s="8"/>
      <c r="O483" s="18" t="s">
        <v>1993</v>
      </c>
      <c r="P483" s="195" t="s">
        <v>1994</v>
      </c>
      <c r="Q483" s="195" t="s">
        <v>4606</v>
      </c>
      <c r="R483" s="193"/>
      <c r="S483" s="195" t="s">
        <v>1995</v>
      </c>
      <c r="T483" s="195">
        <v>141010</v>
      </c>
      <c r="U483" s="195" t="s">
        <v>1787</v>
      </c>
      <c r="V483" s="195" t="s">
        <v>23</v>
      </c>
      <c r="W483" s="193">
        <v>1</v>
      </c>
      <c r="X483" s="195">
        <v>3</v>
      </c>
      <c r="Y483" s="195">
        <v>3</v>
      </c>
      <c r="Z483" s="195">
        <v>5</v>
      </c>
      <c r="AA483" s="193" t="s">
        <v>4118</v>
      </c>
      <c r="AB483" s="2"/>
    </row>
    <row r="484" spans="1:28" ht="15" customHeight="1">
      <c r="A484" s="16">
        <v>483</v>
      </c>
      <c r="B484" s="14" t="s">
        <v>1996</v>
      </c>
      <c r="C484" s="14" t="str">
        <f>_xlfn.CONCAT(B484&amp;" "&amp;W484&amp;X484&amp;Y484&amp;Z484)</f>
        <v>Standard Spring &amp; Metal Pressing Works 2224</v>
      </c>
      <c r="D484" s="16">
        <v>549</v>
      </c>
      <c r="E484" s="14" t="s">
        <v>42</v>
      </c>
      <c r="F484" s="14"/>
      <c r="G484" s="30">
        <v>42492</v>
      </c>
      <c r="H484" s="30"/>
      <c r="I484" s="30"/>
      <c r="J484" s="24">
        <v>45427</v>
      </c>
      <c r="K484" s="24">
        <v>45791</v>
      </c>
      <c r="L484" s="32">
        <v>3</v>
      </c>
      <c r="M484" s="14" t="s">
        <v>1997</v>
      </c>
      <c r="N484" s="8"/>
      <c r="O484" s="18" t="s">
        <v>1998</v>
      </c>
      <c r="P484" s="195" t="s">
        <v>1999</v>
      </c>
      <c r="Q484" s="195" t="s">
        <v>4607</v>
      </c>
      <c r="R484" s="195" t="s">
        <v>258</v>
      </c>
      <c r="S484" s="193"/>
      <c r="T484" s="195">
        <v>400701</v>
      </c>
      <c r="U484" s="195" t="s">
        <v>172</v>
      </c>
      <c r="V484" s="195" t="s">
        <v>23</v>
      </c>
      <c r="W484" s="193">
        <v>2</v>
      </c>
      <c r="X484" s="195">
        <v>2</v>
      </c>
      <c r="Y484" s="195">
        <v>2</v>
      </c>
      <c r="Z484" s="195">
        <v>4</v>
      </c>
      <c r="AA484" s="193" t="s">
        <v>4148</v>
      </c>
      <c r="AB484" s="2"/>
    </row>
    <row r="485" spans="1:28" ht="15" customHeight="1">
      <c r="A485" s="16">
        <v>484</v>
      </c>
      <c r="B485" s="14" t="s">
        <v>162</v>
      </c>
      <c r="C485" s="14" t="str">
        <f>_xlfn.CONCAT(B485&amp;" "&amp;W485&amp;X485&amp;Y485&amp;Z485)</f>
        <v>Hical Technologies Pvt Ltd 8011</v>
      </c>
      <c r="D485" s="16">
        <v>556</v>
      </c>
      <c r="E485" s="14" t="s">
        <v>90</v>
      </c>
      <c r="F485" s="14"/>
      <c r="G485" s="30">
        <v>42495</v>
      </c>
      <c r="H485" s="30"/>
      <c r="I485" s="30"/>
      <c r="J485" s="24"/>
      <c r="K485" s="24"/>
      <c r="L485" s="32">
        <v>3</v>
      </c>
      <c r="M485" s="14" t="s">
        <v>2000</v>
      </c>
      <c r="N485" s="8"/>
      <c r="O485" s="18" t="s">
        <v>2001</v>
      </c>
      <c r="P485" s="195" t="s">
        <v>718</v>
      </c>
      <c r="Q485" s="195" t="s">
        <v>4608</v>
      </c>
      <c r="R485" s="193"/>
      <c r="S485" s="195" t="s">
        <v>21</v>
      </c>
      <c r="T485" s="195">
        <v>560100</v>
      </c>
      <c r="U485" s="195" t="s">
        <v>22</v>
      </c>
      <c r="V485" s="195" t="s">
        <v>23</v>
      </c>
      <c r="W485" s="193">
        <v>8</v>
      </c>
      <c r="X485" s="195">
        <v>0</v>
      </c>
      <c r="Y485" s="195">
        <v>1</v>
      </c>
      <c r="Z485" s="195">
        <v>1</v>
      </c>
      <c r="AA485" s="193" t="s">
        <v>4118</v>
      </c>
      <c r="AB485" s="2"/>
    </row>
    <row r="486" spans="1:28" ht="15" customHeight="1">
      <c r="A486" s="16">
        <v>485</v>
      </c>
      <c r="B486" s="14" t="s">
        <v>2002</v>
      </c>
      <c r="C486" s="14" t="str">
        <f>_xlfn.CONCAT(B486&amp;" "&amp;W486&amp;X486&amp;Y486&amp;Z486)</f>
        <v>Accurate Engg Enterprises 8051</v>
      </c>
      <c r="D486" s="16">
        <v>554</v>
      </c>
      <c r="E486" s="14" t="s">
        <v>90</v>
      </c>
      <c r="F486" s="14"/>
      <c r="G486" s="30">
        <v>42499</v>
      </c>
      <c r="H486" s="30"/>
      <c r="I486" s="30"/>
      <c r="J486" s="24"/>
      <c r="K486" s="24"/>
      <c r="L486" s="32">
        <v>3</v>
      </c>
      <c r="M486" s="14" t="s">
        <v>2003</v>
      </c>
      <c r="N486" s="8"/>
      <c r="O486" s="18" t="s">
        <v>2004</v>
      </c>
      <c r="P486" s="15"/>
      <c r="Q486" s="15" t="s">
        <v>4609</v>
      </c>
      <c r="R486" s="193"/>
      <c r="S486" s="195" t="s">
        <v>21</v>
      </c>
      <c r="T486" s="195">
        <v>560058</v>
      </c>
      <c r="U486" s="195" t="s">
        <v>22</v>
      </c>
      <c r="V486" s="195" t="s">
        <v>23</v>
      </c>
      <c r="W486" s="193">
        <v>8</v>
      </c>
      <c r="X486" s="195">
        <v>0</v>
      </c>
      <c r="Y486" s="195">
        <v>5</v>
      </c>
      <c r="Z486" s="195">
        <v>1</v>
      </c>
      <c r="AA486" s="193" t="s">
        <v>4118</v>
      </c>
      <c r="AB486" s="2"/>
    </row>
    <row r="487" spans="1:28" ht="15" customHeight="1">
      <c r="A487" s="16">
        <v>486</v>
      </c>
      <c r="B487" s="10" t="s">
        <v>2005</v>
      </c>
      <c r="C487" s="14" t="str">
        <f>_xlfn.CONCAT(B487&amp;" "&amp;W487&amp;X487&amp;Y487&amp;Z487)</f>
        <v>Kramski Stamping &amp; Molding India Pvt Ltd 4033</v>
      </c>
      <c r="D487" s="27">
        <v>557</v>
      </c>
      <c r="E487" s="10" t="s">
        <v>90</v>
      </c>
      <c r="F487" s="10"/>
      <c r="G487" s="33">
        <v>42499</v>
      </c>
      <c r="H487" s="33"/>
      <c r="I487" s="33"/>
      <c r="J487" s="25">
        <v>44301</v>
      </c>
      <c r="K487" s="25">
        <v>44665</v>
      </c>
      <c r="L487" s="32">
        <v>3</v>
      </c>
      <c r="M487" s="10" t="s">
        <v>2006</v>
      </c>
      <c r="N487" s="10" t="s">
        <v>2007</v>
      </c>
      <c r="O487" s="20" t="s">
        <v>2008</v>
      </c>
      <c r="P487" s="1" t="s">
        <v>2009</v>
      </c>
      <c r="Q487" s="1" t="s">
        <v>4610</v>
      </c>
      <c r="R487" s="2"/>
      <c r="S487" s="3" t="s">
        <v>2010</v>
      </c>
      <c r="T487" s="4">
        <v>632104</v>
      </c>
      <c r="U487" s="1" t="s">
        <v>2011</v>
      </c>
      <c r="V487" s="1" t="s">
        <v>2012</v>
      </c>
      <c r="W487" s="193">
        <v>4</v>
      </c>
      <c r="X487" s="1">
        <v>0</v>
      </c>
      <c r="Y487" s="1">
        <v>3</v>
      </c>
      <c r="Z487" s="1">
        <v>3</v>
      </c>
      <c r="AA487" s="193" t="s">
        <v>4148</v>
      </c>
      <c r="AB487" s="2"/>
    </row>
    <row r="488" spans="1:28" ht="15" customHeight="1">
      <c r="A488" s="16">
        <v>487</v>
      </c>
      <c r="B488" s="10" t="s">
        <v>2013</v>
      </c>
      <c r="C488" s="14" t="str">
        <f>_xlfn.CONCAT(B488&amp;" "&amp;W488&amp;X488&amp;Y488&amp;Z488)</f>
        <v>Ramesh Brass Products 5401</v>
      </c>
      <c r="D488" s="27">
        <v>550</v>
      </c>
      <c r="E488" s="10" t="s">
        <v>42</v>
      </c>
      <c r="F488" s="10"/>
      <c r="G488" s="33">
        <v>42531</v>
      </c>
      <c r="H488" s="33"/>
      <c r="I488" s="33"/>
      <c r="J488" s="25"/>
      <c r="K488" s="25"/>
      <c r="L488" s="32">
        <v>3</v>
      </c>
      <c r="M488" s="10" t="s">
        <v>2014</v>
      </c>
      <c r="N488" s="11"/>
      <c r="O488" s="20" t="s">
        <v>2015</v>
      </c>
      <c r="P488" s="1" t="s">
        <v>2016</v>
      </c>
      <c r="Q488" s="1" t="s">
        <v>4611</v>
      </c>
      <c r="R488" s="3"/>
      <c r="S488" s="3" t="s">
        <v>571</v>
      </c>
      <c r="T488" s="4">
        <v>361004</v>
      </c>
      <c r="U488" s="1" t="s">
        <v>2017</v>
      </c>
      <c r="V488" s="1" t="s">
        <v>2012</v>
      </c>
      <c r="W488" s="193">
        <v>5</v>
      </c>
      <c r="X488" s="1">
        <v>4</v>
      </c>
      <c r="Y488" s="1">
        <v>0</v>
      </c>
      <c r="Z488" s="1">
        <v>1</v>
      </c>
      <c r="AA488" s="193" t="s">
        <v>4137</v>
      </c>
      <c r="AB488" s="2"/>
    </row>
    <row r="489" spans="1:28" ht="15" customHeight="1">
      <c r="A489" s="16">
        <v>488</v>
      </c>
      <c r="B489" s="10" t="s">
        <v>2018</v>
      </c>
      <c r="C489" s="14" t="str">
        <f>_xlfn.CONCAT(B489&amp;" "&amp;W489&amp;X489&amp;Y489&amp;Z489)</f>
        <v>CNC Autocom (Auto Com Engineers) 8012</v>
      </c>
      <c r="D489" s="27">
        <v>575</v>
      </c>
      <c r="E489" s="10" t="s">
        <v>42</v>
      </c>
      <c r="F489" s="10"/>
      <c r="G489" s="33">
        <v>42535</v>
      </c>
      <c r="H489" s="33"/>
      <c r="I489" s="33"/>
      <c r="J489" s="25">
        <v>43973</v>
      </c>
      <c r="K489" s="25">
        <v>44337</v>
      </c>
      <c r="L489" s="32">
        <v>3</v>
      </c>
      <c r="M489" s="10" t="s">
        <v>2019</v>
      </c>
      <c r="N489" s="10" t="s">
        <v>2020</v>
      </c>
      <c r="O489" s="20" t="s">
        <v>2021</v>
      </c>
      <c r="P489" s="1" t="s">
        <v>2022</v>
      </c>
      <c r="Q489" s="1" t="s">
        <v>4612</v>
      </c>
      <c r="R489" s="6"/>
      <c r="S489" s="3" t="s">
        <v>21</v>
      </c>
      <c r="T489" s="4">
        <v>560068</v>
      </c>
      <c r="U489" s="1" t="s">
        <v>2023</v>
      </c>
      <c r="V489" s="1" t="s">
        <v>2012</v>
      </c>
      <c r="W489" s="193">
        <v>8</v>
      </c>
      <c r="X489" s="1">
        <v>0</v>
      </c>
      <c r="Y489" s="1">
        <v>1</v>
      </c>
      <c r="Z489" s="1">
        <v>2</v>
      </c>
      <c r="AA489" s="193" t="s">
        <v>4118</v>
      </c>
      <c r="AB489" s="2"/>
    </row>
    <row r="490" spans="1:28" ht="15" customHeight="1">
      <c r="A490" s="16">
        <v>489</v>
      </c>
      <c r="B490" s="10" t="s">
        <v>2024</v>
      </c>
      <c r="C490" s="14" t="str">
        <f>_xlfn.CONCAT(B490&amp;" "&amp;W490&amp;X490&amp;Y490&amp;Z490)</f>
        <v>Interface Microsystems 1111</v>
      </c>
      <c r="D490" s="27">
        <v>576</v>
      </c>
      <c r="E490" s="10" t="s">
        <v>42</v>
      </c>
      <c r="F490" s="10"/>
      <c r="G490" s="33">
        <v>42536</v>
      </c>
      <c r="H490" s="33"/>
      <c r="I490" s="33"/>
      <c r="J490" s="25">
        <v>44820</v>
      </c>
      <c r="K490" s="25">
        <v>45184</v>
      </c>
      <c r="L490" s="32">
        <v>3</v>
      </c>
      <c r="M490" s="12" t="s">
        <v>2025</v>
      </c>
      <c r="N490" s="12"/>
      <c r="O490" s="20" t="s">
        <v>2026</v>
      </c>
      <c r="P490" s="1" t="s">
        <v>2027</v>
      </c>
      <c r="Q490" s="1" t="s">
        <v>4613</v>
      </c>
      <c r="R490" s="2"/>
      <c r="S490" s="3" t="s">
        <v>2028</v>
      </c>
      <c r="T490" s="4">
        <v>122016</v>
      </c>
      <c r="U490" s="1" t="s">
        <v>2029</v>
      </c>
      <c r="V490" s="1" t="s">
        <v>2012</v>
      </c>
      <c r="W490" s="193">
        <v>1</v>
      </c>
      <c r="X490" s="1">
        <v>1</v>
      </c>
      <c r="Y490" s="1">
        <v>1</v>
      </c>
      <c r="Z490" s="1">
        <v>1</v>
      </c>
      <c r="AA490" s="193" t="s">
        <v>4118</v>
      </c>
      <c r="AB490" s="2"/>
    </row>
    <row r="491" spans="1:28" ht="15" customHeight="1">
      <c r="A491" s="16">
        <v>490</v>
      </c>
      <c r="B491" s="10" t="s">
        <v>2030</v>
      </c>
      <c r="C491" s="14" t="str">
        <f>_xlfn.CONCAT(B491&amp;" "&amp;W491&amp;X491&amp;Y491&amp;Z491)</f>
        <v>Future Technologies 8041</v>
      </c>
      <c r="D491" s="27">
        <v>551</v>
      </c>
      <c r="E491" s="10" t="s">
        <v>42</v>
      </c>
      <c r="F491" s="10"/>
      <c r="G491" s="33">
        <v>42538</v>
      </c>
      <c r="H491" s="33"/>
      <c r="I491" s="33"/>
      <c r="J491" s="25">
        <v>44248</v>
      </c>
      <c r="K491" s="25">
        <v>44612</v>
      </c>
      <c r="L491" s="32">
        <v>3</v>
      </c>
      <c r="M491" s="10" t="s">
        <v>2031</v>
      </c>
      <c r="N491" s="11"/>
      <c r="O491" s="21">
        <v>9845876490</v>
      </c>
      <c r="P491" s="1" t="s">
        <v>2032</v>
      </c>
      <c r="Q491" s="1" t="s">
        <v>4614</v>
      </c>
      <c r="R491" s="6"/>
      <c r="S491" s="3" t="s">
        <v>21</v>
      </c>
      <c r="T491" s="4">
        <v>560079</v>
      </c>
      <c r="U491" s="1" t="s">
        <v>2023</v>
      </c>
      <c r="V491" s="1" t="s">
        <v>2012</v>
      </c>
      <c r="W491" s="193">
        <v>8</v>
      </c>
      <c r="X491" s="1">
        <v>0</v>
      </c>
      <c r="Y491" s="1">
        <v>4</v>
      </c>
      <c r="Z491" s="1">
        <v>1</v>
      </c>
      <c r="AA491" s="193" t="s">
        <v>4118</v>
      </c>
      <c r="AB491" s="2"/>
    </row>
    <row r="492" spans="1:28" ht="15" customHeight="1">
      <c r="A492" s="16">
        <v>491</v>
      </c>
      <c r="B492" s="10" t="s">
        <v>2033</v>
      </c>
      <c r="C492" s="14" t="str">
        <f>_xlfn.CONCAT(B492&amp;" "&amp;W492&amp;X492&amp;Y492&amp;Z492)</f>
        <v>Automat Irrigation Pvt Ltd 1042</v>
      </c>
      <c r="D492" s="27">
        <v>558</v>
      </c>
      <c r="E492" s="10" t="s">
        <v>90</v>
      </c>
      <c r="F492" s="10"/>
      <c r="G492" s="33">
        <v>42546</v>
      </c>
      <c r="H492" s="33"/>
      <c r="I492" s="33"/>
      <c r="J492" s="25">
        <v>44501</v>
      </c>
      <c r="K492" s="25">
        <v>44865</v>
      </c>
      <c r="L492" s="32">
        <v>3</v>
      </c>
      <c r="M492" s="10" t="s">
        <v>2034</v>
      </c>
      <c r="N492" s="11"/>
      <c r="O492" s="20" t="s">
        <v>2035</v>
      </c>
      <c r="P492" s="5"/>
      <c r="Q492" s="5" t="s">
        <v>4615</v>
      </c>
      <c r="R492" s="3"/>
      <c r="S492" s="3" t="s">
        <v>835</v>
      </c>
      <c r="T492" s="4">
        <v>249403</v>
      </c>
      <c r="U492" s="1" t="s">
        <v>2036</v>
      </c>
      <c r="V492" s="1" t="s">
        <v>2012</v>
      </c>
      <c r="W492" s="193">
        <v>1</v>
      </c>
      <c r="X492" s="1">
        <v>0</v>
      </c>
      <c r="Y492" s="1">
        <v>4</v>
      </c>
      <c r="Z492" s="1">
        <v>2</v>
      </c>
      <c r="AA492" s="193" t="s">
        <v>4118</v>
      </c>
      <c r="AB492" s="2"/>
    </row>
    <row r="493" spans="1:28" ht="15" customHeight="1">
      <c r="A493" s="16">
        <v>492</v>
      </c>
      <c r="B493" s="10" t="s">
        <v>2037</v>
      </c>
      <c r="C493" s="14" t="str">
        <f>_xlfn.CONCAT(B493&amp;" "&amp;W493&amp;X493&amp;Y493&amp;Z493)</f>
        <v>Mindarika Pvt Ltd 2421</v>
      </c>
      <c r="D493" s="27">
        <v>577</v>
      </c>
      <c r="E493" s="10" t="s">
        <v>42</v>
      </c>
      <c r="F493" s="10"/>
      <c r="G493" s="33">
        <v>42549</v>
      </c>
      <c r="H493" s="33"/>
      <c r="I493" s="33"/>
      <c r="J493" s="25">
        <v>45931</v>
      </c>
      <c r="K493" s="25">
        <v>46295</v>
      </c>
      <c r="L493" s="32">
        <v>3</v>
      </c>
      <c r="M493" s="10" t="s">
        <v>2038</v>
      </c>
      <c r="N493" s="10" t="s">
        <v>2039</v>
      </c>
      <c r="O493" s="21">
        <v>7756030590</v>
      </c>
      <c r="P493" s="1" t="s">
        <v>2040</v>
      </c>
      <c r="Q493" s="1" t="s">
        <v>4616</v>
      </c>
      <c r="R493" s="3"/>
      <c r="S493" s="3" t="s">
        <v>215</v>
      </c>
      <c r="T493" s="4">
        <v>410501</v>
      </c>
      <c r="U493" s="1" t="s">
        <v>2041</v>
      </c>
      <c r="V493" s="1" t="s">
        <v>2012</v>
      </c>
      <c r="W493" s="193">
        <v>2</v>
      </c>
      <c r="X493" s="1">
        <v>4</v>
      </c>
      <c r="Y493" s="1">
        <v>2</v>
      </c>
      <c r="Z493" s="1">
        <v>1</v>
      </c>
      <c r="AA493" s="193" t="s">
        <v>4151</v>
      </c>
      <c r="AB493" s="2"/>
    </row>
    <row r="494" spans="1:28" ht="15" customHeight="1">
      <c r="A494" s="16">
        <v>493</v>
      </c>
      <c r="B494" s="10" t="s">
        <v>2042</v>
      </c>
      <c r="C494" s="14" t="str">
        <f>_xlfn.CONCAT(B494&amp;" "&amp;W494&amp;X494&amp;Y494&amp;Z494)</f>
        <v>TopFlite Components Pvt Ltd 8033</v>
      </c>
      <c r="D494" s="27">
        <v>578</v>
      </c>
      <c r="E494" s="10" t="s">
        <v>42</v>
      </c>
      <c r="F494" s="10"/>
      <c r="G494" s="33">
        <v>42553</v>
      </c>
      <c r="H494" s="33"/>
      <c r="I494" s="33"/>
      <c r="J494" s="25">
        <v>44426</v>
      </c>
      <c r="K494" s="25">
        <v>44790</v>
      </c>
      <c r="L494" s="32">
        <v>3</v>
      </c>
      <c r="M494" s="14" t="s">
        <v>1960</v>
      </c>
      <c r="N494" s="8"/>
      <c r="O494" s="18" t="s">
        <v>1961</v>
      </c>
      <c r="P494" s="195" t="s">
        <v>1962</v>
      </c>
      <c r="Q494" s="195" t="s">
        <v>4597</v>
      </c>
      <c r="R494" s="193"/>
      <c r="S494" s="195" t="s">
        <v>275</v>
      </c>
      <c r="T494" s="195">
        <v>570018</v>
      </c>
      <c r="U494" s="195" t="s">
        <v>22</v>
      </c>
      <c r="V494" s="195" t="s">
        <v>23</v>
      </c>
      <c r="W494" s="193">
        <v>8</v>
      </c>
      <c r="X494" s="195">
        <v>0</v>
      </c>
      <c r="Y494" s="195">
        <v>3</v>
      </c>
      <c r="Z494" s="195">
        <v>3</v>
      </c>
      <c r="AA494" s="193" t="s">
        <v>4118</v>
      </c>
      <c r="AB494" s="2"/>
    </row>
    <row r="495" spans="1:28" ht="15" customHeight="1">
      <c r="A495" s="16">
        <v>494</v>
      </c>
      <c r="B495" s="10" t="s">
        <v>2043</v>
      </c>
      <c r="C495" s="14" t="str">
        <f>_xlfn.CONCAT(B495&amp;" "&amp;W495&amp;X495&amp;Y495&amp;Z495)</f>
        <v>Bhullar Industries 1161</v>
      </c>
      <c r="D495" s="27">
        <v>581</v>
      </c>
      <c r="E495" s="10" t="s">
        <v>42</v>
      </c>
      <c r="F495" s="10"/>
      <c r="G495" s="33">
        <v>42560</v>
      </c>
      <c r="H495" s="33"/>
      <c r="I495" s="33"/>
      <c r="J495" s="25"/>
      <c r="K495" s="25"/>
      <c r="L495" s="32">
        <v>3</v>
      </c>
      <c r="M495" s="12" t="s">
        <v>2044</v>
      </c>
      <c r="N495" s="12"/>
      <c r="O495" s="20" t="s">
        <v>2045</v>
      </c>
      <c r="P495" s="1"/>
      <c r="Q495" s="1" t="s">
        <v>4617</v>
      </c>
      <c r="R495" s="3"/>
      <c r="S495" s="3" t="s">
        <v>454</v>
      </c>
      <c r="T495" s="4">
        <v>121003</v>
      </c>
      <c r="U495" s="1" t="s">
        <v>2029</v>
      </c>
      <c r="V495" s="1" t="s">
        <v>2012</v>
      </c>
      <c r="W495" s="193">
        <v>1</v>
      </c>
      <c r="X495" s="1">
        <v>1</v>
      </c>
      <c r="Y495" s="1">
        <v>6</v>
      </c>
      <c r="Z495" s="1">
        <v>1</v>
      </c>
      <c r="AA495" s="193" t="s">
        <v>4118</v>
      </c>
      <c r="AB495" s="2"/>
    </row>
    <row r="496" spans="1:28" ht="15" customHeight="1">
      <c r="A496" s="16">
        <v>495</v>
      </c>
      <c r="B496" s="10" t="s">
        <v>2046</v>
      </c>
      <c r="C496" s="14" t="str">
        <f>_xlfn.CONCAT(B496&amp;" "&amp;W496&amp;X496&amp;Y496&amp;Z496)</f>
        <v>Recaero India Ltd 8032</v>
      </c>
      <c r="D496" s="27">
        <v>630</v>
      </c>
      <c r="E496" s="10" t="s">
        <v>90</v>
      </c>
      <c r="F496" s="10"/>
      <c r="G496" s="33">
        <v>42578</v>
      </c>
      <c r="H496" s="33"/>
      <c r="I496" s="33"/>
      <c r="J496" s="25"/>
      <c r="K496" s="25"/>
      <c r="L496" s="32">
        <v>3</v>
      </c>
      <c r="M496" s="10" t="s">
        <v>2047</v>
      </c>
      <c r="N496" s="11"/>
      <c r="O496" s="21">
        <v>9620022250</v>
      </c>
      <c r="P496" s="1" t="s">
        <v>2048</v>
      </c>
      <c r="Q496" s="1" t="s">
        <v>4618</v>
      </c>
      <c r="R496" s="6"/>
      <c r="S496" s="7" t="s">
        <v>21</v>
      </c>
      <c r="T496" s="4">
        <v>562109</v>
      </c>
      <c r="U496" s="1" t="s">
        <v>2023</v>
      </c>
      <c r="V496" s="1" t="s">
        <v>2012</v>
      </c>
      <c r="W496" s="193">
        <v>8</v>
      </c>
      <c r="X496" s="1">
        <v>0</v>
      </c>
      <c r="Y496" s="1">
        <v>3</v>
      </c>
      <c r="Z496" s="1">
        <v>2</v>
      </c>
      <c r="AA496" s="193" t="s">
        <v>4118</v>
      </c>
      <c r="AB496" s="2"/>
    </row>
    <row r="497" spans="1:28" ht="15" customHeight="1">
      <c r="A497" s="16">
        <v>496</v>
      </c>
      <c r="B497" s="10" t="s">
        <v>2049</v>
      </c>
      <c r="C497" s="14" t="str">
        <f>_xlfn.CONCAT(B497&amp;" "&amp;W497&amp;X497&amp;Y497&amp;Z497)</f>
        <v>Ajanta Ltd. 1042</v>
      </c>
      <c r="D497" s="27">
        <v>583</v>
      </c>
      <c r="E497" s="10" t="s">
        <v>42</v>
      </c>
      <c r="F497" s="10"/>
      <c r="G497" s="33">
        <v>42578</v>
      </c>
      <c r="H497" s="33"/>
      <c r="I497" s="33"/>
      <c r="J497" s="25"/>
      <c r="K497" s="25"/>
      <c r="L497" s="32">
        <v>3</v>
      </c>
      <c r="M497" s="10" t="s">
        <v>2050</v>
      </c>
      <c r="N497" s="11"/>
      <c r="O497" s="20" t="s">
        <v>2051</v>
      </c>
      <c r="P497" s="5"/>
      <c r="Q497" s="5" t="s">
        <v>4619</v>
      </c>
      <c r="R497" s="195"/>
      <c r="S497" s="193" t="s">
        <v>2052</v>
      </c>
      <c r="T497" s="4">
        <v>363641</v>
      </c>
      <c r="U497" s="1" t="s">
        <v>2017</v>
      </c>
      <c r="V497" s="1" t="s">
        <v>2012</v>
      </c>
      <c r="W497" s="193">
        <v>1</v>
      </c>
      <c r="X497" s="1">
        <v>0</v>
      </c>
      <c r="Y497" s="1">
        <v>4</v>
      </c>
      <c r="Z497" s="1">
        <v>2</v>
      </c>
      <c r="AA497" s="193" t="s">
        <v>4118</v>
      </c>
      <c r="AB497" s="2"/>
    </row>
    <row r="498" spans="1:28" ht="15" customHeight="1">
      <c r="A498" s="16">
        <v>497</v>
      </c>
      <c r="B498" s="10" t="s">
        <v>2053</v>
      </c>
      <c r="C498" s="14" t="str">
        <f>_xlfn.CONCAT(B498&amp;" "&amp;W498&amp;X498&amp;Y498&amp;Z498)</f>
        <v>Yoshama and Company Pvt Ltd. 8041</v>
      </c>
      <c r="D498" s="27">
        <v>579</v>
      </c>
      <c r="E498" s="10" t="s">
        <v>42</v>
      </c>
      <c r="F498" s="10"/>
      <c r="G498" s="33">
        <v>42579</v>
      </c>
      <c r="H498" s="33"/>
      <c r="I498" s="33"/>
      <c r="J498" s="25"/>
      <c r="K498" s="25"/>
      <c r="L498" s="32">
        <v>3</v>
      </c>
      <c r="M498" s="10" t="s">
        <v>2054</v>
      </c>
      <c r="N498" s="13"/>
      <c r="O498" s="20" t="s">
        <v>2055</v>
      </c>
      <c r="P498" s="1" t="s">
        <v>2056</v>
      </c>
      <c r="Q498" s="1" t="s">
        <v>4620</v>
      </c>
      <c r="R498" s="2"/>
      <c r="S498" s="193" t="s">
        <v>2057</v>
      </c>
      <c r="T498" s="4">
        <v>560010</v>
      </c>
      <c r="U498" s="1" t="s">
        <v>2023</v>
      </c>
      <c r="V498" s="1" t="s">
        <v>2012</v>
      </c>
      <c r="W498" s="193">
        <v>8</v>
      </c>
      <c r="X498" s="1">
        <v>0</v>
      </c>
      <c r="Y498" s="1">
        <v>4</v>
      </c>
      <c r="Z498" s="1">
        <v>1</v>
      </c>
      <c r="AA498" s="193" t="s">
        <v>4118</v>
      </c>
      <c r="AB498" s="2"/>
    </row>
    <row r="499" spans="1:28" ht="15" customHeight="1">
      <c r="A499" s="16">
        <v>498</v>
      </c>
      <c r="B499" s="10" t="s">
        <v>2058</v>
      </c>
      <c r="C499" s="14" t="str">
        <f>_xlfn.CONCAT(B499&amp;" "&amp;W499&amp;X499&amp;Y499&amp;Z499)</f>
        <v>JJ Glastronics Pvt Ltd 8011</v>
      </c>
      <c r="D499" s="27">
        <v>580</v>
      </c>
      <c r="E499" s="10" t="s">
        <v>42</v>
      </c>
      <c r="F499" s="10"/>
      <c r="G499" s="33">
        <v>42593</v>
      </c>
      <c r="H499" s="33"/>
      <c r="I499" s="33"/>
      <c r="J499" s="25">
        <v>44063</v>
      </c>
      <c r="K499" s="25">
        <v>44427</v>
      </c>
      <c r="L499" s="32">
        <v>3</v>
      </c>
      <c r="M499" s="10" t="s">
        <v>2059</v>
      </c>
      <c r="N499" s="11"/>
      <c r="O499" s="20" t="s">
        <v>2060</v>
      </c>
      <c r="P499" s="5"/>
      <c r="Q499" s="5" t="s">
        <v>4621</v>
      </c>
      <c r="R499" s="2"/>
      <c r="S499" s="193" t="s">
        <v>2057</v>
      </c>
      <c r="T499" s="4">
        <v>560100</v>
      </c>
      <c r="U499" s="1" t="s">
        <v>2023</v>
      </c>
      <c r="V499" s="1" t="s">
        <v>2012</v>
      </c>
      <c r="W499" s="193">
        <v>8</v>
      </c>
      <c r="X499" s="1">
        <v>0</v>
      </c>
      <c r="Y499" s="1">
        <v>1</v>
      </c>
      <c r="Z499" s="1">
        <v>1</v>
      </c>
      <c r="AA499" s="193" t="s">
        <v>4118</v>
      </c>
      <c r="AB499" s="2"/>
    </row>
    <row r="500" spans="1:28" ht="15" customHeight="1">
      <c r="A500" s="16">
        <v>499</v>
      </c>
      <c r="B500" s="10" t="s">
        <v>2061</v>
      </c>
      <c r="C500" s="14" t="str">
        <f>_xlfn.CONCAT(B500&amp;" "&amp;W500&amp;X500&amp;Y500&amp;Z500)</f>
        <v>Muviq India Power Transmission Pvt Ltd (Dayco Power Transmission Pvt Ltd) 1111</v>
      </c>
      <c r="D500" s="27">
        <v>584</v>
      </c>
      <c r="E500" s="10" t="s">
        <v>42</v>
      </c>
      <c r="F500" s="10"/>
      <c r="G500" s="33">
        <v>42599</v>
      </c>
      <c r="H500" s="33"/>
      <c r="I500" s="33"/>
      <c r="J500" s="25">
        <v>45866</v>
      </c>
      <c r="K500" s="25">
        <v>46230</v>
      </c>
      <c r="L500" s="32">
        <v>3</v>
      </c>
      <c r="M500" s="10" t="s">
        <v>2062</v>
      </c>
      <c r="N500" s="10" t="s">
        <v>2063</v>
      </c>
      <c r="O500" s="20" t="s">
        <v>2064</v>
      </c>
      <c r="P500" s="1" t="s">
        <v>2065</v>
      </c>
      <c r="Q500" s="1" t="s">
        <v>4622</v>
      </c>
      <c r="R500" s="2"/>
      <c r="S500" s="3" t="s">
        <v>2028</v>
      </c>
      <c r="T500" s="4">
        <v>122052</v>
      </c>
      <c r="U500" s="1" t="s">
        <v>2029</v>
      </c>
      <c r="V500" s="1" t="s">
        <v>2012</v>
      </c>
      <c r="W500" s="193">
        <v>1</v>
      </c>
      <c r="X500" s="1">
        <v>1</v>
      </c>
      <c r="Y500" s="1">
        <v>1</v>
      </c>
      <c r="Z500" s="1">
        <v>1</v>
      </c>
      <c r="AA500" s="193" t="s">
        <v>4118</v>
      </c>
      <c r="AB500" s="2"/>
    </row>
    <row r="501" spans="1:28" ht="15" customHeight="1">
      <c r="A501" s="16">
        <v>500</v>
      </c>
      <c r="B501" s="10" t="s">
        <v>2066</v>
      </c>
      <c r="C501" s="14" t="str">
        <f>_xlfn.CONCAT(B501&amp;" "&amp;W501&amp;X501&amp;Y501&amp;Z501)</f>
        <v>Panasonic Life Solns India Pvt Ltd (Anchor Electricals Pvt Ltd) 1042</v>
      </c>
      <c r="D501" s="27">
        <v>585</v>
      </c>
      <c r="E501" s="10" t="s">
        <v>42</v>
      </c>
      <c r="F501" s="10"/>
      <c r="G501" s="33">
        <v>42606</v>
      </c>
      <c r="H501" s="33"/>
      <c r="I501" s="33"/>
      <c r="J501" s="25">
        <v>45817</v>
      </c>
      <c r="K501" s="25">
        <v>46181</v>
      </c>
      <c r="L501" s="32">
        <v>3</v>
      </c>
      <c r="M501" s="10" t="s">
        <v>2067</v>
      </c>
      <c r="N501" s="11"/>
      <c r="O501" s="20" t="s">
        <v>2068</v>
      </c>
      <c r="P501" s="1" t="s">
        <v>2069</v>
      </c>
      <c r="Q501" s="1" t="s">
        <v>4623</v>
      </c>
      <c r="R501" s="2"/>
      <c r="S501" s="3" t="s">
        <v>2070</v>
      </c>
      <c r="T501" s="4">
        <v>249403</v>
      </c>
      <c r="U501" s="1" t="s">
        <v>2036</v>
      </c>
      <c r="V501" s="1" t="s">
        <v>2012</v>
      </c>
      <c r="W501" s="193">
        <v>1</v>
      </c>
      <c r="X501" s="1">
        <v>0</v>
      </c>
      <c r="Y501" s="1">
        <v>4</v>
      </c>
      <c r="Z501" s="1">
        <v>2</v>
      </c>
      <c r="AA501" s="193" t="s">
        <v>4118</v>
      </c>
      <c r="AB501" s="2"/>
    </row>
    <row r="502" spans="1:28" ht="15" customHeight="1">
      <c r="A502" s="16">
        <v>501</v>
      </c>
      <c r="B502" s="10" t="s">
        <v>2071</v>
      </c>
      <c r="C502" s="14" t="str">
        <f>_xlfn.CONCAT(B502&amp;" "&amp;W502&amp;X502&amp;Y502&amp;Z502)</f>
        <v>Falcon Toolings 4111</v>
      </c>
      <c r="D502" s="27">
        <v>586</v>
      </c>
      <c r="E502" s="10" t="s">
        <v>42</v>
      </c>
      <c r="F502" s="10"/>
      <c r="G502" s="33">
        <v>42607</v>
      </c>
      <c r="H502" s="33"/>
      <c r="I502" s="33"/>
      <c r="J502" s="25">
        <v>44301</v>
      </c>
      <c r="K502" s="25">
        <v>44665</v>
      </c>
      <c r="L502" s="32">
        <v>3</v>
      </c>
      <c r="M502" s="10" t="s">
        <v>2072</v>
      </c>
      <c r="N502" s="10" t="s">
        <v>2073</v>
      </c>
      <c r="O502" s="20" t="s">
        <v>2074</v>
      </c>
      <c r="P502" s="1" t="s">
        <v>2075</v>
      </c>
      <c r="Q502" s="1" t="s">
        <v>4624</v>
      </c>
      <c r="R502" s="2"/>
      <c r="S502" s="6" t="s">
        <v>2076</v>
      </c>
      <c r="T502" s="4">
        <v>641048</v>
      </c>
      <c r="U502" s="1" t="s">
        <v>2011</v>
      </c>
      <c r="V502" s="1" t="s">
        <v>2012</v>
      </c>
      <c r="W502" s="193">
        <v>4</v>
      </c>
      <c r="X502" s="1">
        <v>1</v>
      </c>
      <c r="Y502" s="1">
        <v>1</v>
      </c>
      <c r="Z502" s="1">
        <v>1</v>
      </c>
      <c r="AA502" s="193" t="s">
        <v>4148</v>
      </c>
      <c r="AB502" s="2"/>
    </row>
    <row r="503" spans="1:28" ht="15" customHeight="1">
      <c r="A503" s="16">
        <v>502</v>
      </c>
      <c r="B503" s="10" t="s">
        <v>2077</v>
      </c>
      <c r="C503" s="14" t="str">
        <f>_xlfn.CONCAT(B503&amp;" "&amp;W503&amp;X503&amp;Y503&amp;Z503)</f>
        <v>Bharat Electronics Ltd 8051</v>
      </c>
      <c r="D503" s="27">
        <v>560</v>
      </c>
      <c r="E503" s="10" t="s">
        <v>90</v>
      </c>
      <c r="F503" s="10"/>
      <c r="G503" s="33">
        <v>42611</v>
      </c>
      <c r="H503" s="33"/>
      <c r="I503" s="33"/>
      <c r="J503" s="25">
        <v>45536</v>
      </c>
      <c r="K503" s="25">
        <v>45900</v>
      </c>
      <c r="L503" s="32">
        <v>3</v>
      </c>
      <c r="M503" s="10" t="s">
        <v>2078</v>
      </c>
      <c r="N503" s="10" t="s">
        <v>2079</v>
      </c>
      <c r="O503" s="20" t="s">
        <v>2080</v>
      </c>
      <c r="P503" s="5"/>
      <c r="Q503" s="5" t="s">
        <v>4625</v>
      </c>
      <c r="R503" s="2"/>
      <c r="S503" s="3" t="s">
        <v>2057</v>
      </c>
      <c r="T503" s="4">
        <v>560013</v>
      </c>
      <c r="U503" s="1" t="s">
        <v>2023</v>
      </c>
      <c r="V503" s="1" t="s">
        <v>2012</v>
      </c>
      <c r="W503" s="193">
        <v>8</v>
      </c>
      <c r="X503" s="1">
        <v>0</v>
      </c>
      <c r="Y503" s="1">
        <v>5</v>
      </c>
      <c r="Z503" s="1">
        <v>1</v>
      </c>
      <c r="AA503" s="193" t="s">
        <v>4118</v>
      </c>
      <c r="AB503" s="2"/>
    </row>
    <row r="504" spans="1:28" ht="15" customHeight="1">
      <c r="A504" s="16">
        <v>503</v>
      </c>
      <c r="B504" s="10" t="s">
        <v>2081</v>
      </c>
      <c r="C504" s="14" t="str">
        <f>_xlfn.CONCAT(B504&amp;" "&amp;W504&amp;X504&amp;Y504&amp;Z504)</f>
        <v>Vasantha Tool Crafts Pvt Ltd 6021</v>
      </c>
      <c r="D504" s="27">
        <v>600</v>
      </c>
      <c r="E504" s="10" t="s">
        <v>2082</v>
      </c>
      <c r="F504" s="10"/>
      <c r="G504" s="33">
        <v>42613</v>
      </c>
      <c r="H504" s="33"/>
      <c r="I504" s="33"/>
      <c r="J504" s="25">
        <v>44482</v>
      </c>
      <c r="K504" s="25">
        <v>44846</v>
      </c>
      <c r="L504" s="32">
        <v>3</v>
      </c>
      <c r="M504" s="10" t="s">
        <v>2083</v>
      </c>
      <c r="N504" s="10" t="s">
        <v>2084</v>
      </c>
      <c r="O504" s="20" t="s">
        <v>2085</v>
      </c>
      <c r="P504" s="1" t="s">
        <v>2086</v>
      </c>
      <c r="Q504" s="1" t="s">
        <v>4626</v>
      </c>
      <c r="R504" s="2"/>
      <c r="S504" s="6" t="s">
        <v>2087</v>
      </c>
      <c r="T504" s="4">
        <v>500055</v>
      </c>
      <c r="U504" s="1" t="s">
        <v>2088</v>
      </c>
      <c r="V504" s="1" t="s">
        <v>2012</v>
      </c>
      <c r="W504" s="193">
        <v>6</v>
      </c>
      <c r="X504" s="1">
        <v>0</v>
      </c>
      <c r="Y504" s="1">
        <v>2</v>
      </c>
      <c r="Z504" s="1">
        <v>1</v>
      </c>
      <c r="AA504" s="193" t="s">
        <v>4148</v>
      </c>
      <c r="AB504" s="2"/>
    </row>
    <row r="505" spans="1:28" ht="15" customHeight="1">
      <c r="A505" s="16">
        <v>504</v>
      </c>
      <c r="B505" s="10" t="s">
        <v>2089</v>
      </c>
      <c r="C505" s="14" t="str">
        <f>_xlfn.CONCAT(B505&amp;" "&amp;W505&amp;X505&amp;Y505&amp;Z505)</f>
        <v>Ripple Technologies 8051</v>
      </c>
      <c r="D505" s="27">
        <v>582</v>
      </c>
      <c r="E505" s="10" t="s">
        <v>42</v>
      </c>
      <c r="F505" s="10"/>
      <c r="G505" s="33">
        <v>42629</v>
      </c>
      <c r="H505" s="33"/>
      <c r="I505" s="33"/>
      <c r="J505" s="25">
        <v>44048</v>
      </c>
      <c r="K505" s="25">
        <v>44412</v>
      </c>
      <c r="L505" s="32">
        <v>3</v>
      </c>
      <c r="M505" s="10" t="s">
        <v>2090</v>
      </c>
      <c r="N505" s="11"/>
      <c r="O505" s="22"/>
      <c r="P505" s="1" t="s">
        <v>2091</v>
      </c>
      <c r="Q505" s="1" t="s">
        <v>4627</v>
      </c>
      <c r="R505" s="2"/>
      <c r="S505" s="3" t="s">
        <v>2057</v>
      </c>
      <c r="T505" s="4">
        <v>560058</v>
      </c>
      <c r="U505" s="1" t="s">
        <v>2023</v>
      </c>
      <c r="V505" s="1" t="s">
        <v>2012</v>
      </c>
      <c r="W505" s="193">
        <v>8</v>
      </c>
      <c r="X505" s="1">
        <v>0</v>
      </c>
      <c r="Y505" s="1">
        <v>5</v>
      </c>
      <c r="Z505" s="1">
        <v>1</v>
      </c>
      <c r="AA505" s="193" t="s">
        <v>4118</v>
      </c>
      <c r="AB505" s="2"/>
    </row>
    <row r="506" spans="1:28" ht="15" customHeight="1">
      <c r="A506" s="16">
        <v>505</v>
      </c>
      <c r="B506" s="10" t="s">
        <v>2092</v>
      </c>
      <c r="C506" s="14" t="str">
        <f>_xlfn.CONCAT(B506&amp;" "&amp;W506&amp;X506&amp;Y506&amp;Z506)</f>
        <v>Minda Corporation Ltd 2421</v>
      </c>
      <c r="D506" s="27">
        <v>587</v>
      </c>
      <c r="E506" s="10" t="s">
        <v>42</v>
      </c>
      <c r="F506" s="10"/>
      <c r="G506" s="33">
        <v>42637</v>
      </c>
      <c r="H506" s="33"/>
      <c r="I506" s="33"/>
      <c r="J506" s="25">
        <v>45911</v>
      </c>
      <c r="K506" s="25">
        <v>46275</v>
      </c>
      <c r="L506" s="32">
        <v>3</v>
      </c>
      <c r="M506" s="12" t="s">
        <v>2093</v>
      </c>
      <c r="N506" s="12"/>
      <c r="O506" s="20" t="s">
        <v>2094</v>
      </c>
      <c r="P506" s="1" t="s">
        <v>2095</v>
      </c>
      <c r="Q506" s="1" t="s">
        <v>4628</v>
      </c>
      <c r="R506" s="2"/>
      <c r="S506" s="6" t="s">
        <v>2096</v>
      </c>
      <c r="T506" s="4">
        <v>410501</v>
      </c>
      <c r="U506" s="1" t="s">
        <v>2041</v>
      </c>
      <c r="V506" s="1" t="s">
        <v>2012</v>
      </c>
      <c r="W506" s="193">
        <v>2</v>
      </c>
      <c r="X506" s="1">
        <v>4</v>
      </c>
      <c r="Y506" s="1">
        <v>2</v>
      </c>
      <c r="Z506" s="1">
        <v>1</v>
      </c>
      <c r="AA506" s="193" t="s">
        <v>4151</v>
      </c>
      <c r="AB506" s="2"/>
    </row>
    <row r="507" spans="1:28" ht="15" customHeight="1">
      <c r="A507" s="16">
        <v>506</v>
      </c>
      <c r="B507" s="10" t="s">
        <v>2097</v>
      </c>
      <c r="C507" s="14" t="str">
        <f>_xlfn.CONCAT(B507&amp;" "&amp;W507&amp;X507&amp;Y507&amp;Z507)</f>
        <v>Ravi Plast Mold Pvt Ltd 5011</v>
      </c>
      <c r="D507" s="27">
        <v>564</v>
      </c>
      <c r="E507" s="10" t="s">
        <v>90</v>
      </c>
      <c r="F507" s="10"/>
      <c r="G507" s="33">
        <v>42644</v>
      </c>
      <c r="H507" s="33"/>
      <c r="I507" s="33"/>
      <c r="J507" s="25">
        <v>45009</v>
      </c>
      <c r="K507" s="25">
        <v>45374</v>
      </c>
      <c r="L507" s="32">
        <v>3</v>
      </c>
      <c r="M507" s="10" t="s">
        <v>2098</v>
      </c>
      <c r="N507" s="11"/>
      <c r="O507" s="20" t="s">
        <v>2099</v>
      </c>
      <c r="P507" s="1" t="s">
        <v>2100</v>
      </c>
      <c r="Q507" s="1" t="s">
        <v>4629</v>
      </c>
      <c r="R507" s="3"/>
      <c r="S507" s="3" t="s">
        <v>143</v>
      </c>
      <c r="T507" s="4">
        <v>382445</v>
      </c>
      <c r="U507" s="1" t="s">
        <v>2017</v>
      </c>
      <c r="V507" s="1" t="s">
        <v>2012</v>
      </c>
      <c r="W507" s="193">
        <v>5</v>
      </c>
      <c r="X507" s="1">
        <v>0</v>
      </c>
      <c r="Y507" s="1">
        <v>1</v>
      </c>
      <c r="Z507" s="1">
        <v>1</v>
      </c>
      <c r="AA507" s="193" t="s">
        <v>4118</v>
      </c>
      <c r="AB507" s="2"/>
    </row>
    <row r="508" spans="1:28" ht="15" customHeight="1">
      <c r="A508" s="16">
        <v>507</v>
      </c>
      <c r="B508" s="10" t="s">
        <v>2101</v>
      </c>
      <c r="C508" s="14" t="str">
        <f>_xlfn.CONCAT(B508&amp;" "&amp;W508&amp;X508&amp;Y508&amp;Z508)</f>
        <v>Star Fabricators 2010</v>
      </c>
      <c r="D508" s="27">
        <v>588</v>
      </c>
      <c r="E508" s="10" t="s">
        <v>2102</v>
      </c>
      <c r="F508" s="10"/>
      <c r="G508" s="33">
        <v>42646</v>
      </c>
      <c r="H508" s="33"/>
      <c r="I508" s="33"/>
      <c r="J508" s="25">
        <v>44389</v>
      </c>
      <c r="K508" s="25">
        <v>44753</v>
      </c>
      <c r="L508" s="32">
        <v>3</v>
      </c>
      <c r="M508" s="11"/>
      <c r="N508" s="11"/>
      <c r="O508" s="20" t="s">
        <v>2103</v>
      </c>
      <c r="P508" s="1" t="s">
        <v>2104</v>
      </c>
      <c r="Q508" s="1" t="s">
        <v>4630</v>
      </c>
      <c r="R508" s="6"/>
      <c r="S508" s="7" t="s">
        <v>1410</v>
      </c>
      <c r="T508" s="4">
        <v>425003</v>
      </c>
      <c r="U508" s="1" t="s">
        <v>2041</v>
      </c>
      <c r="V508" s="1" t="s">
        <v>2012</v>
      </c>
      <c r="W508" s="193">
        <v>2</v>
      </c>
      <c r="X508" s="1">
        <v>0</v>
      </c>
      <c r="Y508" s="1">
        <v>1</v>
      </c>
      <c r="Z508" s="1">
        <v>0</v>
      </c>
      <c r="AA508" s="193" t="s">
        <v>4118</v>
      </c>
      <c r="AB508" s="2"/>
    </row>
    <row r="509" spans="1:28" ht="15" customHeight="1">
      <c r="A509" s="16">
        <v>508</v>
      </c>
      <c r="B509" s="10" t="s">
        <v>2105</v>
      </c>
      <c r="C509" s="14" t="str">
        <f>_xlfn.CONCAT(B509&amp;" "&amp;W509&amp;X509&amp;Y509&amp;Z509)</f>
        <v>JSS Automotives 1111</v>
      </c>
      <c r="D509" s="27">
        <v>590</v>
      </c>
      <c r="E509" s="10" t="s">
        <v>42</v>
      </c>
      <c r="F509" s="10"/>
      <c r="G509" s="33">
        <v>42657</v>
      </c>
      <c r="H509" s="33"/>
      <c r="I509" s="33"/>
      <c r="J509" s="25"/>
      <c r="K509" s="25"/>
      <c r="L509" s="32">
        <v>3</v>
      </c>
      <c r="M509" s="12" t="s">
        <v>2106</v>
      </c>
      <c r="N509" s="12"/>
      <c r="O509" s="20" t="s">
        <v>2107</v>
      </c>
      <c r="P509" s="1" t="s">
        <v>2108</v>
      </c>
      <c r="Q509" s="1" t="s">
        <v>4631</v>
      </c>
      <c r="R509" s="2"/>
      <c r="S509" s="3" t="s">
        <v>2028</v>
      </c>
      <c r="T509" s="4">
        <v>122001</v>
      </c>
      <c r="U509" s="1" t="s">
        <v>2029</v>
      </c>
      <c r="V509" s="1" t="s">
        <v>2012</v>
      </c>
      <c r="W509" s="193">
        <v>1</v>
      </c>
      <c r="X509" s="1">
        <v>1</v>
      </c>
      <c r="Y509" s="1">
        <v>1</v>
      </c>
      <c r="Z509" s="1">
        <v>1</v>
      </c>
      <c r="AA509" s="193" t="s">
        <v>4118</v>
      </c>
      <c r="AB509" s="2"/>
    </row>
    <row r="510" spans="1:28" ht="15" customHeight="1">
      <c r="A510" s="16">
        <v>509</v>
      </c>
      <c r="B510" s="10" t="s">
        <v>2109</v>
      </c>
      <c r="C510" s="14" t="str">
        <f>_xlfn.CONCAT(B510&amp;" "&amp;W510&amp;X510&amp;Y510&amp;Z510)</f>
        <v>JSS Automotive 1114</v>
      </c>
      <c r="D510" s="27">
        <v>591</v>
      </c>
      <c r="E510" s="10" t="s">
        <v>42</v>
      </c>
      <c r="F510" s="10"/>
      <c r="G510" s="33">
        <v>42657</v>
      </c>
      <c r="H510" s="33"/>
      <c r="I510" s="33"/>
      <c r="J510" s="25"/>
      <c r="K510" s="25"/>
      <c r="L510" s="32">
        <v>3</v>
      </c>
      <c r="M510" s="12" t="s">
        <v>2106</v>
      </c>
      <c r="N510" s="12"/>
      <c r="O510" s="20" t="s">
        <v>2107</v>
      </c>
      <c r="P510" s="1" t="s">
        <v>2110</v>
      </c>
      <c r="Q510" s="1" t="s">
        <v>4632</v>
      </c>
      <c r="R510" s="2"/>
      <c r="S510" s="6"/>
      <c r="T510" s="4">
        <v>401705</v>
      </c>
      <c r="U510" s="1" t="s">
        <v>2111</v>
      </c>
      <c r="V510" s="1" t="s">
        <v>2012</v>
      </c>
      <c r="W510" s="193">
        <v>1</v>
      </c>
      <c r="X510" s="1">
        <v>1</v>
      </c>
      <c r="Y510" s="1">
        <v>1</v>
      </c>
      <c r="Z510" s="1">
        <v>4</v>
      </c>
      <c r="AA510" s="193" t="s">
        <v>4118</v>
      </c>
      <c r="AB510" s="2"/>
    </row>
    <row r="511" spans="1:28" ht="15" customHeight="1">
      <c r="A511" s="16">
        <v>510</v>
      </c>
      <c r="B511" s="10" t="s">
        <v>2112</v>
      </c>
      <c r="C511" s="14" t="str">
        <f>_xlfn.CONCAT(B511&amp;" "&amp;W511&amp;X511&amp;Y511&amp;Z511)</f>
        <v>Sundaram Industries Pvt Ltd 4101</v>
      </c>
      <c r="D511" s="27">
        <v>559</v>
      </c>
      <c r="E511" s="10" t="s">
        <v>90</v>
      </c>
      <c r="F511" s="10"/>
      <c r="G511" s="33">
        <v>42666</v>
      </c>
      <c r="H511" s="33"/>
      <c r="I511" s="33"/>
      <c r="J511" s="25">
        <v>44470</v>
      </c>
      <c r="K511" s="25">
        <v>44834</v>
      </c>
      <c r="L511" s="32">
        <v>3</v>
      </c>
      <c r="M511" s="10" t="s">
        <v>2113</v>
      </c>
      <c r="N511" s="11"/>
      <c r="O511" s="20" t="s">
        <v>2114</v>
      </c>
      <c r="P511" s="1" t="s">
        <v>2115</v>
      </c>
      <c r="Q511" s="1" t="s">
        <v>4633</v>
      </c>
      <c r="R511" s="2"/>
      <c r="S511" s="3" t="s">
        <v>2116</v>
      </c>
      <c r="T511" s="4">
        <v>625016</v>
      </c>
      <c r="U511" s="1" t="s">
        <v>2011</v>
      </c>
      <c r="V511" s="1" t="s">
        <v>2012</v>
      </c>
      <c r="W511" s="193">
        <v>4</v>
      </c>
      <c r="X511" s="1">
        <v>1</v>
      </c>
      <c r="Y511" s="1">
        <v>0</v>
      </c>
      <c r="Z511" s="1">
        <v>1</v>
      </c>
      <c r="AA511" s="193" t="s">
        <v>4148</v>
      </c>
      <c r="AB511" s="2"/>
    </row>
    <row r="512" spans="1:28" ht="15" customHeight="1">
      <c r="A512" s="16">
        <v>511</v>
      </c>
      <c r="B512" s="10" t="s">
        <v>2117</v>
      </c>
      <c r="C512" s="14" t="str">
        <f>_xlfn.CONCAT(B512&amp;" "&amp;W512&amp;X512&amp;Y512&amp;Z512)</f>
        <v>Pharma Tools 2221</v>
      </c>
      <c r="D512" s="27">
        <v>594</v>
      </c>
      <c r="E512" s="10" t="s">
        <v>42</v>
      </c>
      <c r="F512" s="10"/>
      <c r="G512" s="33">
        <v>42671</v>
      </c>
      <c r="H512" s="33"/>
      <c r="I512" s="33"/>
      <c r="J512" s="25"/>
      <c r="K512" s="25"/>
      <c r="L512" s="32">
        <v>3</v>
      </c>
      <c r="M512" s="10" t="s">
        <v>2118</v>
      </c>
      <c r="N512" s="11"/>
      <c r="O512" s="20" t="s">
        <v>2119</v>
      </c>
      <c r="P512" s="3" t="s">
        <v>2120</v>
      </c>
      <c r="Q512" s="3" t="s">
        <v>4634</v>
      </c>
      <c r="R512" s="2"/>
      <c r="S512" s="3" t="s">
        <v>2121</v>
      </c>
      <c r="T512" s="4">
        <v>400083</v>
      </c>
      <c r="U512" s="1" t="s">
        <v>2041</v>
      </c>
      <c r="V512" s="1" t="s">
        <v>2012</v>
      </c>
      <c r="W512" s="193">
        <v>2</v>
      </c>
      <c r="X512" s="1">
        <v>2</v>
      </c>
      <c r="Y512" s="1">
        <v>2</v>
      </c>
      <c r="Z512" s="1">
        <v>1</v>
      </c>
      <c r="AA512" s="193" t="s">
        <v>4118</v>
      </c>
      <c r="AB512" s="2"/>
    </row>
    <row r="513" spans="1:28" ht="15" customHeight="1">
      <c r="A513" s="16">
        <v>512</v>
      </c>
      <c r="B513" s="10" t="s">
        <v>2123</v>
      </c>
      <c r="C513" s="14" t="str">
        <f>_xlfn.CONCAT(B513&amp;" "&amp;W513&amp;X513&amp;Y513&amp;Z513)</f>
        <v>Image Labels Pvt Ltd 8023</v>
      </c>
      <c r="D513" s="27">
        <v>565</v>
      </c>
      <c r="E513" s="10" t="s">
        <v>90</v>
      </c>
      <c r="F513" s="10"/>
      <c r="G513" s="33">
        <v>42683</v>
      </c>
      <c r="H513" s="33"/>
      <c r="I513" s="33"/>
      <c r="J513" s="25">
        <v>44289</v>
      </c>
      <c r="K513" s="25">
        <v>44653</v>
      </c>
      <c r="L513" s="32">
        <v>3</v>
      </c>
      <c r="M513" s="10" t="s">
        <v>2124</v>
      </c>
      <c r="N513" s="13" t="s">
        <v>71</v>
      </c>
      <c r="O513" s="20" t="s">
        <v>2125</v>
      </c>
      <c r="P513" s="3" t="s">
        <v>2126</v>
      </c>
      <c r="Q513" s="3" t="s">
        <v>4635</v>
      </c>
      <c r="R513" s="2"/>
      <c r="S513" s="3" t="s">
        <v>21</v>
      </c>
      <c r="T513" s="4">
        <v>560062</v>
      </c>
      <c r="U513" s="1" t="s">
        <v>22</v>
      </c>
      <c r="V513" s="1" t="s">
        <v>23</v>
      </c>
      <c r="W513" s="193">
        <v>8</v>
      </c>
      <c r="X513" s="1">
        <v>0</v>
      </c>
      <c r="Y513" s="1">
        <v>2</v>
      </c>
      <c r="Z513" s="1">
        <v>3</v>
      </c>
      <c r="AA513" s="193" t="s">
        <v>4118</v>
      </c>
      <c r="AB513" s="2"/>
    </row>
    <row r="514" spans="1:28" ht="15" customHeight="1">
      <c r="A514" s="16">
        <v>513</v>
      </c>
      <c r="B514" s="13" t="s">
        <v>2127</v>
      </c>
      <c r="C514" s="14" t="str">
        <f>_xlfn.CONCAT(B514&amp;" "&amp;W514&amp;X514&amp;Y514&amp;Z514)</f>
        <v>Haryana Plastics &amp; Engg Works 1162</v>
      </c>
      <c r="D514" s="17">
        <v>562</v>
      </c>
      <c r="E514" s="13" t="s">
        <v>90</v>
      </c>
      <c r="F514" s="13"/>
      <c r="G514" s="28">
        <v>42686</v>
      </c>
      <c r="H514" s="28"/>
      <c r="I514" s="28"/>
      <c r="J514" s="26"/>
      <c r="K514" s="26"/>
      <c r="L514" s="32">
        <v>3</v>
      </c>
      <c r="M514" s="13" t="s">
        <v>2128</v>
      </c>
      <c r="N514" s="13"/>
      <c r="O514" s="19">
        <v>9818060077</v>
      </c>
      <c r="P514" s="2" t="s">
        <v>1812</v>
      </c>
      <c r="Q514" s="2" t="s">
        <v>4636</v>
      </c>
      <c r="R514" s="2" t="s">
        <v>2129</v>
      </c>
      <c r="S514" s="2" t="s">
        <v>80</v>
      </c>
      <c r="T514" s="2">
        <v>110028</v>
      </c>
      <c r="U514" s="2" t="s">
        <v>2130</v>
      </c>
      <c r="V514" s="2" t="s">
        <v>23</v>
      </c>
      <c r="W514" s="193">
        <v>1</v>
      </c>
      <c r="X514" s="2">
        <v>1</v>
      </c>
      <c r="Y514" s="2">
        <v>6</v>
      </c>
      <c r="Z514" s="2">
        <v>2</v>
      </c>
      <c r="AA514" s="193" t="s">
        <v>4118</v>
      </c>
      <c r="AB514" s="2"/>
    </row>
    <row r="515" spans="1:28" ht="15" customHeight="1">
      <c r="A515" s="16">
        <v>514</v>
      </c>
      <c r="B515" s="13" t="s">
        <v>2131</v>
      </c>
      <c r="C515" s="14" t="str">
        <f>_xlfn.CONCAT(B515&amp;" "&amp;W515&amp;X515&amp;Y515&amp;Z515)</f>
        <v>Poineer Tooling Services 1151</v>
      </c>
      <c r="D515" s="17">
        <v>445</v>
      </c>
      <c r="E515" s="13" t="s">
        <v>42</v>
      </c>
      <c r="F515" s="13"/>
      <c r="G515" s="28">
        <v>42690</v>
      </c>
      <c r="H515" s="28"/>
      <c r="I515" s="28"/>
      <c r="J515" s="26">
        <v>44600</v>
      </c>
      <c r="K515" s="26">
        <v>44964</v>
      </c>
      <c r="L515" s="32">
        <v>3</v>
      </c>
      <c r="M515" s="13" t="s">
        <v>2132</v>
      </c>
      <c r="N515" s="13"/>
      <c r="O515" s="19" t="s">
        <v>2133</v>
      </c>
      <c r="P515" s="2" t="s">
        <v>2134</v>
      </c>
      <c r="Q515" s="2" t="s">
        <v>4637</v>
      </c>
      <c r="R515" s="2"/>
      <c r="S515" s="2" t="s">
        <v>185</v>
      </c>
      <c r="T515" s="2">
        <v>201305</v>
      </c>
      <c r="U515" s="2" t="s">
        <v>184</v>
      </c>
      <c r="V515" s="2" t="s">
        <v>23</v>
      </c>
      <c r="W515" s="193">
        <v>1</v>
      </c>
      <c r="X515" s="2">
        <v>1</v>
      </c>
      <c r="Y515" s="2">
        <v>5</v>
      </c>
      <c r="Z515" s="2">
        <v>1</v>
      </c>
      <c r="AA515" s="193" t="s">
        <v>4118</v>
      </c>
      <c r="AB515" s="2"/>
    </row>
    <row r="516" spans="1:28" ht="15" customHeight="1">
      <c r="A516" s="16">
        <v>515</v>
      </c>
      <c r="B516" s="13" t="s">
        <v>611</v>
      </c>
      <c r="C516" s="14" t="str">
        <f>_xlfn.CONCAT(B516&amp;" "&amp;W516&amp;X516&amp;Y516&amp;Z516)</f>
        <v>Rams Engg Industries 4041</v>
      </c>
      <c r="D516" s="17">
        <v>592</v>
      </c>
      <c r="E516" s="13" t="s">
        <v>42</v>
      </c>
      <c r="F516" s="13"/>
      <c r="G516" s="28">
        <v>42699</v>
      </c>
      <c r="H516" s="28"/>
      <c r="I516" s="28"/>
      <c r="J516" s="26">
        <v>45960</v>
      </c>
      <c r="K516" s="26">
        <v>46324</v>
      </c>
      <c r="L516" s="32">
        <v>3</v>
      </c>
      <c r="M516" s="13" t="s">
        <v>2135</v>
      </c>
      <c r="N516" s="13"/>
      <c r="O516" s="19" t="s">
        <v>2136</v>
      </c>
      <c r="P516" s="2" t="s">
        <v>62</v>
      </c>
      <c r="Q516" s="2" t="s">
        <v>4638</v>
      </c>
      <c r="R516" s="2"/>
      <c r="S516" s="2" t="s">
        <v>37</v>
      </c>
      <c r="T516" s="2">
        <v>600098</v>
      </c>
      <c r="U516" s="2" t="s">
        <v>38</v>
      </c>
      <c r="V516" s="2" t="s">
        <v>23</v>
      </c>
      <c r="W516" s="193">
        <v>4</v>
      </c>
      <c r="X516" s="2">
        <v>0</v>
      </c>
      <c r="Y516" s="2">
        <v>4</v>
      </c>
      <c r="Z516" s="2">
        <v>1</v>
      </c>
      <c r="AA516" s="193" t="s">
        <v>4148</v>
      </c>
      <c r="AB516" s="2"/>
    </row>
    <row r="517" spans="1:28" ht="15" customHeight="1">
      <c r="A517" s="16">
        <v>516</v>
      </c>
      <c r="B517" s="13" t="s">
        <v>2137</v>
      </c>
      <c r="C517" s="14" t="str">
        <f>_xlfn.CONCAT(B517&amp;" "&amp;W517&amp;X517&amp;Y517&amp;Z517)</f>
        <v>Laxmi Remote (India) Private Limited 1151</v>
      </c>
      <c r="D517" s="17">
        <v>593</v>
      </c>
      <c r="E517" s="13" t="s">
        <v>42</v>
      </c>
      <c r="F517" s="13"/>
      <c r="G517" s="28">
        <v>42702</v>
      </c>
      <c r="H517" s="28"/>
      <c r="I517" s="28"/>
      <c r="J517" s="26">
        <v>44464</v>
      </c>
      <c r="K517" s="26">
        <v>44828</v>
      </c>
      <c r="L517" s="32">
        <v>3</v>
      </c>
      <c r="M517" s="13" t="s">
        <v>2138</v>
      </c>
      <c r="N517" s="13"/>
      <c r="O517" s="19">
        <v>9718518403</v>
      </c>
      <c r="P517" s="2"/>
      <c r="Q517" s="2" t="s">
        <v>4639</v>
      </c>
      <c r="R517" s="2"/>
      <c r="S517" s="2" t="s">
        <v>185</v>
      </c>
      <c r="T517" s="2">
        <v>201305</v>
      </c>
      <c r="U517" s="2" t="s">
        <v>184</v>
      </c>
      <c r="V517" s="2" t="s">
        <v>23</v>
      </c>
      <c r="W517" s="193">
        <v>1</v>
      </c>
      <c r="X517" s="2">
        <v>1</v>
      </c>
      <c r="Y517" s="2">
        <v>5</v>
      </c>
      <c r="Z517" s="2">
        <v>1</v>
      </c>
      <c r="AA517" s="193" t="s">
        <v>4118</v>
      </c>
      <c r="AB517" s="2"/>
    </row>
    <row r="518" spans="1:28" ht="15" customHeight="1">
      <c r="A518" s="16">
        <v>517</v>
      </c>
      <c r="B518" s="13" t="s">
        <v>2139</v>
      </c>
      <c r="C518" s="14" t="str">
        <f>_xlfn.CONCAT(B518&amp;" "&amp;W518&amp;X518&amp;Y518&amp;Z518)</f>
        <v>Terminal Technologies P Ltd 2113</v>
      </c>
      <c r="D518" s="17" t="s">
        <v>5222</v>
      </c>
      <c r="E518" s="13"/>
      <c r="F518" s="13"/>
      <c r="G518" s="28">
        <v>42710</v>
      </c>
      <c r="H518" s="28"/>
      <c r="I518" s="28"/>
      <c r="J518" s="26">
        <v>42710</v>
      </c>
      <c r="K518" s="26">
        <v>43439</v>
      </c>
      <c r="L518" s="32">
        <v>3</v>
      </c>
      <c r="M518" s="13" t="s">
        <v>2140</v>
      </c>
      <c r="N518" s="13" t="s">
        <v>71</v>
      </c>
      <c r="O518" s="19">
        <v>9545455048</v>
      </c>
      <c r="P518" s="2" t="s">
        <v>2141</v>
      </c>
      <c r="Q518" s="2" t="s">
        <v>4640</v>
      </c>
      <c r="R518" s="2" t="s">
        <v>2142</v>
      </c>
      <c r="S518" s="2" t="s">
        <v>2143</v>
      </c>
      <c r="T518" s="2">
        <v>401208</v>
      </c>
      <c r="U518" s="2" t="s">
        <v>172</v>
      </c>
      <c r="V518" s="2" t="s">
        <v>23</v>
      </c>
      <c r="W518" s="193">
        <v>2</v>
      </c>
      <c r="X518" s="2">
        <v>1</v>
      </c>
      <c r="Y518" s="2">
        <v>1</v>
      </c>
      <c r="Z518" s="2">
        <v>3</v>
      </c>
      <c r="AA518" s="193" t="s">
        <v>4118</v>
      </c>
      <c r="AB518" s="2"/>
    </row>
    <row r="519" spans="1:28" ht="15" customHeight="1">
      <c r="A519" s="16">
        <v>518</v>
      </c>
      <c r="B519" s="13" t="s">
        <v>2139</v>
      </c>
      <c r="C519" s="14" t="str">
        <f>_xlfn.CONCAT(B519&amp;" "&amp;W519&amp;X519&amp;Y519&amp;Z519)</f>
        <v>Terminal Technologies P Ltd 2421</v>
      </c>
      <c r="D519" s="17">
        <v>620</v>
      </c>
      <c r="E519" s="13" t="s">
        <v>42</v>
      </c>
      <c r="F519" s="13"/>
      <c r="G519" s="28">
        <v>42710</v>
      </c>
      <c r="H519" s="28"/>
      <c r="I519" s="28"/>
      <c r="J519" s="26">
        <v>45837</v>
      </c>
      <c r="K519" s="26">
        <v>46201</v>
      </c>
      <c r="L519" s="32">
        <v>3</v>
      </c>
      <c r="M519" s="13" t="s">
        <v>2144</v>
      </c>
      <c r="N519" s="13" t="s">
        <v>2145</v>
      </c>
      <c r="O519" s="19">
        <v>9545455048</v>
      </c>
      <c r="P519" s="2" t="s">
        <v>2146</v>
      </c>
      <c r="Q519" s="2" t="s">
        <v>4641</v>
      </c>
      <c r="R519" s="2" t="s">
        <v>2147</v>
      </c>
      <c r="S519" s="2" t="s">
        <v>215</v>
      </c>
      <c r="T519" s="2">
        <v>410501</v>
      </c>
      <c r="U519" s="2" t="s">
        <v>172</v>
      </c>
      <c r="V519" s="2" t="s">
        <v>23</v>
      </c>
      <c r="W519" s="193">
        <v>2</v>
      </c>
      <c r="X519" s="2">
        <v>4</v>
      </c>
      <c r="Y519" s="2">
        <v>2</v>
      </c>
      <c r="Z519" s="2">
        <v>1</v>
      </c>
      <c r="AA519" s="193" t="s">
        <v>4151</v>
      </c>
      <c r="AB519" s="2"/>
    </row>
    <row r="520" spans="1:28" ht="15" customHeight="1">
      <c r="A520" s="16">
        <v>519</v>
      </c>
      <c r="B520" s="13" t="s">
        <v>2148</v>
      </c>
      <c r="C520" s="14" t="str">
        <f>_xlfn.CONCAT(B520&amp;" "&amp;W520&amp;X520&amp;Y520&amp;Z520)</f>
        <v>Texmo Blank India Pvt Ltd (Texmo Precision Casting) 4131</v>
      </c>
      <c r="D520" s="17">
        <v>566</v>
      </c>
      <c r="E520" s="13" t="s">
        <v>90</v>
      </c>
      <c r="F520" s="13"/>
      <c r="G520" s="28">
        <v>42711</v>
      </c>
      <c r="H520" s="28"/>
      <c r="I520" s="28"/>
      <c r="J520" s="26">
        <v>44526</v>
      </c>
      <c r="K520" s="26">
        <v>44890</v>
      </c>
      <c r="L520" s="32">
        <v>3</v>
      </c>
      <c r="M520" s="13" t="s">
        <v>2149</v>
      </c>
      <c r="N520" s="13" t="s">
        <v>2150</v>
      </c>
      <c r="O520" s="19" t="s">
        <v>2151</v>
      </c>
      <c r="P520" s="2"/>
      <c r="Q520" s="2" t="s">
        <v>4642</v>
      </c>
      <c r="R520" s="2"/>
      <c r="S520" s="2" t="s">
        <v>101</v>
      </c>
      <c r="T520" s="2">
        <v>642110</v>
      </c>
      <c r="U520" s="2" t="s">
        <v>38</v>
      </c>
      <c r="V520" s="2" t="s">
        <v>23</v>
      </c>
      <c r="W520" s="193">
        <v>4</v>
      </c>
      <c r="X520" s="2">
        <v>1</v>
      </c>
      <c r="Y520" s="2">
        <v>3</v>
      </c>
      <c r="Z520" s="2">
        <v>1</v>
      </c>
      <c r="AA520" s="193" t="s">
        <v>4148</v>
      </c>
      <c r="AB520" s="2"/>
    </row>
    <row r="521" spans="1:28" ht="15" customHeight="1">
      <c r="A521" s="16">
        <v>520</v>
      </c>
      <c r="B521" s="13" t="s">
        <v>2152</v>
      </c>
      <c r="C521" s="14" t="str">
        <f>_xlfn.CONCAT(B521&amp;" "&amp;W521&amp;X521&amp;Y521&amp;Z521)</f>
        <v>Prettl Electronics India Pvt Ltd 2113</v>
      </c>
      <c r="D521" s="17">
        <v>597</v>
      </c>
      <c r="E521" s="13" t="s">
        <v>42</v>
      </c>
      <c r="F521" s="13"/>
      <c r="G521" s="28">
        <v>42721</v>
      </c>
      <c r="H521" s="28"/>
      <c r="I521" s="28"/>
      <c r="J521" s="26">
        <v>44552</v>
      </c>
      <c r="K521" s="26">
        <v>44916</v>
      </c>
      <c r="L521" s="32">
        <v>3</v>
      </c>
      <c r="M521" s="13" t="s">
        <v>2153</v>
      </c>
      <c r="N521" s="13" t="s">
        <v>2154</v>
      </c>
      <c r="O521" s="19">
        <v>9765553185</v>
      </c>
      <c r="P521" s="2" t="s">
        <v>2155</v>
      </c>
      <c r="Q521" s="2" t="s">
        <v>4643</v>
      </c>
      <c r="R521" s="2" t="s">
        <v>2156</v>
      </c>
      <c r="S521" s="2" t="s">
        <v>215</v>
      </c>
      <c r="T521" s="2">
        <v>412216</v>
      </c>
      <c r="U521" s="2" t="s">
        <v>172</v>
      </c>
      <c r="V521" s="2" t="s">
        <v>23</v>
      </c>
      <c r="W521" s="193">
        <v>2</v>
      </c>
      <c r="X521" s="2">
        <v>1</v>
      </c>
      <c r="Y521" s="2">
        <v>1</v>
      </c>
      <c r="Z521" s="2">
        <v>3</v>
      </c>
      <c r="AA521" s="193" t="s">
        <v>4118</v>
      </c>
      <c r="AB521" s="2"/>
    </row>
    <row r="522" spans="1:28" ht="15" customHeight="1">
      <c r="A522" s="16">
        <v>521</v>
      </c>
      <c r="B522" s="13" t="s">
        <v>1979</v>
      </c>
      <c r="C522" s="14" t="str">
        <f>_xlfn.CONCAT(B522&amp;" "&amp;W522&amp;X522&amp;Y522&amp;Z522)</f>
        <v>CG Power &amp; Industrial soln Ltd (Crompton Greaves Ltd) 2021</v>
      </c>
      <c r="D522" s="17">
        <v>567</v>
      </c>
      <c r="E522" s="13" t="s">
        <v>90</v>
      </c>
      <c r="F522" s="13"/>
      <c r="G522" s="28">
        <v>42721</v>
      </c>
      <c r="H522" s="28"/>
      <c r="I522" s="28"/>
      <c r="J522" s="26"/>
      <c r="K522" s="26"/>
      <c r="L522" s="32">
        <v>3</v>
      </c>
      <c r="M522" s="13" t="s">
        <v>2157</v>
      </c>
      <c r="N522" s="13"/>
      <c r="O522" s="19" t="s">
        <v>2158</v>
      </c>
      <c r="P522" s="2" t="s">
        <v>1629</v>
      </c>
      <c r="Q522" s="2" t="s">
        <v>4644</v>
      </c>
      <c r="R522" s="2" t="s">
        <v>908</v>
      </c>
      <c r="S522" s="2" t="s">
        <v>171</v>
      </c>
      <c r="T522" s="2">
        <v>431136</v>
      </c>
      <c r="U522" s="2" t="s">
        <v>172</v>
      </c>
      <c r="V522" s="2" t="s">
        <v>23</v>
      </c>
      <c r="W522" s="193">
        <v>2</v>
      </c>
      <c r="X522" s="2">
        <v>0</v>
      </c>
      <c r="Y522" s="2">
        <v>2</v>
      </c>
      <c r="Z522" s="2">
        <v>1</v>
      </c>
      <c r="AA522" s="193" t="s">
        <v>4118</v>
      </c>
      <c r="AB522" s="2"/>
    </row>
    <row r="523" spans="1:28" ht="15" customHeight="1">
      <c r="A523" s="16">
        <v>522</v>
      </c>
      <c r="B523" s="13" t="s">
        <v>2159</v>
      </c>
      <c r="C523" s="14" t="str">
        <f>_xlfn.CONCAT(B523&amp;" "&amp;W523&amp;X523&amp;Y523&amp;Z523)</f>
        <v>Mold-Masters Technologies Pvt Ltd 4161</v>
      </c>
      <c r="D523" s="17">
        <v>569</v>
      </c>
      <c r="E523" s="13" t="s">
        <v>90</v>
      </c>
      <c r="F523" s="13"/>
      <c r="G523" s="28">
        <v>42722</v>
      </c>
      <c r="H523" s="28"/>
      <c r="I523" s="28"/>
      <c r="J523" s="26"/>
      <c r="K523" s="26"/>
      <c r="L523" s="32">
        <v>3</v>
      </c>
      <c r="M523" s="13" t="s">
        <v>2160</v>
      </c>
      <c r="N523" s="13"/>
      <c r="O523" s="19" t="s">
        <v>2161</v>
      </c>
      <c r="P523" s="2" t="s">
        <v>2162</v>
      </c>
      <c r="Q523" s="2" t="s">
        <v>4645</v>
      </c>
      <c r="R523" s="2" t="s">
        <v>2163</v>
      </c>
      <c r="S523" s="2" t="s">
        <v>101</v>
      </c>
      <c r="T523" s="2">
        <v>641027</v>
      </c>
      <c r="U523" s="2" t="s">
        <v>38</v>
      </c>
      <c r="V523" s="2" t="s">
        <v>23</v>
      </c>
      <c r="W523" s="193">
        <v>4</v>
      </c>
      <c r="X523" s="2">
        <v>1</v>
      </c>
      <c r="Y523" s="2">
        <v>6</v>
      </c>
      <c r="Z523" s="2">
        <v>1</v>
      </c>
      <c r="AA523" s="193" t="s">
        <v>4148</v>
      </c>
      <c r="AB523" s="2"/>
    </row>
    <row r="524" spans="1:28" ht="15" customHeight="1">
      <c r="A524" s="16">
        <v>523</v>
      </c>
      <c r="B524" s="13" t="s">
        <v>2164</v>
      </c>
      <c r="C524" s="14" t="str">
        <f>_xlfn.CONCAT(B524&amp;" "&amp;W524&amp;X524&amp;Y524&amp;Z524)</f>
        <v>Mega Rubber Technologies Pvt Ltd 2113</v>
      </c>
      <c r="D524" s="17">
        <v>598</v>
      </c>
      <c r="E524" s="13" t="s">
        <v>42</v>
      </c>
      <c r="F524" s="13"/>
      <c r="G524" s="28">
        <v>42725</v>
      </c>
      <c r="H524" s="28"/>
      <c r="I524" s="28"/>
      <c r="J524" s="26"/>
      <c r="K524" s="26"/>
      <c r="L524" s="32">
        <v>3</v>
      </c>
      <c r="M524" s="13" t="s">
        <v>2165</v>
      </c>
      <c r="N524" s="13" t="s">
        <v>2166</v>
      </c>
      <c r="O524" s="19" t="s">
        <v>2167</v>
      </c>
      <c r="P524" s="2" t="s">
        <v>2168</v>
      </c>
      <c r="Q524" s="2" t="s">
        <v>4646</v>
      </c>
      <c r="R524" s="2" t="s">
        <v>2169</v>
      </c>
      <c r="S524" s="2" t="s">
        <v>177</v>
      </c>
      <c r="T524" s="2">
        <v>401208</v>
      </c>
      <c r="U524" s="2" t="s">
        <v>172</v>
      </c>
      <c r="V524" s="2" t="s">
        <v>23</v>
      </c>
      <c r="W524" s="193">
        <v>2</v>
      </c>
      <c r="X524" s="2">
        <v>1</v>
      </c>
      <c r="Y524" s="2">
        <v>1</v>
      </c>
      <c r="Z524" s="2">
        <v>3</v>
      </c>
      <c r="AA524" s="193" t="s">
        <v>4118</v>
      </c>
      <c r="AB524" s="2"/>
    </row>
    <row r="525" spans="1:28" ht="15" customHeight="1">
      <c r="A525" s="16">
        <v>524</v>
      </c>
      <c r="B525" s="13" t="s">
        <v>2170</v>
      </c>
      <c r="C525" s="14" t="str">
        <f>_xlfn.CONCAT(B525&amp;" "&amp;W525&amp;X525&amp;Y525&amp;Z525)</f>
        <v>Precision Electricals 2113</v>
      </c>
      <c r="D525" s="17">
        <v>602</v>
      </c>
      <c r="E525" s="13" t="s">
        <v>42</v>
      </c>
      <c r="F525" s="13"/>
      <c r="G525" s="28">
        <v>42727</v>
      </c>
      <c r="H525" s="28"/>
      <c r="I525" s="28"/>
      <c r="J525" s="26">
        <v>42727</v>
      </c>
      <c r="K525" s="26">
        <v>43091</v>
      </c>
      <c r="L525" s="32">
        <v>3</v>
      </c>
      <c r="M525" s="13" t="s">
        <v>2171</v>
      </c>
      <c r="N525" s="13"/>
      <c r="O525" s="19">
        <v>9320497238</v>
      </c>
      <c r="P525" s="2" t="s">
        <v>2172</v>
      </c>
      <c r="Q525" s="2" t="s">
        <v>4647</v>
      </c>
      <c r="R525" s="2" t="s">
        <v>2143</v>
      </c>
      <c r="S525" s="2" t="s">
        <v>177</v>
      </c>
      <c r="T525" s="2">
        <v>401210</v>
      </c>
      <c r="U525" s="2" t="s">
        <v>172</v>
      </c>
      <c r="V525" s="2" t="s">
        <v>23</v>
      </c>
      <c r="W525" s="193">
        <v>2</v>
      </c>
      <c r="X525" s="2">
        <v>1</v>
      </c>
      <c r="Y525" s="2">
        <v>1</v>
      </c>
      <c r="Z525" s="2">
        <v>3</v>
      </c>
      <c r="AA525" s="193" t="s">
        <v>4118</v>
      </c>
      <c r="AB525" s="2"/>
    </row>
    <row r="526" spans="1:28" ht="15" customHeight="1">
      <c r="A526" s="16">
        <v>525</v>
      </c>
      <c r="B526" s="13" t="s">
        <v>2173</v>
      </c>
      <c r="C526" s="14" t="str">
        <f>_xlfn.CONCAT(B526&amp;" "&amp;W526&amp;X526&amp;Y526&amp;Z526)</f>
        <v>Elvee Springs Pvt Ltd 8051</v>
      </c>
      <c r="D526" s="17">
        <v>589</v>
      </c>
      <c r="E526" s="13" t="s">
        <v>42</v>
      </c>
      <c r="F526" s="13"/>
      <c r="G526" s="28">
        <v>42734</v>
      </c>
      <c r="H526" s="28"/>
      <c r="I526" s="28"/>
      <c r="J526" s="26">
        <v>44558</v>
      </c>
      <c r="K526" s="26">
        <v>45287</v>
      </c>
      <c r="L526" s="32">
        <v>3</v>
      </c>
      <c r="M526" s="13" t="s">
        <v>2174</v>
      </c>
      <c r="N526" s="13" t="s">
        <v>2175</v>
      </c>
      <c r="O526" s="19" t="s">
        <v>2176</v>
      </c>
      <c r="P526" s="2" t="s">
        <v>30</v>
      </c>
      <c r="Q526" s="2" t="s">
        <v>4648</v>
      </c>
      <c r="R526" s="2"/>
      <c r="S526" s="2" t="s">
        <v>21</v>
      </c>
      <c r="T526" s="2">
        <v>560010</v>
      </c>
      <c r="U526" s="2" t="s">
        <v>22</v>
      </c>
      <c r="V526" s="2" t="s">
        <v>23</v>
      </c>
      <c r="W526" s="193">
        <v>8</v>
      </c>
      <c r="X526" s="2">
        <v>0</v>
      </c>
      <c r="Y526" s="2">
        <v>5</v>
      </c>
      <c r="Z526" s="2">
        <v>1</v>
      </c>
      <c r="AA526" s="193" t="s">
        <v>4118</v>
      </c>
      <c r="AB526" s="2"/>
    </row>
    <row r="527" spans="1:28" ht="15" customHeight="1">
      <c r="A527" s="16">
        <v>526</v>
      </c>
      <c r="B527" s="13" t="s">
        <v>2177</v>
      </c>
      <c r="C527" s="14" t="str">
        <f>_xlfn.CONCAT(B527&amp;" "&amp;W527&amp;X527&amp;Y527&amp;Z527)</f>
        <v>Vasantha Tool Crafts Pvt Ltd 6021</v>
      </c>
      <c r="D527" s="17">
        <v>601</v>
      </c>
      <c r="E527" s="13" t="s">
        <v>2082</v>
      </c>
      <c r="F527" s="13"/>
      <c r="G527" s="28">
        <v>42738</v>
      </c>
      <c r="H527" s="28"/>
      <c r="I527" s="28"/>
      <c r="J527" s="26">
        <v>45702</v>
      </c>
      <c r="K527" s="26">
        <v>46066</v>
      </c>
      <c r="L527" s="32">
        <v>3</v>
      </c>
      <c r="M527" s="13" t="s">
        <v>2178</v>
      </c>
      <c r="N527" s="13" t="s">
        <v>2179</v>
      </c>
      <c r="O527" s="19" t="s">
        <v>2180</v>
      </c>
      <c r="P527" s="2" t="s">
        <v>1585</v>
      </c>
      <c r="Q527" s="2" t="s">
        <v>4649</v>
      </c>
      <c r="R527" s="2"/>
      <c r="S527" s="2" t="s">
        <v>53</v>
      </c>
      <c r="T527" s="2">
        <v>500037</v>
      </c>
      <c r="U527" s="2" t="s">
        <v>1844</v>
      </c>
      <c r="V527" s="2" t="s">
        <v>23</v>
      </c>
      <c r="W527" s="193">
        <v>6</v>
      </c>
      <c r="X527" s="2">
        <v>0</v>
      </c>
      <c r="Y527" s="2">
        <v>2</v>
      </c>
      <c r="Z527" s="2">
        <v>1</v>
      </c>
      <c r="AA527" s="193" t="s">
        <v>4148</v>
      </c>
      <c r="AB527" s="2"/>
    </row>
    <row r="528" spans="1:28" ht="15" customHeight="1">
      <c r="A528" s="16">
        <v>527</v>
      </c>
      <c r="B528" s="13" t="s">
        <v>2181</v>
      </c>
      <c r="C528" s="14" t="str">
        <f>_xlfn.CONCAT(B528&amp;" "&amp;W528&amp;X528&amp;Y528&amp;Z528)</f>
        <v>Fair Field Engineers 1161</v>
      </c>
      <c r="D528" s="17">
        <v>605</v>
      </c>
      <c r="E528" s="13" t="s">
        <v>42</v>
      </c>
      <c r="F528" s="13"/>
      <c r="G528" s="28">
        <v>42738</v>
      </c>
      <c r="H528" s="28"/>
      <c r="I528" s="28"/>
      <c r="J528" s="26">
        <v>42738</v>
      </c>
      <c r="K528" s="26">
        <v>43467</v>
      </c>
      <c r="L528" s="32">
        <v>3</v>
      </c>
      <c r="M528" s="13" t="s">
        <v>2182</v>
      </c>
      <c r="N528" s="13"/>
      <c r="O528" s="19">
        <v>9811315740</v>
      </c>
      <c r="P528" s="2" t="s">
        <v>1812</v>
      </c>
      <c r="Q528" s="2" t="s">
        <v>4650</v>
      </c>
      <c r="R528" s="2"/>
      <c r="S528" s="2" t="s">
        <v>454</v>
      </c>
      <c r="T528" s="2">
        <v>121003</v>
      </c>
      <c r="U528" s="2" t="s">
        <v>429</v>
      </c>
      <c r="V528" s="2" t="s">
        <v>23</v>
      </c>
      <c r="W528" s="193">
        <v>1</v>
      </c>
      <c r="X528" s="2">
        <v>1</v>
      </c>
      <c r="Y528" s="2">
        <v>6</v>
      </c>
      <c r="Z528" s="2">
        <v>1</v>
      </c>
      <c r="AA528" s="193" t="s">
        <v>4118</v>
      </c>
      <c r="AB528" s="2"/>
    </row>
    <row r="529" spans="1:28" ht="15" customHeight="1">
      <c r="A529" s="16">
        <v>528</v>
      </c>
      <c r="B529" s="13" t="s">
        <v>2183</v>
      </c>
      <c r="C529" s="14" t="str">
        <f>_xlfn.CONCAT(B529&amp;" "&amp;W529&amp;X529&amp;Y529&amp;Z529)</f>
        <v>Vivid Tool Crafts 6021</v>
      </c>
      <c r="D529" s="17">
        <v>570</v>
      </c>
      <c r="E529" s="13" t="s">
        <v>90</v>
      </c>
      <c r="F529" s="13"/>
      <c r="G529" s="28">
        <v>42738</v>
      </c>
      <c r="H529" s="28"/>
      <c r="I529" s="28"/>
      <c r="J529" s="26">
        <v>42738</v>
      </c>
      <c r="K529" s="26">
        <v>43102</v>
      </c>
      <c r="L529" s="32">
        <v>3</v>
      </c>
      <c r="M529" s="13" t="s">
        <v>2184</v>
      </c>
      <c r="N529" s="13" t="s">
        <v>2175</v>
      </c>
      <c r="O529" s="19" t="s">
        <v>2185</v>
      </c>
      <c r="P529" s="2" t="s">
        <v>2186</v>
      </c>
      <c r="Q529" s="2" t="s">
        <v>4651</v>
      </c>
      <c r="R529" s="2" t="s">
        <v>56</v>
      </c>
      <c r="S529" s="2" t="s">
        <v>53</v>
      </c>
      <c r="T529" s="2">
        <v>500055</v>
      </c>
      <c r="U529" s="2" t="s">
        <v>1844</v>
      </c>
      <c r="V529" s="2" t="s">
        <v>23</v>
      </c>
      <c r="W529" s="193">
        <v>6</v>
      </c>
      <c r="X529" s="2">
        <v>0</v>
      </c>
      <c r="Y529" s="2">
        <v>2</v>
      </c>
      <c r="Z529" s="2">
        <v>1</v>
      </c>
      <c r="AA529" s="193" t="s">
        <v>4148</v>
      </c>
      <c r="AB529" s="2"/>
    </row>
    <row r="530" spans="1:28" ht="15" customHeight="1">
      <c r="A530" s="16">
        <v>529</v>
      </c>
      <c r="B530" s="13" t="s">
        <v>2187</v>
      </c>
      <c r="C530" s="14" t="str">
        <f>_xlfn.CONCAT(B530&amp;" "&amp;W530&amp;X530&amp;Y530&amp;Z530)</f>
        <v>The Suncad Training &amp; Designers 5011</v>
      </c>
      <c r="D530" s="17">
        <v>604</v>
      </c>
      <c r="E530" s="13" t="s">
        <v>42</v>
      </c>
      <c r="F530" s="13"/>
      <c r="G530" s="28">
        <v>42740</v>
      </c>
      <c r="H530" s="28"/>
      <c r="I530" s="28"/>
      <c r="J530" s="26">
        <v>45960</v>
      </c>
      <c r="K530" s="26">
        <v>46324</v>
      </c>
      <c r="L530" s="32">
        <v>3</v>
      </c>
      <c r="M530" s="13" t="s">
        <v>2188</v>
      </c>
      <c r="N530" s="13" t="s">
        <v>254</v>
      </c>
      <c r="O530" s="19">
        <v>9925023229</v>
      </c>
      <c r="P530" s="2" t="s">
        <v>2189</v>
      </c>
      <c r="Q530" s="2" t="s">
        <v>4652</v>
      </c>
      <c r="R530" s="2" t="s">
        <v>2190</v>
      </c>
      <c r="S530" s="2" t="s">
        <v>143</v>
      </c>
      <c r="T530" s="2">
        <v>380008</v>
      </c>
      <c r="U530" s="2" t="s">
        <v>144</v>
      </c>
      <c r="V530" s="2" t="s">
        <v>23</v>
      </c>
      <c r="W530" s="193">
        <v>5</v>
      </c>
      <c r="X530" s="2">
        <v>0</v>
      </c>
      <c r="Y530" s="2">
        <v>1</v>
      </c>
      <c r="Z530" s="2">
        <v>1</v>
      </c>
      <c r="AA530" s="193" t="s">
        <v>4118</v>
      </c>
      <c r="AB530" s="2"/>
    </row>
    <row r="531" spans="1:28" ht="15" customHeight="1">
      <c r="A531" s="16">
        <v>530</v>
      </c>
      <c r="B531" s="13" t="s">
        <v>2191</v>
      </c>
      <c r="C531" s="14" t="str">
        <f>_xlfn.CONCAT(B531&amp;" "&amp;W531&amp;X531&amp;Y531&amp;Z531)</f>
        <v>Schneider Electric India Pvt Ltd (Larsen &amp; Toubro Limited) (H106) 2431</v>
      </c>
      <c r="D531" s="36">
        <v>606</v>
      </c>
      <c r="E531" s="13" t="s">
        <v>42</v>
      </c>
      <c r="F531" s="13"/>
      <c r="G531" s="28">
        <v>42742</v>
      </c>
      <c r="H531" s="28"/>
      <c r="I531" s="28"/>
      <c r="J531" s="26"/>
      <c r="K531" s="26"/>
      <c r="L531" s="32">
        <v>3</v>
      </c>
      <c r="M531" s="13" t="s">
        <v>2192</v>
      </c>
      <c r="N531" s="13"/>
      <c r="O531" s="19" t="s">
        <v>2193</v>
      </c>
      <c r="P531" s="2" t="s">
        <v>1471</v>
      </c>
      <c r="Q531" s="2" t="s">
        <v>4653</v>
      </c>
      <c r="R531" s="2" t="s">
        <v>501</v>
      </c>
      <c r="S531" s="2" t="s">
        <v>1421</v>
      </c>
      <c r="T531" s="2">
        <v>414111</v>
      </c>
      <c r="U531" s="2" t="s">
        <v>172</v>
      </c>
      <c r="V531" s="2" t="s">
        <v>23</v>
      </c>
      <c r="W531" s="193">
        <v>2</v>
      </c>
      <c r="X531" s="2">
        <v>4</v>
      </c>
      <c r="Y531" s="2">
        <v>3</v>
      </c>
      <c r="Z531" s="2">
        <v>1</v>
      </c>
      <c r="AA531" s="193" t="s">
        <v>4151</v>
      </c>
      <c r="AB531" s="2"/>
    </row>
    <row r="532" spans="1:28" ht="15" customHeight="1">
      <c r="A532" s="16">
        <v>531</v>
      </c>
      <c r="B532" s="13" t="s">
        <v>2194</v>
      </c>
      <c r="C532" s="14" t="str">
        <f>_xlfn.CONCAT(B532&amp;" "&amp;W532&amp;X532&amp;Y532&amp;Z532)</f>
        <v>Mudra Engineers 5011</v>
      </c>
      <c r="D532" s="17">
        <v>571</v>
      </c>
      <c r="E532" s="13" t="s">
        <v>90</v>
      </c>
      <c r="F532" s="13"/>
      <c r="G532" s="28">
        <v>42759</v>
      </c>
      <c r="H532" s="28"/>
      <c r="I532" s="28"/>
      <c r="J532" s="26">
        <v>43901</v>
      </c>
      <c r="K532" s="26">
        <v>44265</v>
      </c>
      <c r="L532" s="32">
        <v>3</v>
      </c>
      <c r="M532" s="13" t="s">
        <v>2195</v>
      </c>
      <c r="N532" s="13"/>
      <c r="O532" s="19">
        <v>9426222940</v>
      </c>
      <c r="P532" s="2" t="s">
        <v>375</v>
      </c>
      <c r="Q532" s="2" t="s">
        <v>4654</v>
      </c>
      <c r="R532" s="2" t="s">
        <v>2197</v>
      </c>
      <c r="S532" s="2" t="s">
        <v>2198</v>
      </c>
      <c r="T532" s="2">
        <v>363035</v>
      </c>
      <c r="U532" s="2" t="s">
        <v>144</v>
      </c>
      <c r="V532" s="2" t="s">
        <v>23</v>
      </c>
      <c r="W532" s="193">
        <v>5</v>
      </c>
      <c r="X532" s="2">
        <v>0</v>
      </c>
      <c r="Y532" s="2">
        <v>1</v>
      </c>
      <c r="Z532" s="2">
        <v>1</v>
      </c>
      <c r="AA532" s="193" t="s">
        <v>4118</v>
      </c>
      <c r="AB532" s="2"/>
    </row>
    <row r="533" spans="1:28" ht="15" customHeight="1">
      <c r="A533" s="16">
        <v>532</v>
      </c>
      <c r="B533" s="13" t="s">
        <v>2199</v>
      </c>
      <c r="C533" s="14" t="str">
        <f>_xlfn.CONCAT(B533&amp;" "&amp;W533&amp;X533&amp;Y533&amp;Z533)</f>
        <v>SEKISUI DLJM Molding Pvt Ltd 1152</v>
      </c>
      <c r="D533" s="17">
        <v>573</v>
      </c>
      <c r="E533" s="13" t="s">
        <v>90</v>
      </c>
      <c r="F533" s="13"/>
      <c r="G533" s="28">
        <v>42764</v>
      </c>
      <c r="H533" s="28"/>
      <c r="I533" s="28"/>
      <c r="J533" s="26">
        <v>44488</v>
      </c>
      <c r="K533" s="26">
        <v>44852</v>
      </c>
      <c r="L533" s="32">
        <v>3</v>
      </c>
      <c r="M533" s="13" t="s">
        <v>2200</v>
      </c>
      <c r="N533" s="13"/>
      <c r="O533" s="19">
        <v>9999988219</v>
      </c>
      <c r="P533" s="2"/>
      <c r="Q533" s="2" t="s">
        <v>4655</v>
      </c>
      <c r="R533" s="2"/>
      <c r="S533" s="2" t="s">
        <v>2201</v>
      </c>
      <c r="T533" s="2">
        <v>201308</v>
      </c>
      <c r="U533" s="2" t="s">
        <v>184</v>
      </c>
      <c r="V533" s="2" t="s">
        <v>23</v>
      </c>
      <c r="W533" s="193">
        <v>1</v>
      </c>
      <c r="X533" s="2">
        <v>1</v>
      </c>
      <c r="Y533" s="2">
        <v>5</v>
      </c>
      <c r="Z533" s="2">
        <v>2</v>
      </c>
      <c r="AA533" s="193" t="s">
        <v>4118</v>
      </c>
      <c r="AB533" s="2"/>
    </row>
    <row r="534" spans="1:28" ht="15" customHeight="1">
      <c r="A534" s="16">
        <v>533</v>
      </c>
      <c r="B534" s="13" t="s">
        <v>2203</v>
      </c>
      <c r="C534" s="14" t="str">
        <f>_xlfn.CONCAT(B534&amp;" "&amp;W534&amp;X534&amp;Y534&amp;Z534)</f>
        <v>Precision Technoplast Pvt Ltd 5011</v>
      </c>
      <c r="D534" s="17">
        <v>563</v>
      </c>
      <c r="E534" s="13" t="s">
        <v>90</v>
      </c>
      <c r="F534" s="13"/>
      <c r="G534" s="28">
        <v>42767</v>
      </c>
      <c r="H534" s="28"/>
      <c r="I534" s="28"/>
      <c r="J534" s="26">
        <v>45869</v>
      </c>
      <c r="K534" s="26">
        <v>46233</v>
      </c>
      <c r="L534" s="32">
        <v>3</v>
      </c>
      <c r="M534" s="13" t="s">
        <v>2204</v>
      </c>
      <c r="N534" s="13"/>
      <c r="O534" s="19">
        <v>9327501122</v>
      </c>
      <c r="P534" s="2" t="s">
        <v>2205</v>
      </c>
      <c r="Q534" s="2" t="s">
        <v>4656</v>
      </c>
      <c r="R534" s="2" t="s">
        <v>2206</v>
      </c>
      <c r="S534" s="2" t="s">
        <v>143</v>
      </c>
      <c r="T534" s="2">
        <v>382021</v>
      </c>
      <c r="U534" s="2" t="s">
        <v>144</v>
      </c>
      <c r="V534" s="2" t="s">
        <v>23</v>
      </c>
      <c r="W534" s="193">
        <v>5</v>
      </c>
      <c r="X534" s="2">
        <v>0</v>
      </c>
      <c r="Y534" s="2">
        <v>1</v>
      </c>
      <c r="Z534" s="2">
        <v>1</v>
      </c>
      <c r="AA534" s="193" t="s">
        <v>4118</v>
      </c>
      <c r="AB534" s="2"/>
    </row>
    <row r="535" spans="1:28" ht="15" customHeight="1">
      <c r="A535" s="16">
        <v>534</v>
      </c>
      <c r="B535" s="13" t="s">
        <v>2207</v>
      </c>
      <c r="C535" s="14" t="str">
        <f>_xlfn.CONCAT(B535&amp;" "&amp;W535&amp;X535&amp;Y535&amp;Z535)</f>
        <v>Maini Precision Products (P) Ltd. 8012</v>
      </c>
      <c r="D535" s="17">
        <v>603</v>
      </c>
      <c r="E535" s="13" t="s">
        <v>42</v>
      </c>
      <c r="F535" s="13"/>
      <c r="G535" s="28">
        <v>42775</v>
      </c>
      <c r="H535" s="28"/>
      <c r="I535" s="28"/>
      <c r="J535" s="26">
        <v>44371</v>
      </c>
      <c r="K535" s="26">
        <v>44735</v>
      </c>
      <c r="L535" s="32">
        <v>3</v>
      </c>
      <c r="M535" s="13" t="s">
        <v>2208</v>
      </c>
      <c r="N535" s="13"/>
      <c r="O535" s="19" t="s">
        <v>1907</v>
      </c>
      <c r="P535" s="2"/>
      <c r="Q535" s="2" t="s">
        <v>4657</v>
      </c>
      <c r="R535" s="2"/>
      <c r="S535" s="2" t="s">
        <v>21</v>
      </c>
      <c r="T535" s="2">
        <v>560099</v>
      </c>
      <c r="U535" s="2" t="s">
        <v>22</v>
      </c>
      <c r="V535" s="2" t="s">
        <v>23</v>
      </c>
      <c r="W535" s="193">
        <v>8</v>
      </c>
      <c r="X535" s="2">
        <v>0</v>
      </c>
      <c r="Y535" s="2">
        <v>1</v>
      </c>
      <c r="Z535" s="2">
        <v>2</v>
      </c>
      <c r="AA535" s="193" t="s">
        <v>4118</v>
      </c>
      <c r="AB535" s="2"/>
    </row>
    <row r="536" spans="1:28" ht="15" customHeight="1">
      <c r="A536" s="16">
        <v>535</v>
      </c>
      <c r="B536" s="13" t="s">
        <v>2210</v>
      </c>
      <c r="C536" s="14" t="str">
        <f>_xlfn.CONCAT(B536&amp;" "&amp;W536&amp;X536&amp;Y536&amp;Z536)</f>
        <v>ABB Power products &amp; Systems India Ltd (ABB India Limited) 8051</v>
      </c>
      <c r="D536" s="17">
        <v>610</v>
      </c>
      <c r="E536" s="13" t="s">
        <v>42</v>
      </c>
      <c r="F536" s="13"/>
      <c r="G536" s="28">
        <v>42779</v>
      </c>
      <c r="H536" s="28"/>
      <c r="I536" s="28"/>
      <c r="J536" s="26">
        <v>44440</v>
      </c>
      <c r="K536" s="26">
        <v>44804</v>
      </c>
      <c r="L536" s="32">
        <v>3</v>
      </c>
      <c r="M536" s="13" t="s">
        <v>2211</v>
      </c>
      <c r="N536" s="13" t="s">
        <v>2212</v>
      </c>
      <c r="O536" s="19" t="s">
        <v>2213</v>
      </c>
      <c r="P536" s="2" t="s">
        <v>2215</v>
      </c>
      <c r="Q536" s="2" t="s">
        <v>4658</v>
      </c>
      <c r="R536" s="2"/>
      <c r="S536" s="2" t="s">
        <v>21</v>
      </c>
      <c r="T536" s="2">
        <v>560058</v>
      </c>
      <c r="U536" s="2" t="s">
        <v>22</v>
      </c>
      <c r="V536" s="2" t="s">
        <v>23</v>
      </c>
      <c r="W536" s="193">
        <v>8</v>
      </c>
      <c r="X536" s="2">
        <v>0</v>
      </c>
      <c r="Y536" s="2">
        <v>5</v>
      </c>
      <c r="Z536" s="2">
        <v>1</v>
      </c>
      <c r="AA536" s="193" t="s">
        <v>4118</v>
      </c>
      <c r="AB536" s="2"/>
    </row>
    <row r="537" spans="1:28" ht="15" customHeight="1">
      <c r="A537" s="16">
        <v>536</v>
      </c>
      <c r="B537" s="13" t="s">
        <v>2216</v>
      </c>
      <c r="C537" s="14" t="str">
        <f>_xlfn.CONCAT(B537&amp;" "&amp;W537&amp;X537&amp;Y537&amp;Z537)</f>
        <v>CIM Tools Pvt Ltd 8051</v>
      </c>
      <c r="D537" s="17">
        <v>622</v>
      </c>
      <c r="E537" s="13" t="s">
        <v>90</v>
      </c>
      <c r="F537" s="13"/>
      <c r="G537" s="28">
        <v>42779</v>
      </c>
      <c r="H537" s="28"/>
      <c r="I537" s="28"/>
      <c r="J537" s="26">
        <v>44383</v>
      </c>
      <c r="K537" s="26">
        <v>44747</v>
      </c>
      <c r="L537" s="32">
        <v>3</v>
      </c>
      <c r="M537" s="13"/>
      <c r="N537" s="13"/>
      <c r="O537" s="19"/>
      <c r="P537" s="2"/>
      <c r="Q537" s="2" t="s">
        <v>3838</v>
      </c>
      <c r="R537" s="2" t="s">
        <v>31</v>
      </c>
      <c r="S537" s="2" t="s">
        <v>21</v>
      </c>
      <c r="T537" s="2">
        <v>560058</v>
      </c>
      <c r="U537" s="2" t="s">
        <v>22</v>
      </c>
      <c r="V537" s="2" t="s">
        <v>23</v>
      </c>
      <c r="W537" s="193">
        <v>8</v>
      </c>
      <c r="X537" s="2">
        <v>0</v>
      </c>
      <c r="Y537" s="2">
        <v>5</v>
      </c>
      <c r="Z537" s="2">
        <v>1</v>
      </c>
      <c r="AA537" s="193" t="s">
        <v>4118</v>
      </c>
      <c r="AB537" s="2"/>
    </row>
    <row r="538" spans="1:28" ht="15" customHeight="1">
      <c r="A538" s="16">
        <v>537</v>
      </c>
      <c r="B538" s="13" t="s">
        <v>2216</v>
      </c>
      <c r="C538" s="14" t="str">
        <f>_xlfn.CONCAT(B538&amp;" "&amp;W538&amp;X538&amp;Y538&amp;Z538)</f>
        <v>CIM Tools Pvt Ltd 8071</v>
      </c>
      <c r="D538" s="17">
        <v>568</v>
      </c>
      <c r="E538" s="13" t="s">
        <v>90</v>
      </c>
      <c r="F538" s="13"/>
      <c r="G538" s="28">
        <v>42779</v>
      </c>
      <c r="H538" s="28"/>
      <c r="I538" s="28"/>
      <c r="J538" s="26">
        <v>44232</v>
      </c>
      <c r="K538" s="26">
        <v>44596</v>
      </c>
      <c r="L538" s="32">
        <v>3</v>
      </c>
      <c r="M538" s="13" t="s">
        <v>2217</v>
      </c>
      <c r="N538" s="13"/>
      <c r="O538" s="19"/>
      <c r="P538" s="2" t="s">
        <v>2218</v>
      </c>
      <c r="Q538" s="2" t="s">
        <v>4659</v>
      </c>
      <c r="R538" s="2" t="s">
        <v>2219</v>
      </c>
      <c r="S538" s="2" t="s">
        <v>21</v>
      </c>
      <c r="T538" s="2">
        <v>562110</v>
      </c>
      <c r="U538" s="2" t="s">
        <v>22</v>
      </c>
      <c r="V538" s="2" t="s">
        <v>23</v>
      </c>
      <c r="W538" s="193">
        <v>8</v>
      </c>
      <c r="X538" s="2">
        <v>0</v>
      </c>
      <c r="Y538" s="2">
        <v>7</v>
      </c>
      <c r="Z538" s="2">
        <v>1</v>
      </c>
      <c r="AA538" s="193" t="s">
        <v>4118</v>
      </c>
      <c r="AB538" s="2"/>
    </row>
    <row r="539" spans="1:28" ht="15" customHeight="1">
      <c r="A539" s="16">
        <v>538</v>
      </c>
      <c r="B539" s="13" t="s">
        <v>2220</v>
      </c>
      <c r="C539" s="14" t="str">
        <f>_xlfn.CONCAT(B539&amp;" "&amp;W539&amp;X539&amp;Y539&amp;Z539)</f>
        <v>Dong Ah Electric India Pvt Ltd (Candid Micron) 4161</v>
      </c>
      <c r="D539" s="17">
        <v>572</v>
      </c>
      <c r="E539" s="13" t="s">
        <v>90</v>
      </c>
      <c r="F539" s="13"/>
      <c r="G539" s="28">
        <v>42780</v>
      </c>
      <c r="H539" s="28"/>
      <c r="I539" s="28"/>
      <c r="J539" s="26">
        <v>44258</v>
      </c>
      <c r="K539" s="26">
        <v>44622</v>
      </c>
      <c r="L539" s="32">
        <v>3</v>
      </c>
      <c r="M539" s="13" t="s">
        <v>2221</v>
      </c>
      <c r="N539" s="13" t="s">
        <v>2175</v>
      </c>
      <c r="O539" s="19">
        <v>9786686611</v>
      </c>
      <c r="P539" s="2" t="s">
        <v>2223</v>
      </c>
      <c r="Q539" s="2" t="s">
        <v>4660</v>
      </c>
      <c r="R539" s="2"/>
      <c r="S539" s="2" t="s">
        <v>101</v>
      </c>
      <c r="T539" s="2">
        <v>641006</v>
      </c>
      <c r="U539" s="2" t="s">
        <v>2224</v>
      </c>
      <c r="V539" s="2" t="s">
        <v>23</v>
      </c>
      <c r="W539" s="193">
        <v>4</v>
      </c>
      <c r="X539" s="2">
        <v>1</v>
      </c>
      <c r="Y539" s="2">
        <v>6</v>
      </c>
      <c r="Z539" s="2">
        <v>1</v>
      </c>
      <c r="AA539" s="193" t="s">
        <v>4148</v>
      </c>
      <c r="AB539" s="2"/>
    </row>
    <row r="540" spans="1:28" ht="15" customHeight="1">
      <c r="A540" s="16">
        <v>539</v>
      </c>
      <c r="B540" s="13" t="s">
        <v>2225</v>
      </c>
      <c r="C540" s="14" t="str">
        <f>_xlfn.CONCAT(B540&amp;" "&amp;W540&amp;X540&amp;Y540&amp;Z540)</f>
        <v>Concord United Products Pvt Ltd 8051</v>
      </c>
      <c r="D540" s="17">
        <v>614</v>
      </c>
      <c r="E540" s="13" t="s">
        <v>42</v>
      </c>
      <c r="F540" s="13"/>
      <c r="G540" s="28">
        <v>42788</v>
      </c>
      <c r="H540" s="28"/>
      <c r="I540" s="28"/>
      <c r="J540" s="26">
        <v>42788</v>
      </c>
      <c r="K540" s="26">
        <v>43152</v>
      </c>
      <c r="L540" s="32">
        <v>3</v>
      </c>
      <c r="M540" s="13" t="s">
        <v>2226</v>
      </c>
      <c r="N540" s="13" t="s">
        <v>2175</v>
      </c>
      <c r="O540" s="19" t="s">
        <v>2227</v>
      </c>
      <c r="P540" s="2" t="s">
        <v>2228</v>
      </c>
      <c r="Q540" s="2" t="s">
        <v>4661</v>
      </c>
      <c r="R540" s="2" t="s">
        <v>2229</v>
      </c>
      <c r="S540" s="2" t="s">
        <v>21</v>
      </c>
      <c r="T540" s="2">
        <v>560058</v>
      </c>
      <c r="U540" s="2" t="s">
        <v>22</v>
      </c>
      <c r="V540" s="2" t="s">
        <v>23</v>
      </c>
      <c r="W540" s="193">
        <v>8</v>
      </c>
      <c r="X540" s="2">
        <v>0</v>
      </c>
      <c r="Y540" s="2">
        <v>5</v>
      </c>
      <c r="Z540" s="2">
        <v>1</v>
      </c>
      <c r="AA540" s="193" t="s">
        <v>4118</v>
      </c>
      <c r="AB540" s="2"/>
    </row>
    <row r="541" spans="1:28" ht="15" customHeight="1">
      <c r="A541" s="16">
        <v>540</v>
      </c>
      <c r="B541" s="13" t="s">
        <v>2230</v>
      </c>
      <c r="C541" s="14" t="str">
        <f>_xlfn.CONCAT(B541&amp;" "&amp;W541&amp;X541&amp;Y541&amp;Z541)</f>
        <v>Brakes India Pvt Ltd 5131</v>
      </c>
      <c r="D541" s="17">
        <v>624</v>
      </c>
      <c r="E541" s="13" t="s">
        <v>90</v>
      </c>
      <c r="F541" s="13"/>
      <c r="G541" s="28">
        <v>42789</v>
      </c>
      <c r="H541" s="28"/>
      <c r="I541" s="28"/>
      <c r="J541" s="26">
        <v>44632</v>
      </c>
      <c r="K541" s="26">
        <v>44996</v>
      </c>
      <c r="L541" s="32">
        <v>3</v>
      </c>
      <c r="M541" s="13" t="s">
        <v>2231</v>
      </c>
      <c r="N541" s="13"/>
      <c r="O541" s="19" t="s">
        <v>2232</v>
      </c>
      <c r="P541" s="2" t="s">
        <v>2233</v>
      </c>
      <c r="Q541" s="2" t="s">
        <v>4662</v>
      </c>
      <c r="R541" s="2" t="s">
        <v>2234</v>
      </c>
      <c r="S541" s="2" t="s">
        <v>2235</v>
      </c>
      <c r="T541" s="2">
        <v>393110</v>
      </c>
      <c r="U541" s="2" t="s">
        <v>144</v>
      </c>
      <c r="V541" s="2" t="s">
        <v>23</v>
      </c>
      <c r="W541" s="193">
        <v>5</v>
      </c>
      <c r="X541" s="2">
        <v>1</v>
      </c>
      <c r="Y541" s="2">
        <v>3</v>
      </c>
      <c r="Z541" s="2">
        <v>1</v>
      </c>
      <c r="AA541" s="193" t="s">
        <v>4118</v>
      </c>
      <c r="AB541" s="2"/>
    </row>
    <row r="542" spans="1:28" ht="15" customHeight="1">
      <c r="A542" s="16">
        <v>541</v>
      </c>
      <c r="B542" s="13" t="s">
        <v>2236</v>
      </c>
      <c r="C542" s="14" t="str">
        <f>_xlfn.CONCAT(B542&amp;" "&amp;W542&amp;X542&amp;Y542&amp;Z542)</f>
        <v>Shoma Automation Pvt Ltd (Akuva Infotech Pvt Ltd) 8051</v>
      </c>
      <c r="D542" s="17">
        <v>532</v>
      </c>
      <c r="E542" s="13" t="s">
        <v>90</v>
      </c>
      <c r="F542" s="13"/>
      <c r="G542" s="28">
        <v>42796</v>
      </c>
      <c r="H542" s="28"/>
      <c r="I542" s="28"/>
      <c r="J542" s="26">
        <v>42796</v>
      </c>
      <c r="K542" s="26">
        <v>43160</v>
      </c>
      <c r="L542" s="32">
        <v>3</v>
      </c>
      <c r="M542" s="13" t="s">
        <v>2237</v>
      </c>
      <c r="N542" s="13"/>
      <c r="O542" s="19">
        <v>9740651048</v>
      </c>
      <c r="P542" s="2" t="s">
        <v>2238</v>
      </c>
      <c r="Q542" s="2" t="s">
        <v>4663</v>
      </c>
      <c r="R542" s="2" t="s">
        <v>2229</v>
      </c>
      <c r="S542" s="2" t="s">
        <v>21</v>
      </c>
      <c r="T542" s="2">
        <v>560058</v>
      </c>
      <c r="U542" s="2" t="s">
        <v>22</v>
      </c>
      <c r="V542" s="2" t="s">
        <v>23</v>
      </c>
      <c r="W542" s="193">
        <v>8</v>
      </c>
      <c r="X542" s="2">
        <v>0</v>
      </c>
      <c r="Y542" s="2">
        <v>5</v>
      </c>
      <c r="Z542" s="2">
        <v>1</v>
      </c>
      <c r="AA542" s="193" t="s">
        <v>4118</v>
      </c>
      <c r="AB542" s="2"/>
    </row>
    <row r="543" spans="1:28" ht="15" customHeight="1">
      <c r="A543" s="16">
        <v>542</v>
      </c>
      <c r="B543" s="13" t="s">
        <v>2239</v>
      </c>
      <c r="C543" s="14" t="str">
        <f>_xlfn.CONCAT(B543&amp;" "&amp;W543&amp;X543&amp;Y543&amp;Z543)</f>
        <v>Yeko Enterprises Pvt Ltd (Achutha Engg Pvt Ltd) 8013</v>
      </c>
      <c r="D543" s="17">
        <v>613</v>
      </c>
      <c r="E543" s="13" t="s">
        <v>42</v>
      </c>
      <c r="F543" s="13"/>
      <c r="G543" s="28">
        <v>42796</v>
      </c>
      <c r="H543" s="28"/>
      <c r="I543" s="28"/>
      <c r="J543" s="26">
        <v>44365</v>
      </c>
      <c r="K543" s="26">
        <v>44729</v>
      </c>
      <c r="L543" s="32">
        <v>3</v>
      </c>
      <c r="M543" s="13" t="s">
        <v>2240</v>
      </c>
      <c r="N543" s="13" t="s">
        <v>2175</v>
      </c>
      <c r="O543" s="19">
        <v>9442282892</v>
      </c>
      <c r="P543" s="2"/>
      <c r="Q543" s="2" t="s">
        <v>4664</v>
      </c>
      <c r="R543" s="2"/>
      <c r="S543" s="2" t="s">
        <v>121</v>
      </c>
      <c r="T543" s="2">
        <v>635126</v>
      </c>
      <c r="U543" s="2" t="s">
        <v>38</v>
      </c>
      <c r="V543" s="2" t="s">
        <v>23</v>
      </c>
      <c r="W543" s="193">
        <v>8</v>
      </c>
      <c r="X543" s="2">
        <v>0</v>
      </c>
      <c r="Y543" s="2">
        <v>1</v>
      </c>
      <c r="Z543" s="2">
        <v>3</v>
      </c>
      <c r="AA543" s="193" t="s">
        <v>4118</v>
      </c>
      <c r="AB543" s="2"/>
    </row>
    <row r="544" spans="1:28" ht="15" customHeight="1">
      <c r="A544" s="16">
        <v>543</v>
      </c>
      <c r="B544" s="13" t="s">
        <v>2242</v>
      </c>
      <c r="C544" s="14" t="str">
        <f>_xlfn.CONCAT(B544&amp;" "&amp;W544&amp;X544&amp;Y544&amp;Z544)</f>
        <v>Kawasaki Manufacturing (I) Pvt Ltd (Arma Engg Pvt Ltd) 8022</v>
      </c>
      <c r="D544" s="17">
        <v>612</v>
      </c>
      <c r="E544" s="13" t="s">
        <v>42</v>
      </c>
      <c r="F544" s="13"/>
      <c r="G544" s="28">
        <v>42801</v>
      </c>
      <c r="H544" s="28"/>
      <c r="I544" s="28"/>
      <c r="J544" s="26">
        <v>43991</v>
      </c>
      <c r="K544" s="26">
        <v>44355</v>
      </c>
      <c r="L544" s="32">
        <v>3</v>
      </c>
      <c r="M544" s="13" t="s">
        <v>2243</v>
      </c>
      <c r="N544" s="13" t="s">
        <v>2244</v>
      </c>
      <c r="O544" s="19" t="s">
        <v>2245</v>
      </c>
      <c r="P544" s="2" t="s">
        <v>2214</v>
      </c>
      <c r="Q544" s="2" t="s">
        <v>4665</v>
      </c>
      <c r="R544" s="2" t="s">
        <v>2247</v>
      </c>
      <c r="S544" s="2" t="s">
        <v>21</v>
      </c>
      <c r="T544" s="2">
        <v>562112</v>
      </c>
      <c r="U544" s="2" t="s">
        <v>22</v>
      </c>
      <c r="V544" s="2" t="s">
        <v>23</v>
      </c>
      <c r="W544" s="193">
        <v>8</v>
      </c>
      <c r="X544" s="2">
        <v>0</v>
      </c>
      <c r="Y544" s="2">
        <v>2</v>
      </c>
      <c r="Z544" s="2">
        <v>2</v>
      </c>
      <c r="AA544" s="193" t="s">
        <v>4118</v>
      </c>
      <c r="AB544" s="2"/>
    </row>
    <row r="545" spans="1:28" ht="15" customHeight="1">
      <c r="A545" s="16">
        <v>544</v>
      </c>
      <c r="B545" s="13" t="s">
        <v>2248</v>
      </c>
      <c r="C545" s="14" t="str">
        <f>_xlfn.CONCAT(B545&amp;" "&amp;W545&amp;X545&amp;Y545&amp;Z545)</f>
        <v>RR Enterprises  2222</v>
      </c>
      <c r="D545" s="17">
        <v>611</v>
      </c>
      <c r="E545" s="13" t="s">
        <v>42</v>
      </c>
      <c r="F545" s="13"/>
      <c r="G545" s="28">
        <v>42805</v>
      </c>
      <c r="H545" s="28"/>
      <c r="I545" s="28"/>
      <c r="J545" s="26">
        <v>44256</v>
      </c>
      <c r="K545" s="26">
        <v>44620</v>
      </c>
      <c r="L545" s="32">
        <v>3</v>
      </c>
      <c r="M545" s="13" t="s">
        <v>2249</v>
      </c>
      <c r="N545" s="13"/>
      <c r="O545" s="19" t="s">
        <v>2250</v>
      </c>
      <c r="P545" s="2" t="s">
        <v>2251</v>
      </c>
      <c r="Q545" s="2" t="s">
        <v>4666</v>
      </c>
      <c r="R545" s="2" t="s">
        <v>2252</v>
      </c>
      <c r="S545" s="2" t="s">
        <v>177</v>
      </c>
      <c r="T545" s="2">
        <v>421003</v>
      </c>
      <c r="U545" s="2" t="s">
        <v>172</v>
      </c>
      <c r="V545" s="2" t="s">
        <v>23</v>
      </c>
      <c r="W545" s="193">
        <v>2</v>
      </c>
      <c r="X545" s="2">
        <v>2</v>
      </c>
      <c r="Y545" s="2">
        <v>2</v>
      </c>
      <c r="Z545" s="2">
        <v>2</v>
      </c>
      <c r="AA545" s="193" t="s">
        <v>4118</v>
      </c>
      <c r="AB545" s="2"/>
    </row>
    <row r="546" spans="1:28" ht="15" customHeight="1">
      <c r="A546" s="16">
        <v>545</v>
      </c>
      <c r="B546" s="13" t="s">
        <v>2253</v>
      </c>
      <c r="C546" s="14" t="str">
        <f>_xlfn.CONCAT(B546&amp;" "&amp;W546&amp;X546&amp;Y546&amp;Z546)</f>
        <v>HPL Electric &amp; Power Ltd 1313</v>
      </c>
      <c r="D546" s="17">
        <v>615</v>
      </c>
      <c r="E546" s="13" t="s">
        <v>42</v>
      </c>
      <c r="F546" s="13"/>
      <c r="G546" s="28">
        <v>42809</v>
      </c>
      <c r="H546" s="28"/>
      <c r="I546" s="28"/>
      <c r="J546" s="26">
        <v>45895</v>
      </c>
      <c r="K546" s="26">
        <v>46259</v>
      </c>
      <c r="L546" s="32">
        <v>3</v>
      </c>
      <c r="M546" s="13" t="s">
        <v>2254</v>
      </c>
      <c r="N546" s="13"/>
      <c r="O546" s="19">
        <v>9678085866</v>
      </c>
      <c r="P546" s="2" t="s">
        <v>2255</v>
      </c>
      <c r="Q546" s="2" t="s">
        <v>4667</v>
      </c>
      <c r="R546" s="2" t="s">
        <v>2256</v>
      </c>
      <c r="S546" s="2" t="s">
        <v>2257</v>
      </c>
      <c r="T546" s="2">
        <v>781033</v>
      </c>
      <c r="U546" s="2" t="s">
        <v>336</v>
      </c>
      <c r="V546" s="2" t="s">
        <v>23</v>
      </c>
      <c r="W546" s="193">
        <v>1</v>
      </c>
      <c r="X546" s="2">
        <v>3</v>
      </c>
      <c r="Y546" s="2">
        <v>1</v>
      </c>
      <c r="Z546" s="2">
        <v>3</v>
      </c>
      <c r="AA546" s="193" t="s">
        <v>4118</v>
      </c>
      <c r="AB546" s="2"/>
    </row>
    <row r="547" spans="1:28" ht="15" customHeight="1">
      <c r="A547" s="16">
        <v>546</v>
      </c>
      <c r="B547" s="13" t="s">
        <v>2258</v>
      </c>
      <c r="C547" s="14" t="str">
        <f>_xlfn.CONCAT(B547&amp;" "&amp;W547&amp;X547&amp;Y547&amp;Z547)</f>
        <v>Toyota Boshoku Automotive India (P) Ltd 8013</v>
      </c>
      <c r="D547" s="17">
        <v>625</v>
      </c>
      <c r="E547" s="13" t="s">
        <v>2082</v>
      </c>
      <c r="F547" s="13"/>
      <c r="G547" s="28">
        <v>42809</v>
      </c>
      <c r="H547" s="28"/>
      <c r="I547" s="28"/>
      <c r="J547" s="26">
        <v>44524</v>
      </c>
      <c r="K547" s="26">
        <v>44888</v>
      </c>
      <c r="L547" s="32">
        <v>3</v>
      </c>
      <c r="M547" s="13" t="s">
        <v>2259</v>
      </c>
      <c r="N547" s="13" t="s">
        <v>2260</v>
      </c>
      <c r="O547" s="19" t="s">
        <v>2261</v>
      </c>
      <c r="P547" s="2" t="s">
        <v>2262</v>
      </c>
      <c r="Q547" s="2" t="s">
        <v>4668</v>
      </c>
      <c r="R547" s="2" t="s">
        <v>2263</v>
      </c>
      <c r="S547" s="2" t="s">
        <v>2264</v>
      </c>
      <c r="T547" s="2">
        <v>635117</v>
      </c>
      <c r="U547" s="2" t="s">
        <v>38</v>
      </c>
      <c r="V547" s="2" t="s">
        <v>23</v>
      </c>
      <c r="W547" s="193">
        <v>8</v>
      </c>
      <c r="X547" s="2">
        <v>0</v>
      </c>
      <c r="Y547" s="2">
        <v>1</v>
      </c>
      <c r="Z547" s="2">
        <v>3</v>
      </c>
      <c r="AA547" s="193" t="s">
        <v>4118</v>
      </c>
      <c r="AB547" s="2"/>
    </row>
    <row r="548" spans="1:28" ht="15" customHeight="1">
      <c r="A548" s="16">
        <v>547</v>
      </c>
      <c r="B548" s="13" t="s">
        <v>2265</v>
      </c>
      <c r="C548" s="14" t="str">
        <f>_xlfn.CONCAT(B548&amp;" "&amp;W548&amp;X548&amp;Y548&amp;Z548)</f>
        <v>Motherson Sumi System Limited 8032</v>
      </c>
      <c r="D548" s="17">
        <v>608</v>
      </c>
      <c r="E548" s="13" t="s">
        <v>42</v>
      </c>
      <c r="F548" s="13"/>
      <c r="G548" s="28">
        <v>42811</v>
      </c>
      <c r="H548" s="28"/>
      <c r="I548" s="28"/>
      <c r="J548" s="26">
        <v>42811</v>
      </c>
      <c r="K548" s="26">
        <v>43175</v>
      </c>
      <c r="L548" s="32">
        <v>3</v>
      </c>
      <c r="M548" s="13" t="s">
        <v>2266</v>
      </c>
      <c r="N548" s="13"/>
      <c r="O548" s="19"/>
      <c r="P548" s="2" t="s">
        <v>2268</v>
      </c>
      <c r="Q548" s="2" t="s">
        <v>4669</v>
      </c>
      <c r="R548" s="2" t="s">
        <v>2269</v>
      </c>
      <c r="S548" s="2" t="s">
        <v>21</v>
      </c>
      <c r="T548" s="2">
        <v>560074</v>
      </c>
      <c r="U548" s="2" t="s">
        <v>22</v>
      </c>
      <c r="V548" s="2" t="s">
        <v>23</v>
      </c>
      <c r="W548" s="193">
        <v>8</v>
      </c>
      <c r="X548" s="2">
        <v>0</v>
      </c>
      <c r="Y548" s="2">
        <v>3</v>
      </c>
      <c r="Z548" s="2">
        <v>2</v>
      </c>
      <c r="AA548" s="193" t="s">
        <v>4118</v>
      </c>
      <c r="AB548" s="2"/>
    </row>
    <row r="549" spans="1:28" ht="15" customHeight="1">
      <c r="A549" s="16">
        <v>548</v>
      </c>
      <c r="B549" s="13" t="s">
        <v>2270</v>
      </c>
      <c r="C549" s="14" t="str">
        <f>_xlfn.CONCAT(B549&amp;" "&amp;W549&amp;X549&amp;Y549&amp;Z549)</f>
        <v>Roots Industries (Candid Micron) 4161</v>
      </c>
      <c r="D549" s="17">
        <v>626</v>
      </c>
      <c r="E549" s="13" t="s">
        <v>90</v>
      </c>
      <c r="F549" s="13"/>
      <c r="G549" s="28">
        <v>42817</v>
      </c>
      <c r="H549" s="28"/>
      <c r="I549" s="28"/>
      <c r="J549" s="26">
        <v>42817</v>
      </c>
      <c r="K549" s="26">
        <v>43181</v>
      </c>
      <c r="L549" s="32">
        <v>3</v>
      </c>
      <c r="M549" s="13" t="s">
        <v>2221</v>
      </c>
      <c r="N549" s="13">
        <v>9786686611</v>
      </c>
      <c r="O549" s="19" t="s">
        <v>2222</v>
      </c>
      <c r="P549" s="2"/>
      <c r="Q549" s="2" t="s">
        <v>4670</v>
      </c>
      <c r="R549" s="2"/>
      <c r="S549" s="2" t="s">
        <v>101</v>
      </c>
      <c r="T549" s="2">
        <v>641006</v>
      </c>
      <c r="U549" s="2" t="s">
        <v>22</v>
      </c>
      <c r="V549" s="2" t="s">
        <v>23</v>
      </c>
      <c r="W549" s="193">
        <v>4</v>
      </c>
      <c r="X549" s="2">
        <v>1</v>
      </c>
      <c r="Y549" s="2">
        <v>6</v>
      </c>
      <c r="Z549" s="2">
        <v>1</v>
      </c>
      <c r="AA549" s="193" t="s">
        <v>4148</v>
      </c>
      <c r="AB549" s="2"/>
    </row>
    <row r="550" spans="1:28" ht="15" customHeight="1">
      <c r="A550" s="16">
        <v>549</v>
      </c>
      <c r="B550" s="13" t="s">
        <v>2271</v>
      </c>
      <c r="C550" s="14" t="str">
        <f>_xlfn.CONCAT(B550&amp;" "&amp;W550&amp;X550&amp;Y550&amp;Z550)</f>
        <v>Accurate Manufacturing Company 8012</v>
      </c>
      <c r="D550" s="17">
        <v>616</v>
      </c>
      <c r="E550" s="13" t="s">
        <v>90</v>
      </c>
      <c r="F550" s="13"/>
      <c r="G550" s="28">
        <v>42815</v>
      </c>
      <c r="H550" s="28"/>
      <c r="I550" s="28"/>
      <c r="J550" s="26">
        <v>43139</v>
      </c>
      <c r="K550" s="26">
        <v>43503</v>
      </c>
      <c r="L550" s="32">
        <v>3</v>
      </c>
      <c r="M550" s="13" t="s">
        <v>2272</v>
      </c>
      <c r="N550" s="13"/>
      <c r="O550" s="19" t="s">
        <v>2273</v>
      </c>
      <c r="P550" s="2" t="s">
        <v>2274</v>
      </c>
      <c r="Q550" s="2" t="s">
        <v>4671</v>
      </c>
      <c r="R550" s="2"/>
      <c r="S550" s="2" t="s">
        <v>21</v>
      </c>
      <c r="T550" s="2">
        <v>560068</v>
      </c>
      <c r="U550" s="2" t="s">
        <v>22</v>
      </c>
      <c r="V550" s="2" t="s">
        <v>23</v>
      </c>
      <c r="W550" s="193">
        <v>8</v>
      </c>
      <c r="X550" s="2">
        <v>0</v>
      </c>
      <c r="Y550" s="2">
        <v>1</v>
      </c>
      <c r="Z550" s="2">
        <v>2</v>
      </c>
      <c r="AA550" s="193" t="s">
        <v>4118</v>
      </c>
      <c r="AB550" s="2"/>
    </row>
    <row r="551" spans="1:28" ht="15" customHeight="1">
      <c r="A551" s="16">
        <v>550</v>
      </c>
      <c r="B551" s="13" t="s">
        <v>2275</v>
      </c>
      <c r="C551" s="14" t="str">
        <f>_xlfn.CONCAT(B551&amp;" "&amp;W551&amp;X551&amp;Y551&amp;Z551)</f>
        <v>Spaco Technologies (India) Pvt Ltd 2421</v>
      </c>
      <c r="D551" s="17">
        <v>607</v>
      </c>
      <c r="E551" s="13" t="s">
        <v>42</v>
      </c>
      <c r="F551" s="13"/>
      <c r="G551" s="28">
        <v>42816</v>
      </c>
      <c r="H551" s="28"/>
      <c r="I551" s="28"/>
      <c r="J551" s="26">
        <v>44369</v>
      </c>
      <c r="K551" s="26">
        <v>44733</v>
      </c>
      <c r="L551" s="32">
        <v>3</v>
      </c>
      <c r="M551" s="13" t="s">
        <v>2276</v>
      </c>
      <c r="N551" s="13" t="s">
        <v>2277</v>
      </c>
      <c r="O551" s="19" t="s">
        <v>2278</v>
      </c>
      <c r="P551" s="2" t="s">
        <v>1449</v>
      </c>
      <c r="Q551" s="2" t="s">
        <v>4672</v>
      </c>
      <c r="R551" s="2"/>
      <c r="S551" s="2" t="s">
        <v>215</v>
      </c>
      <c r="T551" s="2">
        <v>411019</v>
      </c>
      <c r="U551" s="2" t="s">
        <v>172</v>
      </c>
      <c r="V551" s="2" t="s">
        <v>23</v>
      </c>
      <c r="W551" s="193">
        <v>2</v>
      </c>
      <c r="X551" s="2">
        <v>4</v>
      </c>
      <c r="Y551" s="2">
        <v>2</v>
      </c>
      <c r="Z551" s="2">
        <v>1</v>
      </c>
      <c r="AA551" s="193" t="s">
        <v>4151</v>
      </c>
      <c r="AB551" s="2"/>
    </row>
    <row r="552" spans="1:28" ht="15" customHeight="1">
      <c r="A552" s="16">
        <v>551</v>
      </c>
      <c r="B552" s="13" t="s">
        <v>2279</v>
      </c>
      <c r="C552" s="14" t="str">
        <f>_xlfn.CONCAT(B552&amp;" "&amp;W552&amp;X552&amp;Y552&amp;Z552)</f>
        <v>Ashwani Metals Pvt Ltd 5401</v>
      </c>
      <c r="D552" s="17">
        <v>618</v>
      </c>
      <c r="E552" s="13" t="s">
        <v>42</v>
      </c>
      <c r="F552" s="13"/>
      <c r="G552" s="28">
        <v>42817</v>
      </c>
      <c r="H552" s="28"/>
      <c r="I552" s="28"/>
      <c r="J552" s="26">
        <v>44667</v>
      </c>
      <c r="K552" s="26">
        <v>45031</v>
      </c>
      <c r="L552" s="32">
        <v>3</v>
      </c>
      <c r="M552" s="13" t="s">
        <v>2280</v>
      </c>
      <c r="N552" s="13"/>
      <c r="O552" s="19">
        <v>9428729435</v>
      </c>
      <c r="P552" s="2" t="s">
        <v>79</v>
      </c>
      <c r="Q552" s="2" t="s">
        <v>4673</v>
      </c>
      <c r="R552" s="2" t="s">
        <v>570</v>
      </c>
      <c r="S552" s="2" t="s">
        <v>571</v>
      </c>
      <c r="T552" s="2">
        <v>361004</v>
      </c>
      <c r="U552" s="2" t="s">
        <v>144</v>
      </c>
      <c r="V552" s="2" t="s">
        <v>23</v>
      </c>
      <c r="W552" s="193">
        <v>5</v>
      </c>
      <c r="X552" s="2">
        <v>4</v>
      </c>
      <c r="Y552" s="2">
        <v>0</v>
      </c>
      <c r="Z552" s="2">
        <v>1</v>
      </c>
      <c r="AA552" s="193" t="s">
        <v>4137</v>
      </c>
      <c r="AB552" s="2"/>
    </row>
    <row r="553" spans="1:28" ht="15" customHeight="1">
      <c r="A553" s="16">
        <v>552</v>
      </c>
      <c r="B553" s="13" t="s">
        <v>2281</v>
      </c>
      <c r="C553" s="14" t="str">
        <f>_xlfn.CONCAT(B553&amp;" "&amp;W553&amp;X553&amp;Y553&amp;Z553)</f>
        <v>Hyo Seong Electric India Pvt Ltd (Candid Micron) 4161</v>
      </c>
      <c r="D553" s="17">
        <v>619</v>
      </c>
      <c r="E553" s="13" t="s">
        <v>42</v>
      </c>
      <c r="F553" s="13"/>
      <c r="G553" s="28">
        <v>42812</v>
      </c>
      <c r="H553" s="28"/>
      <c r="I553" s="28"/>
      <c r="J553" s="26">
        <v>44057</v>
      </c>
      <c r="K553" s="26">
        <v>44421</v>
      </c>
      <c r="L553" s="32">
        <v>3</v>
      </c>
      <c r="M553" s="13" t="s">
        <v>2282</v>
      </c>
      <c r="N553" s="13"/>
      <c r="O553" s="19">
        <v>9786686611</v>
      </c>
      <c r="P553" s="2" t="s">
        <v>2223</v>
      </c>
      <c r="Q553" s="2" t="s">
        <v>4660</v>
      </c>
      <c r="R553" s="2"/>
      <c r="S553" s="2" t="s">
        <v>101</v>
      </c>
      <c r="T553" s="2">
        <v>641006</v>
      </c>
      <c r="U553" s="2" t="s">
        <v>38</v>
      </c>
      <c r="V553" s="2" t="s">
        <v>23</v>
      </c>
      <c r="W553" s="193">
        <v>4</v>
      </c>
      <c r="X553" s="2">
        <v>1</v>
      </c>
      <c r="Y553" s="2">
        <v>6</v>
      </c>
      <c r="Z553" s="2">
        <v>1</v>
      </c>
      <c r="AA553" s="193" t="s">
        <v>4148</v>
      </c>
      <c r="AB553" s="2"/>
    </row>
    <row r="554" spans="1:28" ht="15" customHeight="1">
      <c r="A554" s="16">
        <v>553</v>
      </c>
      <c r="B554" s="13" t="s">
        <v>2283</v>
      </c>
      <c r="C554" s="14" t="str">
        <f>_xlfn.CONCAT(B554&amp;" "&amp;W554&amp;X554&amp;Y554&amp;Z554)</f>
        <v>K K Precision Components 4041</v>
      </c>
      <c r="D554" s="17">
        <v>574</v>
      </c>
      <c r="E554" s="13" t="s">
        <v>90</v>
      </c>
      <c r="F554" s="13"/>
      <c r="G554" s="28">
        <v>42819</v>
      </c>
      <c r="H554" s="28"/>
      <c r="I554" s="28"/>
      <c r="J554" s="26">
        <v>44422</v>
      </c>
      <c r="K554" s="26">
        <v>44786</v>
      </c>
      <c r="L554" s="32">
        <v>3</v>
      </c>
      <c r="M554" s="13" t="s">
        <v>2284</v>
      </c>
      <c r="N554" s="13"/>
      <c r="O554" s="19" t="s">
        <v>2285</v>
      </c>
      <c r="P554" s="2" t="s">
        <v>2286</v>
      </c>
      <c r="Q554" s="2" t="s">
        <v>4674</v>
      </c>
      <c r="R554" s="2" t="s">
        <v>2287</v>
      </c>
      <c r="S554" s="2" t="s">
        <v>37</v>
      </c>
      <c r="T554" s="2">
        <v>600058</v>
      </c>
      <c r="U554" s="2" t="s">
        <v>38</v>
      </c>
      <c r="V554" s="2" t="s">
        <v>23</v>
      </c>
      <c r="W554" s="193">
        <v>4</v>
      </c>
      <c r="X554" s="2">
        <v>0</v>
      </c>
      <c r="Y554" s="2">
        <v>4</v>
      </c>
      <c r="Z554" s="2">
        <v>1</v>
      </c>
      <c r="AA554" s="193" t="s">
        <v>4148</v>
      </c>
      <c r="AB554" s="2"/>
    </row>
    <row r="555" spans="1:28" ht="15" customHeight="1">
      <c r="A555" s="16">
        <v>554</v>
      </c>
      <c r="B555" s="13" t="s">
        <v>2288</v>
      </c>
      <c r="C555" s="14" t="str">
        <f>_xlfn.CONCAT(B555&amp;" "&amp;W555&amp;X555&amp;Y555&amp;Z555)</f>
        <v>Helvoet Rubber &amp; Plastic Technologies (I) Pvt Ltd 2441</v>
      </c>
      <c r="D555" s="17">
        <v>627</v>
      </c>
      <c r="E555" s="13" t="s">
        <v>90</v>
      </c>
      <c r="F555" s="13"/>
      <c r="G555" s="28">
        <v>42821</v>
      </c>
      <c r="H555" s="28"/>
      <c r="I555" s="28"/>
      <c r="J555" s="26">
        <v>45736</v>
      </c>
      <c r="K555" s="26">
        <v>46100</v>
      </c>
      <c r="L555" s="32">
        <v>3</v>
      </c>
      <c r="M555" s="13" t="s">
        <v>2289</v>
      </c>
      <c r="N555" s="13"/>
      <c r="O555" s="19" t="s">
        <v>2290</v>
      </c>
      <c r="P555" s="2" t="s">
        <v>2291</v>
      </c>
      <c r="Q555" s="2" t="s">
        <v>4675</v>
      </c>
      <c r="R555" s="2" t="s">
        <v>2292</v>
      </c>
      <c r="S555" s="2" t="s">
        <v>215</v>
      </c>
      <c r="T555" s="2">
        <v>412201</v>
      </c>
      <c r="U555" s="2" t="s">
        <v>172</v>
      </c>
      <c r="V555" s="2" t="s">
        <v>23</v>
      </c>
      <c r="W555" s="193">
        <v>2</v>
      </c>
      <c r="X555" s="2">
        <v>4</v>
      </c>
      <c r="Y555" s="2">
        <v>4</v>
      </c>
      <c r="Z555" s="2">
        <v>1</v>
      </c>
      <c r="AA555" s="193" t="s">
        <v>4151</v>
      </c>
      <c r="AB555" s="2"/>
    </row>
    <row r="556" spans="1:28" ht="15" customHeight="1">
      <c r="A556" s="16">
        <v>555</v>
      </c>
      <c r="B556" s="13" t="s">
        <v>2293</v>
      </c>
      <c r="C556" s="14" t="str">
        <f>_xlfn.CONCAT(B556&amp;" "&amp;W556&amp;X556&amp;Y556&amp;Z556)</f>
        <v>Indian Air Force (3BRD) (Sesha Tools Pvt Ltd) 1334</v>
      </c>
      <c r="D556" s="17">
        <v>617</v>
      </c>
      <c r="E556" s="13" t="s">
        <v>42</v>
      </c>
      <c r="F556" s="13"/>
      <c r="G556" s="28">
        <v>42829</v>
      </c>
      <c r="H556" s="28"/>
      <c r="I556" s="28"/>
      <c r="J556" s="26">
        <v>43726</v>
      </c>
      <c r="K556" s="26">
        <v>44091</v>
      </c>
      <c r="L556" s="32">
        <v>3</v>
      </c>
      <c r="M556" s="13"/>
      <c r="N556" s="13"/>
      <c r="O556" s="19"/>
      <c r="P556" s="2"/>
      <c r="Q556" s="2" t="s">
        <v>4676</v>
      </c>
      <c r="R556" s="2"/>
      <c r="S556" s="2" t="s">
        <v>1738</v>
      </c>
      <c r="T556" s="2">
        <v>160003</v>
      </c>
      <c r="U556" s="2" t="s">
        <v>2294</v>
      </c>
      <c r="V556" s="2" t="s">
        <v>23</v>
      </c>
      <c r="W556" s="193">
        <v>1</v>
      </c>
      <c r="X556" s="2">
        <v>3</v>
      </c>
      <c r="Y556" s="2">
        <v>3</v>
      </c>
      <c r="Z556" s="2">
        <v>4</v>
      </c>
      <c r="AA556" s="193" t="s">
        <v>4118</v>
      </c>
      <c r="AB556" s="2"/>
    </row>
    <row r="557" spans="1:28" ht="15" customHeight="1">
      <c r="A557" s="16">
        <v>556</v>
      </c>
      <c r="B557" s="13" t="s">
        <v>2295</v>
      </c>
      <c r="C557" s="14" t="str">
        <f>_xlfn.CONCAT(B557&amp;" "&amp;W557&amp;X557&amp;Y557&amp;Z557)</f>
        <v>Jay Jalaram Industries 5301</v>
      </c>
      <c r="D557" s="17">
        <v>651</v>
      </c>
      <c r="E557" s="13" t="s">
        <v>42</v>
      </c>
      <c r="F557" s="13"/>
      <c r="G557" s="28">
        <v>42842</v>
      </c>
      <c r="H557" s="28"/>
      <c r="I557" s="28"/>
      <c r="J557" s="26">
        <v>44666</v>
      </c>
      <c r="K557" s="26">
        <v>45030</v>
      </c>
      <c r="L557" s="32">
        <v>3</v>
      </c>
      <c r="M557" s="13" t="s">
        <v>2296</v>
      </c>
      <c r="N557" s="13"/>
      <c r="O557" s="19" t="s">
        <v>2297</v>
      </c>
      <c r="P557" s="2" t="s">
        <v>2298</v>
      </c>
      <c r="Q557" s="2" t="s">
        <v>4677</v>
      </c>
      <c r="R557" s="2" t="s">
        <v>2299</v>
      </c>
      <c r="S557" s="2" t="s">
        <v>1131</v>
      </c>
      <c r="T557" s="2">
        <v>360021</v>
      </c>
      <c r="U557" s="2" t="s">
        <v>144</v>
      </c>
      <c r="V557" s="2" t="s">
        <v>23</v>
      </c>
      <c r="W557" s="193">
        <v>5</v>
      </c>
      <c r="X557" s="2">
        <v>3</v>
      </c>
      <c r="Y557" s="2">
        <v>0</v>
      </c>
      <c r="Z557" s="2">
        <v>1</v>
      </c>
      <c r="AA557" s="193" t="s">
        <v>4135</v>
      </c>
      <c r="AB557" s="2"/>
    </row>
    <row r="558" spans="1:28" ht="15" customHeight="1">
      <c r="A558" s="16">
        <v>557</v>
      </c>
      <c r="B558" s="13" t="s">
        <v>2300</v>
      </c>
      <c r="C558" s="14" t="str">
        <f>_xlfn.CONCAT(B558&amp;" "&amp;W558&amp;X558&amp;Y558&amp;Z558)</f>
        <v>Racer Tooling Industries 4112</v>
      </c>
      <c r="D558" s="17">
        <v>629</v>
      </c>
      <c r="E558" s="13" t="s">
        <v>90</v>
      </c>
      <c r="F558" s="13"/>
      <c r="G558" s="28">
        <v>42843</v>
      </c>
      <c r="H558" s="28"/>
      <c r="I558" s="28"/>
      <c r="J558" s="26">
        <v>45789</v>
      </c>
      <c r="K558" s="26">
        <v>46153</v>
      </c>
      <c r="L558" s="32">
        <v>3</v>
      </c>
      <c r="M558" s="13" t="s">
        <v>2301</v>
      </c>
      <c r="N558" s="13"/>
      <c r="O558" s="19">
        <v>8056364345</v>
      </c>
      <c r="P558" s="2" t="s">
        <v>2302</v>
      </c>
      <c r="Q558" s="2" t="s">
        <v>4678</v>
      </c>
      <c r="R558" s="2"/>
      <c r="S558" s="2" t="s">
        <v>101</v>
      </c>
      <c r="T558" s="2">
        <v>641062</v>
      </c>
      <c r="U558" s="2" t="s">
        <v>38</v>
      </c>
      <c r="V558" s="2" t="s">
        <v>23</v>
      </c>
      <c r="W558" s="193">
        <v>4</v>
      </c>
      <c r="X558" s="2">
        <v>1</v>
      </c>
      <c r="Y558" s="2">
        <v>1</v>
      </c>
      <c r="Z558" s="2">
        <v>2</v>
      </c>
      <c r="AA558" s="193" t="s">
        <v>4148</v>
      </c>
      <c r="AB558" s="2"/>
    </row>
    <row r="559" spans="1:28" ht="15" customHeight="1">
      <c r="A559" s="16">
        <v>558</v>
      </c>
      <c r="B559" s="13" t="s">
        <v>2303</v>
      </c>
      <c r="C559" s="14" t="str">
        <f>_xlfn.CONCAT(B559&amp;" "&amp;W559&amp;X559&amp;Y559&amp;Z559)</f>
        <v>VMX Connectors Pvt Ltd 8023</v>
      </c>
      <c r="D559" s="17">
        <v>653</v>
      </c>
      <c r="E559" s="13" t="s">
        <v>42</v>
      </c>
      <c r="F559" s="13"/>
      <c r="G559" s="28">
        <v>42849</v>
      </c>
      <c r="H559" s="28"/>
      <c r="I559" s="28"/>
      <c r="J559" s="26">
        <v>44462</v>
      </c>
      <c r="K559" s="26">
        <v>44826</v>
      </c>
      <c r="L559" s="32">
        <v>3</v>
      </c>
      <c r="M559" s="13" t="s">
        <v>2304</v>
      </c>
      <c r="N559" s="13"/>
      <c r="O559" s="19">
        <v>9341232611</v>
      </c>
      <c r="P559" s="2" t="s">
        <v>2246</v>
      </c>
      <c r="Q559" s="2" t="s">
        <v>4679</v>
      </c>
      <c r="R559" s="2" t="s">
        <v>2305</v>
      </c>
      <c r="S559" s="2" t="s">
        <v>198</v>
      </c>
      <c r="T559" s="2">
        <v>562112</v>
      </c>
      <c r="U559" s="2" t="s">
        <v>22</v>
      </c>
      <c r="V559" s="2" t="s">
        <v>23</v>
      </c>
      <c r="W559" s="193">
        <v>8</v>
      </c>
      <c r="X559" s="2">
        <v>0</v>
      </c>
      <c r="Y559" s="2">
        <v>2</v>
      </c>
      <c r="Z559" s="2">
        <v>3</v>
      </c>
      <c r="AA559" s="193" t="s">
        <v>4118</v>
      </c>
      <c r="AB559" s="2"/>
    </row>
    <row r="560" spans="1:28" ht="15" customHeight="1">
      <c r="A560" s="16">
        <v>559</v>
      </c>
      <c r="B560" s="13" t="s">
        <v>2306</v>
      </c>
      <c r="C560" s="14" t="str">
        <f>_xlfn.CONCAT(B560&amp;" "&amp;W560&amp;X560&amp;Y560&amp;Z560)</f>
        <v>Addison &amp; Co. Ltd 4031</v>
      </c>
      <c r="D560" s="17">
        <v>621</v>
      </c>
      <c r="E560" s="13" t="s">
        <v>42</v>
      </c>
      <c r="F560" s="13"/>
      <c r="G560" s="28">
        <v>42860</v>
      </c>
      <c r="H560" s="28"/>
      <c r="I560" s="28"/>
      <c r="J560" s="26">
        <v>44257</v>
      </c>
      <c r="K560" s="26">
        <v>44621</v>
      </c>
      <c r="L560" s="32">
        <v>3</v>
      </c>
      <c r="M560" s="13" t="s">
        <v>2307</v>
      </c>
      <c r="N560" s="13" t="s">
        <v>2308</v>
      </c>
      <c r="O560" s="19" t="s">
        <v>2309</v>
      </c>
      <c r="P560" s="2"/>
      <c r="Q560" s="2" t="s">
        <v>4680</v>
      </c>
      <c r="R560" s="2"/>
      <c r="S560" s="2" t="s">
        <v>470</v>
      </c>
      <c r="T560" s="2">
        <v>602117</v>
      </c>
      <c r="U560" s="2" t="s">
        <v>38</v>
      </c>
      <c r="V560" s="2" t="s">
        <v>23</v>
      </c>
      <c r="W560" s="193">
        <v>4</v>
      </c>
      <c r="X560" s="2">
        <v>0</v>
      </c>
      <c r="Y560" s="2">
        <v>3</v>
      </c>
      <c r="Z560" s="2">
        <v>1</v>
      </c>
      <c r="AA560" s="193" t="s">
        <v>4148</v>
      </c>
      <c r="AB560" s="2"/>
    </row>
    <row r="561" spans="1:28" ht="15" customHeight="1">
      <c r="A561" s="16">
        <v>560</v>
      </c>
      <c r="B561" s="13" t="s">
        <v>2310</v>
      </c>
      <c r="C561" s="14" t="str">
        <f>_xlfn.CONCAT(B561&amp;" "&amp;W561&amp;X561&amp;Y561&amp;Z561)</f>
        <v>Maxop Engg Co. Pvt Ltd 1111</v>
      </c>
      <c r="D561" s="17">
        <v>561</v>
      </c>
      <c r="E561" s="13" t="s">
        <v>90</v>
      </c>
      <c r="F561" s="13"/>
      <c r="G561" s="28">
        <v>42875</v>
      </c>
      <c r="H561" s="28"/>
      <c r="I561" s="28"/>
      <c r="J561" s="26">
        <v>45890</v>
      </c>
      <c r="K561" s="26">
        <v>46254</v>
      </c>
      <c r="L561" s="32">
        <v>3</v>
      </c>
      <c r="M561" s="13" t="s">
        <v>2311</v>
      </c>
      <c r="N561" s="13"/>
      <c r="O561" s="19" t="s">
        <v>2312</v>
      </c>
      <c r="P561" s="2" t="s">
        <v>2313</v>
      </c>
      <c r="Q561" s="2" t="s">
        <v>4681</v>
      </c>
      <c r="R561" s="2"/>
      <c r="S561" s="2" t="s">
        <v>2314</v>
      </c>
      <c r="T561" s="2">
        <v>122050</v>
      </c>
      <c r="U561" s="2" t="s">
        <v>429</v>
      </c>
      <c r="V561" s="2" t="s">
        <v>23</v>
      </c>
      <c r="W561" s="193">
        <v>1</v>
      </c>
      <c r="X561" s="2">
        <v>1</v>
      </c>
      <c r="Y561" s="2">
        <v>1</v>
      </c>
      <c r="Z561" s="2">
        <v>1</v>
      </c>
      <c r="AA561" s="193" t="s">
        <v>4118</v>
      </c>
      <c r="AB561" s="2"/>
    </row>
    <row r="562" spans="1:28" ht="15" customHeight="1">
      <c r="A562" s="16">
        <v>561</v>
      </c>
      <c r="B562" s="13" t="s">
        <v>2315</v>
      </c>
      <c r="C562" s="14" t="str">
        <f>_xlfn.CONCAT(B562&amp;" "&amp;W562&amp;X562&amp;Y562&amp;Z562)</f>
        <v>Napino Auto &amp; Electronics Ltd 1114</v>
      </c>
      <c r="D562" s="17">
        <v>596</v>
      </c>
      <c r="E562" s="13" t="s">
        <v>42</v>
      </c>
      <c r="F562" s="13"/>
      <c r="G562" s="28">
        <v>42879</v>
      </c>
      <c r="H562" s="28"/>
      <c r="I562" s="28"/>
      <c r="J562" s="26">
        <v>45858</v>
      </c>
      <c r="K562" s="26">
        <v>46222</v>
      </c>
      <c r="L562" s="32">
        <v>3</v>
      </c>
      <c r="M562" s="13" t="s">
        <v>2316</v>
      </c>
      <c r="N562" s="13"/>
      <c r="O562" s="19" t="s">
        <v>2317</v>
      </c>
      <c r="P562" s="2" t="s">
        <v>2318</v>
      </c>
      <c r="Q562" s="2" t="s">
        <v>4682</v>
      </c>
      <c r="R562" s="2" t="s">
        <v>2319</v>
      </c>
      <c r="S562" s="2" t="s">
        <v>1404</v>
      </c>
      <c r="T562" s="2">
        <v>301019</v>
      </c>
      <c r="U562" s="2" t="s">
        <v>74</v>
      </c>
      <c r="V562" s="2" t="s">
        <v>23</v>
      </c>
      <c r="W562" s="193">
        <v>1</v>
      </c>
      <c r="X562" s="2">
        <v>1</v>
      </c>
      <c r="Y562" s="2">
        <v>1</v>
      </c>
      <c r="Z562" s="2">
        <v>4</v>
      </c>
      <c r="AA562" s="193" t="s">
        <v>4118</v>
      </c>
      <c r="AB562" s="2"/>
    </row>
    <row r="563" spans="1:28" ht="15" customHeight="1">
      <c r="A563" s="16">
        <v>562</v>
      </c>
      <c r="B563" s="13" t="s">
        <v>2320</v>
      </c>
      <c r="C563" s="14" t="str">
        <f>_xlfn.CONCAT(B563&amp;" "&amp;W563&amp;X563&amp;Y563&amp;Z563)</f>
        <v>SLS Tools Company (Konarak Industries Pvt Ltd) 8012</v>
      </c>
      <c r="D563" s="17">
        <v>652</v>
      </c>
      <c r="E563" s="13" t="s">
        <v>42</v>
      </c>
      <c r="F563" s="13"/>
      <c r="G563" s="28">
        <v>42879</v>
      </c>
      <c r="H563" s="28"/>
      <c r="I563" s="28"/>
      <c r="J563" s="26">
        <v>44542</v>
      </c>
      <c r="K563" s="26">
        <v>44906</v>
      </c>
      <c r="L563" s="32">
        <v>3</v>
      </c>
      <c r="M563" s="13" t="s">
        <v>2321</v>
      </c>
      <c r="N563" s="13" t="s">
        <v>2322</v>
      </c>
      <c r="O563" s="19" t="s">
        <v>2323</v>
      </c>
      <c r="P563" s="2" t="s">
        <v>2324</v>
      </c>
      <c r="Q563" s="2" t="s">
        <v>4683</v>
      </c>
      <c r="R563" s="2" t="s">
        <v>2325</v>
      </c>
      <c r="S563" s="2" t="s">
        <v>21</v>
      </c>
      <c r="T563" s="2">
        <v>560061</v>
      </c>
      <c r="U563" s="2" t="s">
        <v>22</v>
      </c>
      <c r="V563" s="2" t="s">
        <v>23</v>
      </c>
      <c r="W563" s="193">
        <v>8</v>
      </c>
      <c r="X563" s="2">
        <v>0</v>
      </c>
      <c r="Y563" s="2">
        <v>1</v>
      </c>
      <c r="Z563" s="2">
        <v>2</v>
      </c>
      <c r="AA563" s="193" t="s">
        <v>4118</v>
      </c>
      <c r="AB563" s="2"/>
    </row>
    <row r="564" spans="1:28" ht="15" customHeight="1">
      <c r="A564" s="16">
        <v>563</v>
      </c>
      <c r="B564" s="13" t="s">
        <v>2326</v>
      </c>
      <c r="C564" s="14" t="str">
        <f>_xlfn.CONCAT(B564&amp;" "&amp;W564&amp;X564&amp;Y564&amp;Z564)</f>
        <v>Ferrero India Pvt Ltd (IMSOFER Division) 2411</v>
      </c>
      <c r="D564" s="17">
        <v>654</v>
      </c>
      <c r="E564" s="13" t="s">
        <v>42</v>
      </c>
      <c r="F564" s="13"/>
      <c r="G564" s="28">
        <v>42887</v>
      </c>
      <c r="H564" s="28"/>
      <c r="I564" s="28"/>
      <c r="J564" s="26">
        <v>42887</v>
      </c>
      <c r="K564" s="26">
        <v>43251</v>
      </c>
      <c r="L564" s="32">
        <v>3</v>
      </c>
      <c r="M564" s="13" t="s">
        <v>2327</v>
      </c>
      <c r="N564" s="13"/>
      <c r="O564" s="19" t="s">
        <v>2328</v>
      </c>
      <c r="P564" s="2" t="s">
        <v>2329</v>
      </c>
      <c r="Q564" s="2" t="s">
        <v>4684</v>
      </c>
      <c r="R564" s="2"/>
      <c r="S564" s="2" t="s">
        <v>215</v>
      </c>
      <c r="T564" s="2">
        <v>413133</v>
      </c>
      <c r="U564" s="2" t="s">
        <v>172</v>
      </c>
      <c r="V564" s="2" t="s">
        <v>23</v>
      </c>
      <c r="W564" s="193">
        <v>2</v>
      </c>
      <c r="X564" s="2">
        <v>4</v>
      </c>
      <c r="Y564" s="2">
        <v>1</v>
      </c>
      <c r="Z564" s="2">
        <v>1</v>
      </c>
      <c r="AA564" s="193" t="s">
        <v>4150</v>
      </c>
      <c r="AB564" s="2"/>
    </row>
    <row r="565" spans="1:28" ht="15" customHeight="1">
      <c r="A565" s="16">
        <v>564</v>
      </c>
      <c r="B565" s="13" t="s">
        <v>2330</v>
      </c>
      <c r="C565" s="14" t="str">
        <f>_xlfn.CONCAT(B565&amp;" "&amp;W565&amp;X565&amp;Y565&amp;Z565)</f>
        <v>Solutec Industries (I) Pvt Ltd 2441</v>
      </c>
      <c r="D565" s="17">
        <v>656</v>
      </c>
      <c r="E565" s="13" t="s">
        <v>42</v>
      </c>
      <c r="F565" s="13"/>
      <c r="G565" s="28">
        <v>42898</v>
      </c>
      <c r="H565" s="28"/>
      <c r="I565" s="28"/>
      <c r="J565" s="26">
        <v>43663</v>
      </c>
      <c r="K565" s="26">
        <v>44393</v>
      </c>
      <c r="L565" s="32">
        <v>3</v>
      </c>
      <c r="M565" s="13" t="s">
        <v>2331</v>
      </c>
      <c r="N565" s="13"/>
      <c r="O565" s="19" t="s">
        <v>2332</v>
      </c>
      <c r="P565" s="2" t="s">
        <v>2333</v>
      </c>
      <c r="Q565" s="2" t="s">
        <v>4685</v>
      </c>
      <c r="R565" s="2" t="s">
        <v>2334</v>
      </c>
      <c r="S565" s="2" t="s">
        <v>215</v>
      </c>
      <c r="T565" s="2">
        <v>411014</v>
      </c>
      <c r="U565" s="2" t="s">
        <v>172</v>
      </c>
      <c r="V565" s="2" t="s">
        <v>23</v>
      </c>
      <c r="W565" s="193">
        <v>2</v>
      </c>
      <c r="X565" s="2">
        <v>4</v>
      </c>
      <c r="Y565" s="2">
        <v>4</v>
      </c>
      <c r="Z565" s="2">
        <v>1</v>
      </c>
      <c r="AA565" s="193" t="s">
        <v>4151</v>
      </c>
      <c r="AB565" s="2"/>
    </row>
    <row r="566" spans="1:28" ht="15" customHeight="1">
      <c r="A566" s="16">
        <v>565</v>
      </c>
      <c r="B566" s="13" t="s">
        <v>2335</v>
      </c>
      <c r="C566" s="14" t="str">
        <f>_xlfn.CONCAT(B566&amp;" "&amp;W566&amp;X566&amp;Y566&amp;Z566)</f>
        <v>Unnathi CNC Technologies Pvt Ltd 8051</v>
      </c>
      <c r="D566" s="17">
        <v>650</v>
      </c>
      <c r="E566" s="13" t="s">
        <v>42</v>
      </c>
      <c r="F566" s="13"/>
      <c r="G566" s="28">
        <v>42898</v>
      </c>
      <c r="H566" s="28"/>
      <c r="I566" s="28"/>
      <c r="J566" s="26">
        <v>44412</v>
      </c>
      <c r="K566" s="26">
        <v>44776</v>
      </c>
      <c r="L566" s="32">
        <v>3</v>
      </c>
      <c r="M566" s="13" t="s">
        <v>2336</v>
      </c>
      <c r="N566" s="13" t="s">
        <v>71</v>
      </c>
      <c r="O566" s="19" t="s">
        <v>2337</v>
      </c>
      <c r="P566" s="2" t="s">
        <v>2338</v>
      </c>
      <c r="Q566" s="2" t="s">
        <v>4686</v>
      </c>
      <c r="R566" s="2" t="s">
        <v>2215</v>
      </c>
      <c r="S566" s="2" t="s">
        <v>21</v>
      </c>
      <c r="T566" s="2">
        <v>560058</v>
      </c>
      <c r="U566" s="2" t="s">
        <v>22</v>
      </c>
      <c r="V566" s="2" t="s">
        <v>23</v>
      </c>
      <c r="W566" s="193">
        <v>8</v>
      </c>
      <c r="X566" s="2">
        <v>0</v>
      </c>
      <c r="Y566" s="2">
        <v>5</v>
      </c>
      <c r="Z566" s="2">
        <v>1</v>
      </c>
      <c r="AA566" s="193" t="s">
        <v>4118</v>
      </c>
      <c r="AB566" s="2"/>
    </row>
    <row r="567" spans="1:28" ht="15" customHeight="1">
      <c r="A567" s="16">
        <v>566</v>
      </c>
      <c r="B567" s="13" t="s">
        <v>2339</v>
      </c>
      <c r="C567" s="14" t="str">
        <f>_xlfn.CONCAT(B567&amp;" "&amp;W567&amp;X567&amp;Y567&amp;Z567)</f>
        <v>Mehta Engineers Limited 1335</v>
      </c>
      <c r="D567" s="17">
        <v>631</v>
      </c>
      <c r="E567" s="13" t="s">
        <v>90</v>
      </c>
      <c r="F567" s="13"/>
      <c r="G567" s="28">
        <v>42902</v>
      </c>
      <c r="H567" s="28"/>
      <c r="I567" s="28"/>
      <c r="J567" s="26">
        <v>42902</v>
      </c>
      <c r="K567" s="26">
        <v>43631</v>
      </c>
      <c r="L567" s="32">
        <v>3</v>
      </c>
      <c r="M567" s="13" t="s">
        <v>2340</v>
      </c>
      <c r="N567" s="13"/>
      <c r="O567" s="19">
        <v>9781910787</v>
      </c>
      <c r="P567" s="2" t="s">
        <v>2341</v>
      </c>
      <c r="Q567" s="2" t="s">
        <v>4687</v>
      </c>
      <c r="R567" s="2"/>
      <c r="S567" s="2" t="s">
        <v>1994</v>
      </c>
      <c r="T567" s="2">
        <v>141010</v>
      </c>
      <c r="U567" s="2" t="s">
        <v>1787</v>
      </c>
      <c r="V567" s="2" t="s">
        <v>23</v>
      </c>
      <c r="W567" s="193">
        <v>1</v>
      </c>
      <c r="X567" s="2">
        <v>3</v>
      </c>
      <c r="Y567" s="2">
        <v>3</v>
      </c>
      <c r="Z567" s="2">
        <v>5</v>
      </c>
      <c r="AA567" s="193" t="s">
        <v>4118</v>
      </c>
      <c r="AB567" s="2"/>
    </row>
    <row r="568" spans="1:28" ht="15" customHeight="1">
      <c r="A568" s="16">
        <v>567</v>
      </c>
      <c r="B568" s="13" t="s">
        <v>2342</v>
      </c>
      <c r="C568" s="14" t="str">
        <f>_xlfn.CONCAT(B568&amp;" "&amp;W568&amp;X568&amp;Y568&amp;Z568)</f>
        <v xml:space="preserve"> JJG Aero Pvt Ltd (J.J. Glastronics Pvt Ltd) 8011</v>
      </c>
      <c r="D568" s="17">
        <v>632</v>
      </c>
      <c r="E568" s="13" t="s">
        <v>90</v>
      </c>
      <c r="F568" s="13"/>
      <c r="G568" s="28">
        <v>42928</v>
      </c>
      <c r="H568" s="28"/>
      <c r="I568" s="28"/>
      <c r="J568" s="26">
        <v>44718</v>
      </c>
      <c r="K568" s="26">
        <v>45082</v>
      </c>
      <c r="L568" s="32">
        <v>3</v>
      </c>
      <c r="M568" s="13"/>
      <c r="N568" s="13"/>
      <c r="O568" s="19"/>
      <c r="P568" s="2" t="s">
        <v>2344</v>
      </c>
      <c r="Q568" s="2" t="s">
        <v>4688</v>
      </c>
      <c r="R568" s="2" t="s">
        <v>2345</v>
      </c>
      <c r="S568" s="2" t="s">
        <v>2346</v>
      </c>
      <c r="T568" s="2">
        <v>560100</v>
      </c>
      <c r="U568" s="2" t="s">
        <v>22</v>
      </c>
      <c r="V568" s="2" t="s">
        <v>23</v>
      </c>
      <c r="W568" s="193">
        <v>8</v>
      </c>
      <c r="X568" s="2">
        <v>0</v>
      </c>
      <c r="Y568" s="2">
        <v>1</v>
      </c>
      <c r="Z568" s="2">
        <v>1</v>
      </c>
      <c r="AA568" s="193" t="s">
        <v>4118</v>
      </c>
      <c r="AB568" s="2"/>
    </row>
    <row r="569" spans="1:28" ht="15" customHeight="1">
      <c r="A569" s="16">
        <v>568</v>
      </c>
      <c r="B569" s="13" t="s">
        <v>2347</v>
      </c>
      <c r="C569" s="14" t="str">
        <f>_xlfn.CONCAT(B569&amp;" "&amp;W569&amp;X569&amp;Y569&amp;Z569)</f>
        <v>Autoliv India Pvt Ltd 8071</v>
      </c>
      <c r="D569" s="17">
        <v>633</v>
      </c>
      <c r="E569" s="13" t="s">
        <v>90</v>
      </c>
      <c r="F569" s="13"/>
      <c r="G569" s="28">
        <v>42930</v>
      </c>
      <c r="H569" s="28"/>
      <c r="I569" s="28"/>
      <c r="J569" s="26">
        <v>44593</v>
      </c>
      <c r="K569" s="26">
        <v>44957</v>
      </c>
      <c r="L569" s="32">
        <v>3</v>
      </c>
      <c r="M569" s="13" t="s">
        <v>2348</v>
      </c>
      <c r="N569" s="13"/>
      <c r="O569" s="19">
        <v>9845833680</v>
      </c>
      <c r="P569" s="2" t="s">
        <v>2349</v>
      </c>
      <c r="Q569" s="2" t="s">
        <v>4689</v>
      </c>
      <c r="R569" s="2" t="s">
        <v>2350</v>
      </c>
      <c r="S569" s="2" t="s">
        <v>21</v>
      </c>
      <c r="T569" s="2">
        <v>562114</v>
      </c>
      <c r="U569" s="2" t="s">
        <v>22</v>
      </c>
      <c r="V569" s="2" t="s">
        <v>23</v>
      </c>
      <c r="W569" s="193">
        <v>8</v>
      </c>
      <c r="X569" s="2">
        <v>0</v>
      </c>
      <c r="Y569" s="2">
        <v>7</v>
      </c>
      <c r="Z569" s="2">
        <v>1</v>
      </c>
      <c r="AA569" s="193" t="s">
        <v>4118</v>
      </c>
      <c r="AB569" s="2"/>
    </row>
    <row r="570" spans="1:28" ht="15" customHeight="1">
      <c r="A570" s="16">
        <v>569</v>
      </c>
      <c r="B570" s="13" t="s">
        <v>2351</v>
      </c>
      <c r="C570" s="14" t="str">
        <f>_xlfn.CONCAT(B570&amp;" "&amp;W570&amp;X570&amp;Y570&amp;Z570)</f>
        <v>Saro Technologies 4041</v>
      </c>
      <c r="D570" s="17">
        <v>599</v>
      </c>
      <c r="E570" s="13" t="s">
        <v>42</v>
      </c>
      <c r="F570" s="13"/>
      <c r="G570" s="28">
        <v>42930</v>
      </c>
      <c r="H570" s="28"/>
      <c r="I570" s="28"/>
      <c r="J570" s="26">
        <v>42930</v>
      </c>
      <c r="K570" s="26">
        <v>43294</v>
      </c>
      <c r="L570" s="32">
        <v>3</v>
      </c>
      <c r="M570" s="13" t="s">
        <v>2352</v>
      </c>
      <c r="N570" s="13" t="s">
        <v>17</v>
      </c>
      <c r="O570" s="19">
        <v>9962040042</v>
      </c>
      <c r="P570" s="2" t="s">
        <v>2353</v>
      </c>
      <c r="Q570" s="2" t="s">
        <v>4690</v>
      </c>
      <c r="R570" s="2" t="s">
        <v>62</v>
      </c>
      <c r="S570" s="2" t="s">
        <v>37</v>
      </c>
      <c r="T570" s="2">
        <v>600098</v>
      </c>
      <c r="U570" s="2" t="s">
        <v>38</v>
      </c>
      <c r="V570" s="2" t="s">
        <v>23</v>
      </c>
      <c r="W570" s="193">
        <v>4</v>
      </c>
      <c r="X570" s="2">
        <v>0</v>
      </c>
      <c r="Y570" s="2">
        <v>4</v>
      </c>
      <c r="Z570" s="2">
        <v>1</v>
      </c>
      <c r="AA570" s="193" t="s">
        <v>4148</v>
      </c>
      <c r="AB570" s="2"/>
    </row>
    <row r="571" spans="1:28" ht="15" customHeight="1">
      <c r="A571" s="16">
        <v>570</v>
      </c>
      <c r="B571" s="13" t="s">
        <v>2354</v>
      </c>
      <c r="C571" s="14" t="str">
        <f>_xlfn.CONCAT(B571&amp;" "&amp;W571&amp;X571&amp;Y571&amp;Z571)</f>
        <v>Valli Industries 8013</v>
      </c>
      <c r="D571" s="17">
        <v>655</v>
      </c>
      <c r="E571" s="13" t="s">
        <v>42</v>
      </c>
      <c r="F571" s="13"/>
      <c r="G571" s="28">
        <v>42935</v>
      </c>
      <c r="H571" s="28"/>
      <c r="I571" s="28"/>
      <c r="J571" s="26">
        <v>44414</v>
      </c>
      <c r="K571" s="26">
        <v>44778</v>
      </c>
      <c r="L571" s="32">
        <v>3</v>
      </c>
      <c r="M571" s="13"/>
      <c r="N571" s="13"/>
      <c r="O571" s="19"/>
      <c r="P571" s="2" t="s">
        <v>2355</v>
      </c>
      <c r="Q571" s="2" t="s">
        <v>4691</v>
      </c>
      <c r="R571" s="2"/>
      <c r="S571" s="2" t="s">
        <v>121</v>
      </c>
      <c r="T571" s="2">
        <v>635126</v>
      </c>
      <c r="U571" s="2" t="s">
        <v>38</v>
      </c>
      <c r="V571" s="2" t="s">
        <v>23</v>
      </c>
      <c r="W571" s="193">
        <v>8</v>
      </c>
      <c r="X571" s="2">
        <v>0</v>
      </c>
      <c r="Y571" s="2">
        <v>1</v>
      </c>
      <c r="Z571" s="2">
        <v>3</v>
      </c>
      <c r="AA571" s="193" t="s">
        <v>4118</v>
      </c>
      <c r="AB571" s="2"/>
    </row>
    <row r="572" spans="1:28" ht="15" customHeight="1">
      <c r="A572" s="16">
        <v>571</v>
      </c>
      <c r="B572" s="13" t="s">
        <v>2356</v>
      </c>
      <c r="C572" s="14" t="str">
        <f>_xlfn.CONCAT(B572&amp;" "&amp;W572&amp;X572&amp;Y572&amp;Z572)</f>
        <v>British Engines India Pvt Ltd 8012</v>
      </c>
      <c r="D572" s="17">
        <v>657</v>
      </c>
      <c r="E572" s="13" t="s">
        <v>42</v>
      </c>
      <c r="F572" s="13"/>
      <c r="G572" s="28">
        <v>42964</v>
      </c>
      <c r="H572" s="28"/>
      <c r="I572" s="28"/>
      <c r="J572" s="26">
        <v>44386</v>
      </c>
      <c r="K572" s="26">
        <v>44750</v>
      </c>
      <c r="L572" s="32">
        <v>3</v>
      </c>
      <c r="M572" s="13" t="s">
        <v>2357</v>
      </c>
      <c r="N572" s="13" t="s">
        <v>2358</v>
      </c>
      <c r="O572" s="19"/>
      <c r="P572" s="2"/>
      <c r="Q572" s="2" t="s">
        <v>4692</v>
      </c>
      <c r="R572" s="2" t="s">
        <v>2360</v>
      </c>
      <c r="S572" s="2" t="s">
        <v>21</v>
      </c>
      <c r="T572" s="2">
        <v>562107</v>
      </c>
      <c r="U572" s="2" t="s">
        <v>22</v>
      </c>
      <c r="V572" s="2" t="s">
        <v>23</v>
      </c>
      <c r="W572" s="193">
        <v>8</v>
      </c>
      <c r="X572" s="2">
        <v>0</v>
      </c>
      <c r="Y572" s="2">
        <v>1</v>
      </c>
      <c r="Z572" s="2">
        <v>2</v>
      </c>
      <c r="AA572" s="193" t="s">
        <v>4118</v>
      </c>
      <c r="AB572" s="2"/>
    </row>
    <row r="573" spans="1:28" ht="15" customHeight="1">
      <c r="A573" s="16">
        <v>572</v>
      </c>
      <c r="B573" s="13" t="s">
        <v>2361</v>
      </c>
      <c r="C573" s="14" t="str">
        <f>_xlfn.CONCAT(B573&amp;" "&amp;W573&amp;X573&amp;Y573&amp;Z573)</f>
        <v>Divine Toolings 2411</v>
      </c>
      <c r="D573" s="17">
        <v>638</v>
      </c>
      <c r="E573" s="13" t="s">
        <v>90</v>
      </c>
      <c r="F573" s="13"/>
      <c r="G573" s="28">
        <v>42976</v>
      </c>
      <c r="H573" s="28"/>
      <c r="I573" s="28"/>
      <c r="J573" s="26">
        <v>44192</v>
      </c>
      <c r="K573" s="26">
        <v>44556</v>
      </c>
      <c r="L573" s="32">
        <v>3</v>
      </c>
      <c r="M573" s="13"/>
      <c r="N573" s="13"/>
      <c r="O573" s="19"/>
      <c r="P573" s="2" t="s">
        <v>214</v>
      </c>
      <c r="Q573" s="2" t="s">
        <v>4693</v>
      </c>
      <c r="R573" s="2"/>
      <c r="S573" s="2" t="s">
        <v>215</v>
      </c>
      <c r="T573" s="2">
        <v>411026</v>
      </c>
      <c r="U573" s="2" t="s">
        <v>172</v>
      </c>
      <c r="V573" s="2" t="s">
        <v>23</v>
      </c>
      <c r="W573" s="193">
        <v>2</v>
      </c>
      <c r="X573" s="2">
        <v>4</v>
      </c>
      <c r="Y573" s="2">
        <v>1</v>
      </c>
      <c r="Z573" s="2">
        <v>1</v>
      </c>
      <c r="AA573" s="193" t="s">
        <v>4150</v>
      </c>
      <c r="AB573" s="2"/>
    </row>
    <row r="574" spans="1:28" ht="15" customHeight="1">
      <c r="A574" s="16">
        <v>573</v>
      </c>
      <c r="B574" s="13" t="s">
        <v>2362</v>
      </c>
      <c r="C574" s="14" t="str">
        <f>_xlfn.CONCAT(B574&amp;" "&amp;W574&amp;X574&amp;Y574&amp;Z574)</f>
        <v>Bosch limited 8011</v>
      </c>
      <c r="D574" s="17">
        <v>639</v>
      </c>
      <c r="E574" s="13" t="s">
        <v>90</v>
      </c>
      <c r="F574" s="13"/>
      <c r="G574" s="28">
        <v>42972</v>
      </c>
      <c r="H574" s="28"/>
      <c r="I574" s="28"/>
      <c r="J574" s="26">
        <v>44413</v>
      </c>
      <c r="K574" s="26">
        <v>44777</v>
      </c>
      <c r="L574" s="32">
        <v>3</v>
      </c>
      <c r="M574" s="13" t="s">
        <v>2363</v>
      </c>
      <c r="N574" s="13"/>
      <c r="O574" s="19"/>
      <c r="P574" s="2" t="s">
        <v>2364</v>
      </c>
      <c r="Q574" s="2" t="s">
        <v>4694</v>
      </c>
      <c r="R574" s="2" t="s">
        <v>2365</v>
      </c>
      <c r="S574" s="2" t="s">
        <v>21</v>
      </c>
      <c r="T574" s="2">
        <v>560100</v>
      </c>
      <c r="U574" s="2" t="s">
        <v>22</v>
      </c>
      <c r="V574" s="2" t="s">
        <v>23</v>
      </c>
      <c r="W574" s="193">
        <v>8</v>
      </c>
      <c r="X574" s="2">
        <v>0</v>
      </c>
      <c r="Y574" s="2">
        <v>1</v>
      </c>
      <c r="Z574" s="2">
        <v>1</v>
      </c>
      <c r="AA574" s="193" t="s">
        <v>4118</v>
      </c>
      <c r="AB574" s="2"/>
    </row>
    <row r="575" spans="1:28" ht="15" customHeight="1">
      <c r="A575" s="16">
        <v>574</v>
      </c>
      <c r="B575" s="13" t="s">
        <v>2366</v>
      </c>
      <c r="C575" s="14" t="str">
        <f>_xlfn.CONCAT(B575&amp;" "&amp;W575&amp;X575&amp;Y575&amp;Z575)</f>
        <v>Mangal Industries Limited 8084</v>
      </c>
      <c r="D575" s="17">
        <v>681</v>
      </c>
      <c r="E575" s="13" t="s">
        <v>2082</v>
      </c>
      <c r="F575" s="13"/>
      <c r="G575" s="28">
        <v>42979</v>
      </c>
      <c r="H575" s="28"/>
      <c r="I575" s="28"/>
      <c r="J575" s="26">
        <v>44380</v>
      </c>
      <c r="K575" s="26">
        <v>44744</v>
      </c>
      <c r="L575" s="32">
        <v>3</v>
      </c>
      <c r="M575" s="13"/>
      <c r="N575" s="13"/>
      <c r="O575" s="19"/>
      <c r="P575" s="2" t="s">
        <v>2367</v>
      </c>
      <c r="Q575" s="2" t="s">
        <v>4695</v>
      </c>
      <c r="R575" s="2" t="s">
        <v>2368</v>
      </c>
      <c r="S575" s="2" t="s">
        <v>2369</v>
      </c>
      <c r="T575" s="2">
        <v>517422</v>
      </c>
      <c r="U575" s="2" t="s">
        <v>54</v>
      </c>
      <c r="V575" s="2" t="s">
        <v>23</v>
      </c>
      <c r="W575" s="193">
        <v>8</v>
      </c>
      <c r="X575" s="2">
        <v>0</v>
      </c>
      <c r="Y575" s="2">
        <v>8</v>
      </c>
      <c r="Z575" s="2">
        <v>4</v>
      </c>
      <c r="AA575" s="193" t="s">
        <v>4118</v>
      </c>
      <c r="AB575" s="2"/>
    </row>
    <row r="576" spans="1:28" ht="15" customHeight="1">
      <c r="A576" s="16">
        <v>575</v>
      </c>
      <c r="B576" s="13" t="s">
        <v>2370</v>
      </c>
      <c r="C576" s="14" t="str">
        <f>_xlfn.CONCAT(B576&amp;" "&amp;W576&amp;X576&amp;Y576&amp;Z576)</f>
        <v>Crescent Moulds &amp; Precision Engg 4022</v>
      </c>
      <c r="D576" s="17">
        <v>636</v>
      </c>
      <c r="E576" s="13" t="s">
        <v>90</v>
      </c>
      <c r="F576" s="13"/>
      <c r="G576" s="28">
        <v>42990</v>
      </c>
      <c r="H576" s="28"/>
      <c r="I576" s="28"/>
      <c r="J576" s="26">
        <v>42990</v>
      </c>
      <c r="K576" s="26">
        <v>43354</v>
      </c>
      <c r="L576" s="32">
        <v>3</v>
      </c>
      <c r="M576" s="13"/>
      <c r="N576" s="13"/>
      <c r="O576" s="19"/>
      <c r="P576" s="2" t="s">
        <v>2371</v>
      </c>
      <c r="Q576" s="2" t="s">
        <v>4696</v>
      </c>
      <c r="R576" s="2" t="s">
        <v>944</v>
      </c>
      <c r="S576" s="2" t="s">
        <v>37</v>
      </c>
      <c r="T576" s="2">
        <v>600044</v>
      </c>
      <c r="U576" s="2" t="s">
        <v>38</v>
      </c>
      <c r="V576" s="2" t="s">
        <v>23</v>
      </c>
      <c r="W576" s="193">
        <v>4</v>
      </c>
      <c r="X576" s="2">
        <v>0</v>
      </c>
      <c r="Y576" s="2">
        <v>2</v>
      </c>
      <c r="Z576" s="2">
        <v>2</v>
      </c>
      <c r="AA576" s="193" t="s">
        <v>4148</v>
      </c>
      <c r="AB576" s="2"/>
    </row>
    <row r="577" spans="1:28" ht="15" customHeight="1">
      <c r="A577" s="16">
        <v>576</v>
      </c>
      <c r="B577" s="13" t="s">
        <v>2372</v>
      </c>
      <c r="C577" s="14" t="str">
        <f>_xlfn.CONCAT(B577&amp;" "&amp;W577&amp;X577&amp;Y577&amp;Z577)</f>
        <v>Napino Auto &amp; Electronics Ltd (Shifted from Halol to Manesar) 1111</v>
      </c>
      <c r="D577" s="17">
        <v>666</v>
      </c>
      <c r="E577" s="13" t="s">
        <v>42</v>
      </c>
      <c r="F577" s="13"/>
      <c r="G577" s="28">
        <v>42993</v>
      </c>
      <c r="H577" s="28"/>
      <c r="I577" s="28"/>
      <c r="J577" s="26">
        <v>42993</v>
      </c>
      <c r="K577" s="26">
        <v>43722</v>
      </c>
      <c r="L577" s="32">
        <v>3</v>
      </c>
      <c r="M577" s="13" t="s">
        <v>2373</v>
      </c>
      <c r="N577" s="13" t="s">
        <v>968</v>
      </c>
      <c r="O577" s="19">
        <v>7290087185</v>
      </c>
      <c r="P577" s="2" t="s">
        <v>2313</v>
      </c>
      <c r="Q577" s="2" t="s">
        <v>4697</v>
      </c>
      <c r="R577" s="2" t="s">
        <v>1875</v>
      </c>
      <c r="S577" s="2" t="s">
        <v>428</v>
      </c>
      <c r="T577" s="2">
        <v>122050</v>
      </c>
      <c r="U577" s="2" t="s">
        <v>429</v>
      </c>
      <c r="V577" s="2" t="s">
        <v>23</v>
      </c>
      <c r="W577" s="193">
        <v>1</v>
      </c>
      <c r="X577" s="2">
        <v>1</v>
      </c>
      <c r="Y577" s="2">
        <v>1</v>
      </c>
      <c r="Z577" s="2">
        <v>1</v>
      </c>
      <c r="AA577" s="193" t="s">
        <v>4118</v>
      </c>
      <c r="AB577" s="2"/>
    </row>
    <row r="578" spans="1:28" ht="15" customHeight="1">
      <c r="A578" s="16">
        <v>577</v>
      </c>
      <c r="B578" s="13" t="s">
        <v>2374</v>
      </c>
      <c r="C578" s="14" t="str">
        <f>_xlfn.CONCAT(B578&amp;" "&amp;W578&amp;X578&amp;Y578&amp;Z578)</f>
        <v>Wioska Moldings Pvt Ltd 1151</v>
      </c>
      <c r="D578" s="17">
        <v>668</v>
      </c>
      <c r="E578" s="13" t="s">
        <v>42</v>
      </c>
      <c r="F578" s="13"/>
      <c r="G578" s="28">
        <v>42993</v>
      </c>
      <c r="H578" s="28"/>
      <c r="I578" s="28"/>
      <c r="J578" s="28">
        <v>43831</v>
      </c>
      <c r="K578" s="26">
        <v>44196</v>
      </c>
      <c r="L578" s="32">
        <v>3</v>
      </c>
      <c r="M578" s="13"/>
      <c r="N578" s="13"/>
      <c r="O578" s="19"/>
      <c r="P578" s="2" t="s">
        <v>2376</v>
      </c>
      <c r="Q578" s="2" t="s">
        <v>4698</v>
      </c>
      <c r="R578" s="2"/>
      <c r="S578" s="2" t="s">
        <v>185</v>
      </c>
      <c r="T578" s="2">
        <v>201301</v>
      </c>
      <c r="U578" s="2" t="s">
        <v>184</v>
      </c>
      <c r="V578" s="2" t="s">
        <v>23</v>
      </c>
      <c r="W578" s="193">
        <v>1</v>
      </c>
      <c r="X578" s="2">
        <v>1</v>
      </c>
      <c r="Y578" s="2">
        <v>5</v>
      </c>
      <c r="Z578" s="2">
        <v>1</v>
      </c>
      <c r="AA578" s="193" t="s">
        <v>4118</v>
      </c>
      <c r="AB578" s="2"/>
    </row>
    <row r="579" spans="1:28" ht="15" customHeight="1">
      <c r="A579" s="16">
        <v>578</v>
      </c>
      <c r="B579" s="13" t="s">
        <v>2377</v>
      </c>
      <c r="C579" s="14" t="str">
        <f>_xlfn.CONCAT(B579&amp;" "&amp;W579&amp;X579&amp;Y579&amp;Z579)</f>
        <v>First Technologies (India) Pvt Ltd 4013</v>
      </c>
      <c r="D579" s="17">
        <v>658</v>
      </c>
      <c r="E579" s="13" t="s">
        <v>42</v>
      </c>
      <c r="F579" s="13"/>
      <c r="G579" s="28">
        <v>43002</v>
      </c>
      <c r="H579" s="28"/>
      <c r="I579" s="28"/>
      <c r="J579" s="26">
        <v>43885</v>
      </c>
      <c r="K579" s="26">
        <v>44250</v>
      </c>
      <c r="L579" s="32">
        <v>3</v>
      </c>
      <c r="M579" s="13"/>
      <c r="N579" s="13"/>
      <c r="O579" s="19"/>
      <c r="P579" s="2" t="s">
        <v>556</v>
      </c>
      <c r="Q579" s="2" t="s">
        <v>4699</v>
      </c>
      <c r="R579" s="2"/>
      <c r="S579" s="2" t="s">
        <v>1255</v>
      </c>
      <c r="T579" s="2">
        <v>605009</v>
      </c>
      <c r="U579" s="2" t="s">
        <v>38</v>
      </c>
      <c r="V579" s="2" t="s">
        <v>23</v>
      </c>
      <c r="W579" s="193">
        <v>4</v>
      </c>
      <c r="X579" s="2">
        <v>0</v>
      </c>
      <c r="Y579" s="2">
        <v>1</v>
      </c>
      <c r="Z579" s="2">
        <v>3</v>
      </c>
      <c r="AA579" s="193" t="s">
        <v>4148</v>
      </c>
      <c r="AB579" s="2"/>
    </row>
    <row r="580" spans="1:28" ht="15" customHeight="1">
      <c r="A580" s="16">
        <v>579</v>
      </c>
      <c r="B580" s="13" t="s">
        <v>2378</v>
      </c>
      <c r="C580" s="14" t="str">
        <f>_xlfn.CONCAT(B580&amp;" "&amp;W580&amp;X580&amp;Y580&amp;Z580)</f>
        <v>Spiral Tools Pvt Ltd 2451</v>
      </c>
      <c r="D580" s="17">
        <v>376</v>
      </c>
      <c r="E580" s="13" t="s">
        <v>302</v>
      </c>
      <c r="F580" s="13"/>
      <c r="G580" s="28">
        <v>43003</v>
      </c>
      <c r="H580" s="28"/>
      <c r="I580" s="28"/>
      <c r="J580" s="26">
        <v>44367</v>
      </c>
      <c r="K580" s="26">
        <v>44731</v>
      </c>
      <c r="L580" s="32">
        <v>3</v>
      </c>
      <c r="M580" s="13"/>
      <c r="N580" s="13"/>
      <c r="O580" s="19"/>
      <c r="P580" s="2" t="s">
        <v>2379</v>
      </c>
      <c r="Q580" s="2" t="s">
        <v>4700</v>
      </c>
      <c r="R580" s="2" t="s">
        <v>2380</v>
      </c>
      <c r="S580" s="2" t="s">
        <v>215</v>
      </c>
      <c r="T580" s="2">
        <v>412205</v>
      </c>
      <c r="U580" s="2" t="s">
        <v>172</v>
      </c>
      <c r="V580" s="2" t="s">
        <v>23</v>
      </c>
      <c r="W580" s="193">
        <v>2</v>
      </c>
      <c r="X580" s="2">
        <v>4</v>
      </c>
      <c r="Y580" s="2">
        <v>5</v>
      </c>
      <c r="Z580" s="2">
        <v>1</v>
      </c>
      <c r="AA580" s="193" t="s">
        <v>4151</v>
      </c>
      <c r="AB580" s="2"/>
    </row>
    <row r="581" spans="1:28" ht="15" customHeight="1">
      <c r="A581" s="16">
        <v>580</v>
      </c>
      <c r="B581" s="13" t="s">
        <v>2381</v>
      </c>
      <c r="C581" s="14" t="str">
        <f>_xlfn.CONCAT(B581&amp;" "&amp;W581&amp;X581&amp;Y581&amp;Z581)</f>
        <v>Durga Auto Parts Industries 1312</v>
      </c>
      <c r="D581" s="17">
        <v>663</v>
      </c>
      <c r="E581" s="13" t="s">
        <v>42</v>
      </c>
      <c r="F581" s="13"/>
      <c r="G581" s="28">
        <v>43005</v>
      </c>
      <c r="H581" s="28"/>
      <c r="I581" s="28"/>
      <c r="J581" s="26">
        <v>43005</v>
      </c>
      <c r="K581" s="26">
        <v>43734</v>
      </c>
      <c r="L581" s="32">
        <v>3</v>
      </c>
      <c r="M581" s="13"/>
      <c r="N581" s="13"/>
      <c r="O581" s="19"/>
      <c r="P581" s="2" t="s">
        <v>1188</v>
      </c>
      <c r="Q581" s="2" t="s">
        <v>4701</v>
      </c>
      <c r="R581" s="2" t="s">
        <v>2382</v>
      </c>
      <c r="S581" s="2" t="s">
        <v>2383</v>
      </c>
      <c r="T581" s="2">
        <v>133302</v>
      </c>
      <c r="U581" s="2" t="s">
        <v>429</v>
      </c>
      <c r="V581" s="2" t="s">
        <v>23</v>
      </c>
      <c r="W581" s="193">
        <v>1</v>
      </c>
      <c r="X581" s="2">
        <v>3</v>
      </c>
      <c r="Y581" s="2">
        <v>1</v>
      </c>
      <c r="Z581" s="2">
        <v>2</v>
      </c>
      <c r="AA581" s="193" t="s">
        <v>4118</v>
      </c>
      <c r="AB581" s="2"/>
    </row>
    <row r="582" spans="1:28" ht="15" customHeight="1">
      <c r="A582" s="16">
        <v>581</v>
      </c>
      <c r="B582" s="13" t="s">
        <v>2384</v>
      </c>
      <c r="C582" s="14" t="str">
        <f>_xlfn.CONCAT(B582&amp;" "&amp;W582&amp;X582&amp;Y582&amp;Z582)</f>
        <v>S. S. White Technologies India Pvt Ltd 5231</v>
      </c>
      <c r="D582" s="17">
        <v>660</v>
      </c>
      <c r="E582" s="13" t="s">
        <v>42</v>
      </c>
      <c r="F582" s="13"/>
      <c r="G582" s="28">
        <v>43011</v>
      </c>
      <c r="H582" s="28"/>
      <c r="I582" s="28"/>
      <c r="J582" s="26">
        <v>43361</v>
      </c>
      <c r="K582" s="26">
        <v>43725</v>
      </c>
      <c r="L582" s="32">
        <v>3</v>
      </c>
      <c r="M582" s="13"/>
      <c r="N582" s="13"/>
      <c r="O582" s="19"/>
      <c r="P582" s="2" t="s">
        <v>2385</v>
      </c>
      <c r="Q582" s="2" t="s">
        <v>4702</v>
      </c>
      <c r="R582" s="2" t="s">
        <v>376</v>
      </c>
      <c r="S582" s="2" t="s">
        <v>2198</v>
      </c>
      <c r="T582" s="2">
        <v>363030</v>
      </c>
      <c r="U582" s="2" t="s">
        <v>144</v>
      </c>
      <c r="V582" s="2" t="s">
        <v>23</v>
      </c>
      <c r="W582" s="193">
        <v>5</v>
      </c>
      <c r="X582" s="2">
        <v>2</v>
      </c>
      <c r="Y582" s="2">
        <v>3</v>
      </c>
      <c r="Z582" s="2">
        <v>1</v>
      </c>
      <c r="AA582" s="193" t="s">
        <v>4118</v>
      </c>
      <c r="AB582" s="2"/>
    </row>
    <row r="583" spans="1:28" ht="15" customHeight="1">
      <c r="A583" s="16">
        <v>582</v>
      </c>
      <c r="B583" s="13" t="s">
        <v>2384</v>
      </c>
      <c r="C583" s="14" t="str">
        <f>_xlfn.CONCAT(B583&amp;" "&amp;W583&amp;X583&amp;Y583&amp;Z583)</f>
        <v>S. S. White Technologies India Pvt Ltd 5231</v>
      </c>
      <c r="D583" s="17">
        <v>662</v>
      </c>
      <c r="E583" s="13" t="s">
        <v>42</v>
      </c>
      <c r="F583" s="13"/>
      <c r="G583" s="28">
        <v>43011</v>
      </c>
      <c r="H583" s="28"/>
      <c r="I583" s="28"/>
      <c r="J583" s="26">
        <v>43361</v>
      </c>
      <c r="K583" s="26">
        <v>43725</v>
      </c>
      <c r="L583" s="32">
        <v>3</v>
      </c>
      <c r="M583" s="13"/>
      <c r="N583" s="13"/>
      <c r="O583" s="19"/>
      <c r="P583" s="2" t="s">
        <v>2385</v>
      </c>
      <c r="Q583" s="2" t="s">
        <v>4702</v>
      </c>
      <c r="R583" s="2" t="s">
        <v>376</v>
      </c>
      <c r="S583" s="2" t="s">
        <v>2198</v>
      </c>
      <c r="T583" s="2">
        <v>363030</v>
      </c>
      <c r="U583" s="2" t="s">
        <v>144</v>
      </c>
      <c r="V583" s="2" t="s">
        <v>23</v>
      </c>
      <c r="W583" s="193">
        <v>5</v>
      </c>
      <c r="X583" s="2">
        <v>2</v>
      </c>
      <c r="Y583" s="2">
        <v>3</v>
      </c>
      <c r="Z583" s="2">
        <v>1</v>
      </c>
      <c r="AA583" s="193" t="s">
        <v>4118</v>
      </c>
      <c r="AB583" s="2"/>
    </row>
    <row r="584" spans="1:28" ht="15" customHeight="1">
      <c r="A584" s="16">
        <v>583</v>
      </c>
      <c r="B584" s="8" t="s">
        <v>2386</v>
      </c>
      <c r="C584" s="14" t="str">
        <f>_xlfn.CONCAT(B584&amp;" "&amp;W584&amp;X584&amp;Y584&amp;Z584)</f>
        <v>Modvak Engg (I) Pvt Ltd 1121</v>
      </c>
      <c r="D584" s="17">
        <v>667</v>
      </c>
      <c r="E584" s="8" t="s">
        <v>42</v>
      </c>
      <c r="F584" s="8"/>
      <c r="G584" s="23">
        <v>43020</v>
      </c>
      <c r="H584" s="23"/>
      <c r="I584" s="23"/>
      <c r="J584" s="26">
        <v>44473</v>
      </c>
      <c r="K584" s="26">
        <v>44837</v>
      </c>
      <c r="L584" s="32">
        <v>3</v>
      </c>
      <c r="M584" s="8"/>
      <c r="N584" s="8"/>
      <c r="O584" s="19"/>
      <c r="P584" s="8" t="s">
        <v>2387</v>
      </c>
      <c r="Q584" s="8" t="s">
        <v>4703</v>
      </c>
      <c r="R584" s="8" t="s">
        <v>2388</v>
      </c>
      <c r="S584" s="8" t="s">
        <v>656</v>
      </c>
      <c r="T584" s="8">
        <v>124507</v>
      </c>
      <c r="U584" s="8" t="s">
        <v>429</v>
      </c>
      <c r="V584" s="8" t="s">
        <v>23</v>
      </c>
      <c r="W584" s="193">
        <v>1</v>
      </c>
      <c r="X584" s="8">
        <v>1</v>
      </c>
      <c r="Y584" s="8">
        <v>2</v>
      </c>
      <c r="Z584" s="8">
        <v>1</v>
      </c>
      <c r="AA584" s="193" t="s">
        <v>4118</v>
      </c>
      <c r="AB584" s="2"/>
    </row>
    <row r="585" spans="1:28" ht="15" customHeight="1">
      <c r="A585" s="16">
        <v>584</v>
      </c>
      <c r="B585" s="8" t="s">
        <v>2389</v>
      </c>
      <c r="C585" s="14" t="str">
        <f>_xlfn.CONCAT(B585&amp;" "&amp;W585&amp;X585&amp;Y585&amp;Z585)</f>
        <v>ELCIA Cluster 8011</v>
      </c>
      <c r="D585" s="17">
        <v>642</v>
      </c>
      <c r="E585" s="8" t="s">
        <v>90</v>
      </c>
      <c r="F585" s="8"/>
      <c r="G585" s="23">
        <v>43024</v>
      </c>
      <c r="H585" s="23"/>
      <c r="I585" s="23"/>
      <c r="J585" s="26">
        <v>45816</v>
      </c>
      <c r="K585" s="26">
        <v>46180</v>
      </c>
      <c r="L585" s="32">
        <v>3</v>
      </c>
      <c r="M585" s="8"/>
      <c r="N585" s="8"/>
      <c r="O585" s="19"/>
      <c r="P585" s="8"/>
      <c r="Q585" s="8" t="s">
        <v>3838</v>
      </c>
      <c r="R585" s="8"/>
      <c r="S585" s="8"/>
      <c r="T585" s="8"/>
      <c r="U585" s="8" t="s">
        <v>22</v>
      </c>
      <c r="V585" s="8" t="s">
        <v>23</v>
      </c>
      <c r="W585" s="193">
        <v>8</v>
      </c>
      <c r="X585" s="8">
        <v>0</v>
      </c>
      <c r="Y585" s="8">
        <v>1</v>
      </c>
      <c r="Z585" s="8">
        <v>1</v>
      </c>
      <c r="AA585" s="193" t="s">
        <v>4118</v>
      </c>
      <c r="AB585" s="2"/>
    </row>
    <row r="586" spans="1:28" ht="15" customHeight="1">
      <c r="A586" s="16">
        <v>585</v>
      </c>
      <c r="B586" s="8" t="s">
        <v>2390</v>
      </c>
      <c r="C586" s="14" t="str">
        <f>_xlfn.CONCAT(B586&amp;" "&amp;W586&amp;X586&amp;Y586&amp;Z586)</f>
        <v>Century Extrusions Limited 3002</v>
      </c>
      <c r="D586" s="17">
        <v>659</v>
      </c>
      <c r="E586" s="8" t="s">
        <v>42</v>
      </c>
      <c r="F586" s="8"/>
      <c r="G586" s="23">
        <v>43031</v>
      </c>
      <c r="H586" s="23"/>
      <c r="I586" s="23"/>
      <c r="J586" s="26">
        <v>43642</v>
      </c>
      <c r="K586" s="26">
        <v>44007</v>
      </c>
      <c r="L586" s="32">
        <v>3</v>
      </c>
      <c r="M586" s="8" t="s">
        <v>2391</v>
      </c>
      <c r="N586" s="8"/>
      <c r="O586" s="19"/>
      <c r="P586" s="8"/>
      <c r="Q586" s="8" t="s">
        <v>3838</v>
      </c>
      <c r="R586" s="8"/>
      <c r="S586" s="8"/>
      <c r="T586" s="8"/>
      <c r="U586" s="8" t="s">
        <v>328</v>
      </c>
      <c r="V586" s="8" t="s">
        <v>23</v>
      </c>
      <c r="W586" s="193">
        <v>3</v>
      </c>
      <c r="X586" s="8">
        <v>0</v>
      </c>
      <c r="Y586" s="8">
        <v>0</v>
      </c>
      <c r="Z586" s="8">
        <v>2</v>
      </c>
      <c r="AA586" s="193" t="s">
        <v>4148</v>
      </c>
      <c r="AB586" s="2"/>
    </row>
    <row r="587" spans="1:28" ht="15" customHeight="1">
      <c r="A587" s="16">
        <v>586</v>
      </c>
      <c r="B587" s="8" t="s">
        <v>2393</v>
      </c>
      <c r="C587" s="14" t="str">
        <f>_xlfn.CONCAT(B587&amp;" "&amp;W587&amp;X587&amp;Y587&amp;Z587)</f>
        <v>Bharti Hydrofitments &amp; Engineers Pvt Ltd 1335</v>
      </c>
      <c r="D587" s="17">
        <v>641</v>
      </c>
      <c r="E587" s="8" t="s">
        <v>90</v>
      </c>
      <c r="F587" s="8"/>
      <c r="G587" s="23">
        <v>43031</v>
      </c>
      <c r="H587" s="23"/>
      <c r="I587" s="23"/>
      <c r="J587" s="26">
        <v>43031</v>
      </c>
      <c r="K587" s="26">
        <v>43760</v>
      </c>
      <c r="L587" s="32">
        <v>3</v>
      </c>
      <c r="M587" s="8" t="s">
        <v>2394</v>
      </c>
      <c r="N587" s="8" t="s">
        <v>71</v>
      </c>
      <c r="O587" s="19">
        <v>9216441951</v>
      </c>
      <c r="P587" s="8" t="s">
        <v>2395</v>
      </c>
      <c r="Q587" s="8" t="s">
        <v>4704</v>
      </c>
      <c r="R587" s="8" t="s">
        <v>2396</v>
      </c>
      <c r="S587" s="8" t="s">
        <v>1994</v>
      </c>
      <c r="T587" s="8">
        <v>141010</v>
      </c>
      <c r="U587" s="8" t="s">
        <v>1787</v>
      </c>
      <c r="V587" s="8" t="s">
        <v>23</v>
      </c>
      <c r="W587" s="193">
        <v>1</v>
      </c>
      <c r="X587" s="8">
        <v>3</v>
      </c>
      <c r="Y587" s="8">
        <v>3</v>
      </c>
      <c r="Z587" s="8">
        <v>5</v>
      </c>
      <c r="AA587" s="193" t="s">
        <v>4118</v>
      </c>
      <c r="AB587" s="2"/>
    </row>
    <row r="588" spans="1:28" ht="15" customHeight="1">
      <c r="A588" s="16">
        <v>587</v>
      </c>
      <c r="B588" s="14" t="s">
        <v>645</v>
      </c>
      <c r="C588" s="14" t="str">
        <f>_xlfn.CONCAT(B588&amp;" "&amp;W588&amp;X588&amp;Y588&amp;Z588)</f>
        <v>Bhavani Industries 8011</v>
      </c>
      <c r="D588" s="16">
        <v>837</v>
      </c>
      <c r="E588" s="14" t="s">
        <v>90</v>
      </c>
      <c r="F588" s="14"/>
      <c r="G588" s="30">
        <v>43032</v>
      </c>
      <c r="H588" s="30"/>
      <c r="I588" s="30"/>
      <c r="J588" s="24">
        <v>44444</v>
      </c>
      <c r="K588" s="24">
        <v>44808</v>
      </c>
      <c r="L588" s="32">
        <v>3</v>
      </c>
      <c r="M588" s="14" t="s">
        <v>646</v>
      </c>
      <c r="N588" s="8"/>
      <c r="O588" s="18" t="s">
        <v>2397</v>
      </c>
      <c r="P588" s="195" t="s">
        <v>649</v>
      </c>
      <c r="Q588" s="195" t="s">
        <v>4267</v>
      </c>
      <c r="R588" s="195" t="s">
        <v>166</v>
      </c>
      <c r="S588" s="195" t="s">
        <v>21</v>
      </c>
      <c r="T588" s="195">
        <v>560100</v>
      </c>
      <c r="U588" s="195" t="s">
        <v>22</v>
      </c>
      <c r="V588" s="195" t="s">
        <v>23</v>
      </c>
      <c r="W588" s="193">
        <v>8</v>
      </c>
      <c r="X588" s="195">
        <v>0</v>
      </c>
      <c r="Y588" s="195">
        <v>1</v>
      </c>
      <c r="Z588" s="195">
        <v>1</v>
      </c>
      <c r="AA588" s="193" t="s">
        <v>4118</v>
      </c>
      <c r="AB588" s="2"/>
    </row>
    <row r="589" spans="1:28" ht="15" customHeight="1">
      <c r="A589" s="16">
        <v>588</v>
      </c>
      <c r="B589" s="13" t="s">
        <v>2398</v>
      </c>
      <c r="C589" s="14" t="str">
        <f>_xlfn.CONCAT(B589&amp;" "&amp;W589&amp;X589&amp;Y589&amp;Z589)</f>
        <v>Surindera Cycles Pvt. Ltd 1335</v>
      </c>
      <c r="D589" s="17">
        <v>673</v>
      </c>
      <c r="E589" s="13" t="s">
        <v>42</v>
      </c>
      <c r="F589" s="13"/>
      <c r="G589" s="28">
        <v>43034</v>
      </c>
      <c r="H589" s="28"/>
      <c r="I589" s="28"/>
      <c r="J589" s="26">
        <v>43034</v>
      </c>
      <c r="K589" s="26">
        <v>43398</v>
      </c>
      <c r="L589" s="32">
        <v>3</v>
      </c>
      <c r="M589" s="13"/>
      <c r="N589" s="13"/>
      <c r="O589" s="19"/>
      <c r="P589" s="2" t="s">
        <v>2341</v>
      </c>
      <c r="Q589" s="2" t="s">
        <v>4705</v>
      </c>
      <c r="R589" s="2"/>
      <c r="S589" s="2" t="s">
        <v>1994</v>
      </c>
      <c r="T589" s="2">
        <v>141010</v>
      </c>
      <c r="U589" s="2" t="s">
        <v>1787</v>
      </c>
      <c r="V589" s="2" t="s">
        <v>23</v>
      </c>
      <c r="W589" s="193">
        <v>1</v>
      </c>
      <c r="X589" s="2">
        <v>3</v>
      </c>
      <c r="Y589" s="2">
        <v>3</v>
      </c>
      <c r="Z589" s="2">
        <v>5</v>
      </c>
      <c r="AA589" s="193" t="s">
        <v>4118</v>
      </c>
      <c r="AB589" s="2"/>
    </row>
    <row r="590" spans="1:28" ht="15" customHeight="1">
      <c r="A590" s="16">
        <v>589</v>
      </c>
      <c r="B590" s="8" t="s">
        <v>2399</v>
      </c>
      <c r="C590" s="14" t="str">
        <f>_xlfn.CONCAT(B590&amp;" "&amp;W590&amp;X590&amp;Y590&amp;Z590)</f>
        <v>Dalal Plastics PvtLtd 6021</v>
      </c>
      <c r="D590" s="17">
        <v>665</v>
      </c>
      <c r="E590" s="8" t="s">
        <v>42</v>
      </c>
      <c r="F590" s="8"/>
      <c r="G590" s="23">
        <v>43047</v>
      </c>
      <c r="H590" s="23"/>
      <c r="I590" s="23"/>
      <c r="J590" s="26">
        <v>44390</v>
      </c>
      <c r="K590" s="26">
        <v>44754</v>
      </c>
      <c r="L590" s="32">
        <v>3</v>
      </c>
      <c r="M590" s="8" t="s">
        <v>2400</v>
      </c>
      <c r="N590" s="8" t="s">
        <v>28</v>
      </c>
      <c r="O590" s="19">
        <v>9821110600</v>
      </c>
      <c r="P590" s="8" t="s">
        <v>2186</v>
      </c>
      <c r="Q590" s="8" t="s">
        <v>4706</v>
      </c>
      <c r="R590" s="8" t="s">
        <v>56</v>
      </c>
      <c r="S590" s="8" t="s">
        <v>53</v>
      </c>
      <c r="T590" s="8">
        <v>500055</v>
      </c>
      <c r="U590" s="8" t="s">
        <v>1844</v>
      </c>
      <c r="V590" s="8" t="s">
        <v>23</v>
      </c>
      <c r="W590" s="193">
        <v>6</v>
      </c>
      <c r="X590" s="8">
        <v>0</v>
      </c>
      <c r="Y590" s="8">
        <v>2</v>
      </c>
      <c r="Z590" s="8">
        <v>1</v>
      </c>
      <c r="AA590" s="193" t="s">
        <v>4148</v>
      </c>
      <c r="AB590" s="2"/>
    </row>
    <row r="591" spans="1:28" ht="15" customHeight="1">
      <c r="A591" s="16">
        <v>590</v>
      </c>
      <c r="B591" s="8" t="s">
        <v>2401</v>
      </c>
      <c r="C591" s="14" t="str">
        <f>_xlfn.CONCAT(B591&amp;" "&amp;W591&amp;X591&amp;Y591&amp;Z591)</f>
        <v>Oswin Industries 1334</v>
      </c>
      <c r="D591" s="17">
        <v>669</v>
      </c>
      <c r="E591" s="8" t="s">
        <v>42</v>
      </c>
      <c r="F591" s="8"/>
      <c r="G591" s="23">
        <v>43049</v>
      </c>
      <c r="H591" s="23"/>
      <c r="I591" s="23"/>
      <c r="J591" s="26">
        <v>44554</v>
      </c>
      <c r="K591" s="26">
        <v>44918</v>
      </c>
      <c r="L591" s="32">
        <v>3</v>
      </c>
      <c r="M591" s="8" t="s">
        <v>2391</v>
      </c>
      <c r="N591" s="8"/>
      <c r="O591" s="19"/>
      <c r="P591" s="8"/>
      <c r="Q591" s="8" t="s">
        <v>4707</v>
      </c>
      <c r="R591" s="8"/>
      <c r="S591" s="8" t="s">
        <v>2382</v>
      </c>
      <c r="T591" s="8">
        <v>134109</v>
      </c>
      <c r="U591" s="8" t="s">
        <v>429</v>
      </c>
      <c r="V591" s="8" t="s">
        <v>23</v>
      </c>
      <c r="W591" s="193">
        <v>1</v>
      </c>
      <c r="X591" s="8">
        <v>3</v>
      </c>
      <c r="Y591" s="8">
        <v>3</v>
      </c>
      <c r="Z591" s="8">
        <v>4</v>
      </c>
      <c r="AA591" s="193" t="s">
        <v>4118</v>
      </c>
      <c r="AB591" s="2"/>
    </row>
    <row r="592" spans="1:28" ht="15" customHeight="1">
      <c r="A592" s="16">
        <v>591</v>
      </c>
      <c r="B592" s="8" t="s">
        <v>2402</v>
      </c>
      <c r="C592" s="14" t="str">
        <f>_xlfn.CONCAT(B592&amp;" "&amp;W592&amp;X592&amp;Y592&amp;Z592)</f>
        <v>Hindalco Industries Ltd (Sapa Extrusion India Pvt Ltd) 8084</v>
      </c>
      <c r="D592" s="17">
        <v>648</v>
      </c>
      <c r="E592" s="8" t="s">
        <v>90</v>
      </c>
      <c r="F592" s="8"/>
      <c r="G592" s="23">
        <v>43053</v>
      </c>
      <c r="H592" s="23"/>
      <c r="I592" s="23"/>
      <c r="J592" s="26">
        <v>45952</v>
      </c>
      <c r="K592" s="26">
        <v>46316</v>
      </c>
      <c r="L592" s="32">
        <v>3</v>
      </c>
      <c r="M592" s="8"/>
      <c r="N592" s="8"/>
      <c r="O592" s="19"/>
      <c r="P592" s="8" t="s">
        <v>2403</v>
      </c>
      <c r="Q592" s="8" t="s">
        <v>4708</v>
      </c>
      <c r="R592" s="8" t="s">
        <v>2404</v>
      </c>
      <c r="S592" s="8" t="s">
        <v>2405</v>
      </c>
      <c r="T592" s="8">
        <v>517425</v>
      </c>
      <c r="U592" s="8" t="s">
        <v>54</v>
      </c>
      <c r="V592" s="8" t="s">
        <v>23</v>
      </c>
      <c r="W592" s="193">
        <v>8</v>
      </c>
      <c r="X592" s="8">
        <v>0</v>
      </c>
      <c r="Y592" s="8">
        <v>8</v>
      </c>
      <c r="Z592" s="8">
        <v>4</v>
      </c>
      <c r="AA592" s="193" t="s">
        <v>4118</v>
      </c>
      <c r="AB592" s="2"/>
    </row>
    <row r="593" spans="1:28" ht="15" customHeight="1">
      <c r="A593" s="16">
        <v>592</v>
      </c>
      <c r="B593" s="8" t="s">
        <v>2406</v>
      </c>
      <c r="C593" s="14" t="str">
        <f>_xlfn.CONCAT(B593&amp;" "&amp;W593&amp;X593&amp;Y593&amp;Z593)</f>
        <v>Keerthi Technocraft Pvt Ltd 8012</v>
      </c>
      <c r="D593" s="17">
        <v>640</v>
      </c>
      <c r="E593" s="8" t="s">
        <v>90</v>
      </c>
      <c r="F593" s="8"/>
      <c r="G593" s="23">
        <v>43055</v>
      </c>
      <c r="H593" s="23"/>
      <c r="I593" s="23"/>
      <c r="J593" s="26">
        <v>44544</v>
      </c>
      <c r="K593" s="26">
        <v>44908</v>
      </c>
      <c r="L593" s="32">
        <v>3</v>
      </c>
      <c r="M593" s="8"/>
      <c r="N593" s="8"/>
      <c r="O593" s="19"/>
      <c r="P593" s="8" t="s">
        <v>2359</v>
      </c>
      <c r="Q593" s="8" t="s">
        <v>4709</v>
      </c>
      <c r="R593" s="8"/>
      <c r="S593" s="8" t="s">
        <v>21</v>
      </c>
      <c r="T593" s="8" t="s">
        <v>2407</v>
      </c>
      <c r="U593" s="8" t="s">
        <v>22</v>
      </c>
      <c r="V593" s="8" t="s">
        <v>23</v>
      </c>
      <c r="W593" s="193">
        <v>8</v>
      </c>
      <c r="X593" s="8">
        <v>0</v>
      </c>
      <c r="Y593" s="8">
        <v>1</v>
      </c>
      <c r="Z593" s="8">
        <v>2</v>
      </c>
      <c r="AA593" s="193" t="s">
        <v>4118</v>
      </c>
      <c r="AB593" s="2"/>
    </row>
    <row r="594" spans="1:28" ht="15" customHeight="1">
      <c r="A594" s="16">
        <v>593</v>
      </c>
      <c r="B594" s="14" t="s">
        <v>2408</v>
      </c>
      <c r="C594" s="14" t="str">
        <f>_xlfn.CONCAT(B594&amp;" "&amp;W594&amp;X594&amp;Y594&amp;Z594)</f>
        <v>Omni Matrix Pvt Ltd 8061</v>
      </c>
      <c r="D594" s="16">
        <v>671</v>
      </c>
      <c r="E594" s="14" t="s">
        <v>42</v>
      </c>
      <c r="F594" s="14"/>
      <c r="G594" s="30">
        <v>43055</v>
      </c>
      <c r="H594" s="30"/>
      <c r="I594" s="30"/>
      <c r="J594" s="24">
        <v>43404</v>
      </c>
      <c r="K594" s="24">
        <v>43768</v>
      </c>
      <c r="L594" s="32">
        <v>3</v>
      </c>
      <c r="M594" s="14" t="s">
        <v>2409</v>
      </c>
      <c r="N594" s="8" t="s">
        <v>325</v>
      </c>
      <c r="O594" s="18">
        <v>8197689539</v>
      </c>
      <c r="P594" s="195" t="s">
        <v>2410</v>
      </c>
      <c r="Q594" s="195" t="s">
        <v>4710</v>
      </c>
      <c r="R594" s="195" t="s">
        <v>2411</v>
      </c>
      <c r="S594" s="195" t="s">
        <v>21</v>
      </c>
      <c r="T594" s="195" t="s">
        <v>2412</v>
      </c>
      <c r="U594" s="195" t="s">
        <v>22</v>
      </c>
      <c r="V594" s="195" t="s">
        <v>23</v>
      </c>
      <c r="W594" s="193">
        <v>8</v>
      </c>
      <c r="X594" s="195">
        <v>0</v>
      </c>
      <c r="Y594" s="195">
        <v>6</v>
      </c>
      <c r="Z594" s="195">
        <v>1</v>
      </c>
      <c r="AA594" s="193" t="s">
        <v>4118</v>
      </c>
      <c r="AB594" s="2"/>
    </row>
    <row r="595" spans="1:28" ht="15" customHeight="1">
      <c r="A595" s="16">
        <v>594</v>
      </c>
      <c r="B595" s="14" t="s">
        <v>2413</v>
      </c>
      <c r="C595" s="14" t="str">
        <f>_xlfn.CONCAT(B595&amp;" "&amp;W595&amp;X595&amp;Y595&amp;Z595)</f>
        <v>Deep Plastics Industries 2222</v>
      </c>
      <c r="D595" s="16">
        <v>664</v>
      </c>
      <c r="E595" s="14" t="s">
        <v>42</v>
      </c>
      <c r="F595" s="14"/>
      <c r="G595" s="30">
        <v>43060</v>
      </c>
      <c r="H595" s="30"/>
      <c r="I595" s="30"/>
      <c r="J595" s="24">
        <v>43060</v>
      </c>
      <c r="K595" s="24">
        <v>43424</v>
      </c>
      <c r="L595" s="32">
        <v>3</v>
      </c>
      <c r="M595" s="14"/>
      <c r="N595" s="8"/>
      <c r="O595" s="18"/>
      <c r="P595" s="195" t="s">
        <v>2414</v>
      </c>
      <c r="Q595" s="195" t="s">
        <v>4711</v>
      </c>
      <c r="R595" s="195" t="s">
        <v>2415</v>
      </c>
      <c r="S595" s="195" t="s">
        <v>177</v>
      </c>
      <c r="T595" s="195">
        <v>401208</v>
      </c>
      <c r="U595" s="195" t="s">
        <v>172</v>
      </c>
      <c r="V595" s="195" t="s">
        <v>23</v>
      </c>
      <c r="W595" s="193">
        <v>2</v>
      </c>
      <c r="X595" s="195">
        <v>2</v>
      </c>
      <c r="Y595" s="195">
        <v>2</v>
      </c>
      <c r="Z595" s="195">
        <v>2</v>
      </c>
      <c r="AA595" s="193" t="s">
        <v>4118</v>
      </c>
      <c r="AB595" s="2"/>
    </row>
    <row r="596" spans="1:28" ht="15" customHeight="1">
      <c r="A596" s="16">
        <v>595</v>
      </c>
      <c r="B596" s="13" t="s">
        <v>2416</v>
      </c>
      <c r="C596" s="14" t="str">
        <f>_xlfn.CONCAT(B596&amp;" "&amp;W596&amp;X596&amp;Y596&amp;Z596)</f>
        <v>Lakshmi Electrical Control Systems Limited 4111</v>
      </c>
      <c r="D596" s="17">
        <v>682</v>
      </c>
      <c r="E596" s="13" t="s">
        <v>2082</v>
      </c>
      <c r="F596" s="13"/>
      <c r="G596" s="28">
        <v>43065</v>
      </c>
      <c r="H596" s="28"/>
      <c r="I596" s="28"/>
      <c r="J596" s="26">
        <v>43834</v>
      </c>
      <c r="K596" s="26">
        <v>44199</v>
      </c>
      <c r="L596" s="32">
        <v>3</v>
      </c>
      <c r="M596" s="13"/>
      <c r="N596" s="13"/>
      <c r="O596" s="19"/>
      <c r="P596" s="2"/>
      <c r="Q596" s="2" t="s">
        <v>3838</v>
      </c>
      <c r="R596" s="2" t="s">
        <v>103</v>
      </c>
      <c r="S596" s="2" t="s">
        <v>101</v>
      </c>
      <c r="T596" s="2">
        <v>641407</v>
      </c>
      <c r="U596" s="2" t="s">
        <v>38</v>
      </c>
      <c r="V596" s="2" t="s">
        <v>23</v>
      </c>
      <c r="W596" s="193">
        <v>4</v>
      </c>
      <c r="X596" s="2">
        <v>1</v>
      </c>
      <c r="Y596" s="2">
        <v>1</v>
      </c>
      <c r="Z596" s="2">
        <v>1</v>
      </c>
      <c r="AA596" s="193" t="s">
        <v>4148</v>
      </c>
      <c r="AB596" s="2"/>
    </row>
    <row r="597" spans="1:28" ht="15" customHeight="1">
      <c r="A597" s="16">
        <v>596</v>
      </c>
      <c r="B597" s="13" t="s">
        <v>2417</v>
      </c>
      <c r="C597" s="14" t="str">
        <f>_xlfn.CONCAT(B597&amp;" "&amp;W597&amp;X597&amp;Y597&amp;Z597)</f>
        <v>Seco Tools India Pvt Ltd 0000</v>
      </c>
      <c r="D597" s="17">
        <v>677</v>
      </c>
      <c r="E597" s="13" t="s">
        <v>42</v>
      </c>
      <c r="F597" s="13"/>
      <c r="G597" s="28">
        <v>43075</v>
      </c>
      <c r="H597" s="28"/>
      <c r="I597" s="28"/>
      <c r="J597" s="26">
        <v>43819</v>
      </c>
      <c r="K597" s="26">
        <v>44549</v>
      </c>
      <c r="L597" s="32">
        <v>3</v>
      </c>
      <c r="M597" s="13" t="s">
        <v>2418</v>
      </c>
      <c r="N597" s="13" t="s">
        <v>2419</v>
      </c>
      <c r="O597" s="19">
        <v>9922950238</v>
      </c>
      <c r="P597" s="2" t="s">
        <v>2420</v>
      </c>
      <c r="Q597" s="2" t="s">
        <v>4712</v>
      </c>
      <c r="R597" s="2" t="s">
        <v>2421</v>
      </c>
      <c r="S597" s="2" t="s">
        <v>215</v>
      </c>
      <c r="T597" s="2">
        <v>412216</v>
      </c>
      <c r="U597" s="2" t="s">
        <v>172</v>
      </c>
      <c r="V597" s="2" t="s">
        <v>23</v>
      </c>
      <c r="W597" s="193">
        <v>0</v>
      </c>
      <c r="X597" s="2">
        <v>0</v>
      </c>
      <c r="Y597" s="2">
        <v>0</v>
      </c>
      <c r="Z597" s="2">
        <v>0</v>
      </c>
      <c r="AA597" s="193">
        <v>0</v>
      </c>
      <c r="AB597" s="2"/>
    </row>
    <row r="598" spans="1:28" ht="15" customHeight="1">
      <c r="A598" s="16">
        <v>597</v>
      </c>
      <c r="B598" s="13" t="s">
        <v>2422</v>
      </c>
      <c r="C598" s="14" t="str">
        <f>_xlfn.CONCAT(B598&amp;" "&amp;W598&amp;X598&amp;Y598&amp;Z598)</f>
        <v>Polyrub Cooper Standard FTS Pvt Ltd 2413</v>
      </c>
      <c r="D598" s="17">
        <v>675</v>
      </c>
      <c r="E598" s="13" t="s">
        <v>42</v>
      </c>
      <c r="F598" s="13"/>
      <c r="G598" s="28">
        <v>43070</v>
      </c>
      <c r="H598" s="28"/>
      <c r="I598" s="28"/>
      <c r="J598" s="26">
        <v>45868</v>
      </c>
      <c r="K598" s="26">
        <v>46232</v>
      </c>
      <c r="L598" s="32">
        <v>3</v>
      </c>
      <c r="M598" s="13" t="s">
        <v>2423</v>
      </c>
      <c r="N598" s="13"/>
      <c r="O598" s="19">
        <v>7410015165</v>
      </c>
      <c r="P598" s="2" t="s">
        <v>2424</v>
      </c>
      <c r="Q598" s="2" t="s">
        <v>4713</v>
      </c>
      <c r="R598" s="2" t="s">
        <v>2425</v>
      </c>
      <c r="S598" s="2" t="s">
        <v>215</v>
      </c>
      <c r="T598" s="2">
        <v>410501</v>
      </c>
      <c r="U598" s="2" t="s">
        <v>172</v>
      </c>
      <c r="V598" s="2" t="s">
        <v>23</v>
      </c>
      <c r="W598" s="193">
        <v>2</v>
      </c>
      <c r="X598" s="2">
        <v>4</v>
      </c>
      <c r="Y598" s="2">
        <v>1</v>
      </c>
      <c r="Z598" s="2">
        <v>3</v>
      </c>
      <c r="AA598" s="193" t="s">
        <v>4151</v>
      </c>
      <c r="AB598" s="2"/>
    </row>
    <row r="599" spans="1:28" ht="15" customHeight="1">
      <c r="A599" s="16">
        <v>598</v>
      </c>
      <c r="B599" s="13" t="s">
        <v>2427</v>
      </c>
      <c r="C599" s="14" t="str">
        <f>_xlfn.CONCAT(B599&amp;" "&amp;W599&amp;X599&amp;Y599&amp;Z599)</f>
        <v>Schneider Electric India Pvt Ltd (Larsen &amp; Toubro Limited) 5112</v>
      </c>
      <c r="D599" s="17">
        <v>645</v>
      </c>
      <c r="E599" s="13" t="s">
        <v>90</v>
      </c>
      <c r="F599" s="13"/>
      <c r="G599" s="28">
        <v>43071</v>
      </c>
      <c r="H599" s="28"/>
      <c r="I599" s="28"/>
      <c r="J599" s="26">
        <v>44394</v>
      </c>
      <c r="K599" s="26">
        <v>44758</v>
      </c>
      <c r="L599" s="32">
        <v>3</v>
      </c>
      <c r="M599" s="13"/>
      <c r="N599" s="13"/>
      <c r="O599" s="19"/>
      <c r="P599" s="2" t="s">
        <v>2428</v>
      </c>
      <c r="Q599" s="2" t="s">
        <v>4714</v>
      </c>
      <c r="R599" s="2" t="s">
        <v>2429</v>
      </c>
      <c r="S599" s="2" t="s">
        <v>1545</v>
      </c>
      <c r="T599" s="2">
        <v>390019</v>
      </c>
      <c r="U599" s="2" t="s">
        <v>144</v>
      </c>
      <c r="V599" s="2" t="s">
        <v>23</v>
      </c>
      <c r="W599" s="193">
        <v>5</v>
      </c>
      <c r="X599" s="2">
        <v>1</v>
      </c>
      <c r="Y599" s="2">
        <v>1</v>
      </c>
      <c r="Z599" s="2">
        <v>2</v>
      </c>
      <c r="AA599" s="193" t="s">
        <v>4118</v>
      </c>
      <c r="AB599" s="2"/>
    </row>
    <row r="600" spans="1:28" ht="15" customHeight="1">
      <c r="A600" s="16">
        <v>599</v>
      </c>
      <c r="B600" s="13" t="s">
        <v>2430</v>
      </c>
      <c r="C600" s="14" t="str">
        <f>_xlfn.CONCAT(B600&amp;" "&amp;W600&amp;X600&amp;Y600&amp;Z600)</f>
        <v>Ikon Moulders Pvt Ltd 2431</v>
      </c>
      <c r="D600" s="17">
        <v>670</v>
      </c>
      <c r="E600" s="13" t="s">
        <v>42</v>
      </c>
      <c r="F600" s="13"/>
      <c r="G600" s="28">
        <v>43077</v>
      </c>
      <c r="H600" s="28"/>
      <c r="I600" s="28"/>
      <c r="J600" s="26">
        <v>45824</v>
      </c>
      <c r="K600" s="26">
        <v>46553</v>
      </c>
      <c r="L600" s="32">
        <v>3</v>
      </c>
      <c r="M600" s="13" t="s">
        <v>2431</v>
      </c>
      <c r="N600" s="13"/>
      <c r="O600" s="19">
        <v>9270570758</v>
      </c>
      <c r="P600" s="2" t="s">
        <v>2375</v>
      </c>
      <c r="Q600" s="2" t="s">
        <v>4715</v>
      </c>
      <c r="R600" s="2" t="s">
        <v>2432</v>
      </c>
      <c r="S600" s="2" t="s">
        <v>1421</v>
      </c>
      <c r="T600" s="2">
        <v>414111</v>
      </c>
      <c r="U600" s="2" t="s">
        <v>172</v>
      </c>
      <c r="V600" s="2" t="s">
        <v>23</v>
      </c>
      <c r="W600" s="193">
        <v>2</v>
      </c>
      <c r="X600" s="2">
        <v>4</v>
      </c>
      <c r="Y600" s="2">
        <v>3</v>
      </c>
      <c r="Z600" s="2">
        <v>1</v>
      </c>
      <c r="AA600" s="193" t="s">
        <v>4151</v>
      </c>
      <c r="AB600" s="2"/>
    </row>
    <row r="601" spans="1:28" ht="15" customHeight="1">
      <c r="A601" s="16">
        <v>600</v>
      </c>
      <c r="B601" s="13" t="s">
        <v>2433</v>
      </c>
      <c r="C601" s="14" t="str">
        <f>_xlfn.CONCAT(B601&amp;" "&amp;W601&amp;X601&amp;Y601&amp;Z601)</f>
        <v>Shivam Autotech Limited 1111</v>
      </c>
      <c r="D601" s="17">
        <v>644</v>
      </c>
      <c r="E601" s="13" t="s">
        <v>90</v>
      </c>
      <c r="F601" s="13"/>
      <c r="G601" s="28">
        <v>43082</v>
      </c>
      <c r="H601" s="28"/>
      <c r="I601" s="28"/>
      <c r="J601" s="26">
        <v>44443</v>
      </c>
      <c r="K601" s="26">
        <v>44807</v>
      </c>
      <c r="L601" s="32">
        <v>3</v>
      </c>
      <c r="M601" s="13" t="s">
        <v>2434</v>
      </c>
      <c r="N601" s="13" t="s">
        <v>2435</v>
      </c>
      <c r="O601" s="19" t="s">
        <v>2436</v>
      </c>
      <c r="P601" s="2" t="s">
        <v>2437</v>
      </c>
      <c r="Q601" s="2" t="s">
        <v>4716</v>
      </c>
      <c r="R601" s="2"/>
      <c r="S601" s="2" t="s">
        <v>428</v>
      </c>
      <c r="T601" s="2">
        <v>122413</v>
      </c>
      <c r="U601" s="2" t="s">
        <v>429</v>
      </c>
      <c r="V601" s="2" t="s">
        <v>23</v>
      </c>
      <c r="W601" s="193">
        <v>1</v>
      </c>
      <c r="X601" s="2">
        <v>1</v>
      </c>
      <c r="Y601" s="2">
        <v>1</v>
      </c>
      <c r="Z601" s="2">
        <v>1</v>
      </c>
      <c r="AA601" s="193" t="s">
        <v>4118</v>
      </c>
      <c r="AB601" s="2"/>
    </row>
    <row r="602" spans="1:28" ht="15" customHeight="1">
      <c r="A602" s="16">
        <v>601</v>
      </c>
      <c r="B602" s="13" t="s">
        <v>2438</v>
      </c>
      <c r="C602" s="14" t="str">
        <f>_xlfn.CONCAT(B602&amp;" "&amp;W602&amp;X602&amp;Y602&amp;Z602)</f>
        <v>Minda VAST Access Systems Pvt Ltd 2421</v>
      </c>
      <c r="D602" s="17">
        <v>683</v>
      </c>
      <c r="E602" s="13" t="s">
        <v>2082</v>
      </c>
      <c r="F602" s="13"/>
      <c r="G602" s="28">
        <v>43085</v>
      </c>
      <c r="H602" s="28"/>
      <c r="I602" s="28"/>
      <c r="J602" s="26">
        <v>45944</v>
      </c>
      <c r="K602" s="26">
        <v>46308</v>
      </c>
      <c r="L602" s="32">
        <v>3</v>
      </c>
      <c r="M602" s="13"/>
      <c r="N602" s="13"/>
      <c r="O602" s="19"/>
      <c r="P602" s="2" t="s">
        <v>2439</v>
      </c>
      <c r="Q602" s="2" t="s">
        <v>4717</v>
      </c>
      <c r="R602" s="2" t="s">
        <v>2440</v>
      </c>
      <c r="S602" s="2" t="s">
        <v>215</v>
      </c>
      <c r="T602" s="2">
        <v>410501</v>
      </c>
      <c r="U602" s="2" t="s">
        <v>172</v>
      </c>
      <c r="V602" s="2" t="s">
        <v>23</v>
      </c>
      <c r="W602" s="193">
        <v>2</v>
      </c>
      <c r="X602" s="2">
        <v>4</v>
      </c>
      <c r="Y602" s="2">
        <v>2</v>
      </c>
      <c r="Z602" s="2">
        <v>1</v>
      </c>
      <c r="AA602" s="193" t="s">
        <v>4151</v>
      </c>
      <c r="AB602" s="2"/>
    </row>
    <row r="603" spans="1:28" ht="15" customHeight="1">
      <c r="A603" s="16">
        <v>602</v>
      </c>
      <c r="B603" s="13" t="s">
        <v>2441</v>
      </c>
      <c r="C603" s="14" t="str">
        <f>_xlfn.CONCAT(B603&amp;" "&amp;W603&amp;X603&amp;Y603&amp;Z603)</f>
        <v>L.G.Balakrishnan &amp; Bros Ltd (Candid Micron) 4162</v>
      </c>
      <c r="D603" s="17">
        <v>646</v>
      </c>
      <c r="E603" s="13" t="s">
        <v>90</v>
      </c>
      <c r="F603" s="13"/>
      <c r="G603" s="28">
        <v>43089</v>
      </c>
      <c r="H603" s="28"/>
      <c r="I603" s="28"/>
      <c r="J603" s="26">
        <v>44299</v>
      </c>
      <c r="K603" s="26">
        <v>44481</v>
      </c>
      <c r="L603" s="32">
        <v>3</v>
      </c>
      <c r="M603" s="13"/>
      <c r="N603" s="13"/>
      <c r="O603" s="19" t="s">
        <v>2442</v>
      </c>
      <c r="P603" s="2" t="s">
        <v>2420</v>
      </c>
      <c r="Q603" s="2" t="s">
        <v>4718</v>
      </c>
      <c r="R603" s="2" t="s">
        <v>2443</v>
      </c>
      <c r="S603" s="2" t="s">
        <v>101</v>
      </c>
      <c r="T603" s="2">
        <v>641110</v>
      </c>
      <c r="U603" s="2" t="s">
        <v>38</v>
      </c>
      <c r="V603" s="2" t="s">
        <v>23</v>
      </c>
      <c r="W603" s="193">
        <v>4</v>
      </c>
      <c r="X603" s="2">
        <v>1</v>
      </c>
      <c r="Y603" s="2">
        <v>6</v>
      </c>
      <c r="Z603" s="2">
        <v>2</v>
      </c>
      <c r="AA603" s="193" t="s">
        <v>4148</v>
      </c>
      <c r="AB603" s="2"/>
    </row>
    <row r="604" spans="1:28" ht="15" customHeight="1">
      <c r="A604" s="16">
        <v>603</v>
      </c>
      <c r="B604" s="13" t="s">
        <v>2444</v>
      </c>
      <c r="C604" s="14" t="str">
        <f>_xlfn.CONCAT(B604&amp;" "&amp;W604&amp;X604&amp;Y604&amp;Z604)</f>
        <v>Rieke Packing India Pvt Ltd 1313</v>
      </c>
      <c r="D604" s="17">
        <v>634</v>
      </c>
      <c r="E604" s="13" t="s">
        <v>90</v>
      </c>
      <c r="F604" s="13"/>
      <c r="G604" s="28">
        <v>43089</v>
      </c>
      <c r="H604" s="28"/>
      <c r="I604" s="28"/>
      <c r="J604" s="26">
        <v>45930</v>
      </c>
      <c r="K604" s="26">
        <v>46294</v>
      </c>
      <c r="L604" s="32">
        <v>3</v>
      </c>
      <c r="M604" s="13"/>
      <c r="N604" s="13"/>
      <c r="O604" s="19"/>
      <c r="P604" s="2" t="s">
        <v>2445</v>
      </c>
      <c r="Q604" s="2" t="s">
        <v>4719</v>
      </c>
      <c r="R604" s="2" t="s">
        <v>2446</v>
      </c>
      <c r="S604" s="2" t="s">
        <v>665</v>
      </c>
      <c r="T604" s="2">
        <v>173205</v>
      </c>
      <c r="U604" s="2" t="s">
        <v>336</v>
      </c>
      <c r="V604" s="2" t="s">
        <v>23</v>
      </c>
      <c r="W604" s="193">
        <v>1</v>
      </c>
      <c r="X604" s="2">
        <v>3</v>
      </c>
      <c r="Y604" s="2">
        <v>1</v>
      </c>
      <c r="Z604" s="2">
        <v>3</v>
      </c>
      <c r="AA604" s="193" t="s">
        <v>4118</v>
      </c>
      <c r="AB604" s="2"/>
    </row>
    <row r="605" spans="1:28" ht="15" customHeight="1">
      <c r="A605" s="16">
        <v>604</v>
      </c>
      <c r="B605" s="13" t="s">
        <v>2447</v>
      </c>
      <c r="C605" s="14" t="str">
        <f>_xlfn.CONCAT(B605&amp;" "&amp;W605&amp;X605&amp;Y605&amp;Z605)</f>
        <v>Turbo India Interconnect Solutions LLP 8041</v>
      </c>
      <c r="D605" s="17">
        <v>674</v>
      </c>
      <c r="E605" s="13" t="s">
        <v>42</v>
      </c>
      <c r="F605" s="13"/>
      <c r="G605" s="28">
        <v>43105</v>
      </c>
      <c r="H605" s="28"/>
      <c r="I605" s="28"/>
      <c r="J605" s="26">
        <v>44455</v>
      </c>
      <c r="K605" s="26">
        <v>44819</v>
      </c>
      <c r="L605" s="32">
        <v>3</v>
      </c>
      <c r="M605" s="13"/>
      <c r="N605" s="13"/>
      <c r="O605" s="19"/>
      <c r="P605" s="2" t="s">
        <v>2448</v>
      </c>
      <c r="Q605" s="2" t="s">
        <v>4720</v>
      </c>
      <c r="R605" s="2"/>
      <c r="S605" s="2" t="s">
        <v>21</v>
      </c>
      <c r="T605" s="2">
        <v>560079</v>
      </c>
      <c r="U605" s="2" t="s">
        <v>22</v>
      </c>
      <c r="V605" s="2" t="s">
        <v>23</v>
      </c>
      <c r="W605" s="193">
        <v>8</v>
      </c>
      <c r="X605" s="2">
        <v>0</v>
      </c>
      <c r="Y605" s="2">
        <v>4</v>
      </c>
      <c r="Z605" s="2">
        <v>1</v>
      </c>
      <c r="AA605" s="193" t="s">
        <v>4118</v>
      </c>
      <c r="AB605" s="2"/>
    </row>
    <row r="606" spans="1:28" ht="15" customHeight="1">
      <c r="A606" s="16">
        <v>605</v>
      </c>
      <c r="B606" s="13" t="s">
        <v>2449</v>
      </c>
      <c r="C606" s="14" t="str">
        <f>_xlfn.CONCAT(B606&amp;" "&amp;W606&amp;X606&amp;Y606&amp;Z606)</f>
        <v>Mindarika Pvt Ltd 1111</v>
      </c>
      <c r="D606" s="17">
        <v>676</v>
      </c>
      <c r="E606" s="13" t="s">
        <v>42</v>
      </c>
      <c r="F606" s="13"/>
      <c r="G606" s="28">
        <v>43113</v>
      </c>
      <c r="H606" s="28"/>
      <c r="I606" s="28"/>
      <c r="J606" s="26">
        <v>44600</v>
      </c>
      <c r="K606" s="26">
        <v>44964</v>
      </c>
      <c r="L606" s="32">
        <v>3</v>
      </c>
      <c r="M606" s="13"/>
      <c r="N606" s="13"/>
      <c r="O606" s="19"/>
      <c r="P606" s="2"/>
      <c r="Q606" s="2" t="s">
        <v>4721</v>
      </c>
      <c r="R606" s="2"/>
      <c r="S606" s="2" t="s">
        <v>428</v>
      </c>
      <c r="T606" s="2">
        <v>122004</v>
      </c>
      <c r="U606" s="2" t="s">
        <v>429</v>
      </c>
      <c r="V606" s="2" t="s">
        <v>23</v>
      </c>
      <c r="W606" s="193">
        <v>1</v>
      </c>
      <c r="X606" s="2">
        <v>1</v>
      </c>
      <c r="Y606" s="2">
        <v>1</v>
      </c>
      <c r="Z606" s="2">
        <v>1</v>
      </c>
      <c r="AA606" s="193" t="s">
        <v>4118</v>
      </c>
      <c r="AB606" s="2"/>
    </row>
    <row r="607" spans="1:28" ht="15" customHeight="1">
      <c r="A607" s="16">
        <v>606</v>
      </c>
      <c r="B607" s="13" t="s">
        <v>2450</v>
      </c>
      <c r="C607" s="14" t="str">
        <f>_xlfn.CONCAT(B607&amp;" "&amp;W607&amp;X607&amp;Y607&amp;Z607)</f>
        <v>Titan Company Limited (Watch Division) 8013</v>
      </c>
      <c r="D607" s="17">
        <v>723</v>
      </c>
      <c r="E607" s="13" t="s">
        <v>42</v>
      </c>
      <c r="F607" s="13"/>
      <c r="G607" s="28">
        <v>43116</v>
      </c>
      <c r="H607" s="28"/>
      <c r="I607" s="28"/>
      <c r="J607" s="26">
        <v>44524</v>
      </c>
      <c r="K607" s="26">
        <v>44888</v>
      </c>
      <c r="L607" s="32">
        <v>3</v>
      </c>
      <c r="M607" s="13"/>
      <c r="N607" s="13"/>
      <c r="O607" s="19"/>
      <c r="P607" s="2" t="s">
        <v>2451</v>
      </c>
      <c r="Q607" s="2" t="s">
        <v>4722</v>
      </c>
      <c r="R607" s="2"/>
      <c r="S607" s="2" t="s">
        <v>121</v>
      </c>
      <c r="T607" s="2">
        <v>635126</v>
      </c>
      <c r="U607" s="2" t="s">
        <v>38</v>
      </c>
      <c r="V607" s="2" t="s">
        <v>23</v>
      </c>
      <c r="W607" s="193">
        <v>8</v>
      </c>
      <c r="X607" s="2">
        <v>0</v>
      </c>
      <c r="Y607" s="2">
        <v>1</v>
      </c>
      <c r="Z607" s="2">
        <v>3</v>
      </c>
      <c r="AA607" s="193" t="s">
        <v>4118</v>
      </c>
      <c r="AB607" s="2"/>
    </row>
    <row r="608" spans="1:28" ht="15" customHeight="1">
      <c r="A608" s="16">
        <v>607</v>
      </c>
      <c r="B608" s="8" t="s">
        <v>2452</v>
      </c>
      <c r="C608" s="14" t="str">
        <f>_xlfn.CONCAT(B608&amp;" "&amp;W608&amp;X608&amp;Y608&amp;Z608)</f>
        <v>Compaero India Pvt Ltd 4103</v>
      </c>
      <c r="D608" s="17">
        <v>679</v>
      </c>
      <c r="E608" s="8" t="s">
        <v>42</v>
      </c>
      <c r="F608" s="8"/>
      <c r="G608" s="23">
        <v>43117</v>
      </c>
      <c r="H608" s="23"/>
      <c r="I608" s="23"/>
      <c r="J608" s="26">
        <v>44581</v>
      </c>
      <c r="K608" s="26">
        <v>44945</v>
      </c>
      <c r="L608" s="32">
        <v>3</v>
      </c>
      <c r="M608" s="8" t="s">
        <v>2453</v>
      </c>
      <c r="N608" s="8"/>
      <c r="O608" s="19">
        <v>9446305150</v>
      </c>
      <c r="P608" s="8" t="s">
        <v>2454</v>
      </c>
      <c r="Q608" s="8" t="s">
        <v>4723</v>
      </c>
      <c r="R608" s="8"/>
      <c r="S608" s="8" t="s">
        <v>2455</v>
      </c>
      <c r="T608" s="8">
        <v>682024</v>
      </c>
      <c r="U608" s="8" t="s">
        <v>136</v>
      </c>
      <c r="V608" s="8" t="s">
        <v>23</v>
      </c>
      <c r="W608" s="193">
        <v>4</v>
      </c>
      <c r="X608" s="8">
        <v>1</v>
      </c>
      <c r="Y608" s="8">
        <v>0</v>
      </c>
      <c r="Z608" s="8">
        <v>3</v>
      </c>
      <c r="AA608" s="193" t="s">
        <v>4148</v>
      </c>
      <c r="AB608" s="2"/>
    </row>
    <row r="609" spans="1:28" ht="15" customHeight="1">
      <c r="A609" s="16">
        <v>608</v>
      </c>
      <c r="B609" s="8" t="s">
        <v>2456</v>
      </c>
      <c r="C609" s="14" t="str">
        <f>_xlfn.CONCAT(B609&amp;" "&amp;W609&amp;X609&amp;Y609&amp;Z609)</f>
        <v>Maini Precision Products Ltd. 8051</v>
      </c>
      <c r="D609" s="17">
        <v>725</v>
      </c>
      <c r="E609" s="8" t="s">
        <v>42</v>
      </c>
      <c r="F609" s="8"/>
      <c r="G609" s="23">
        <v>43117</v>
      </c>
      <c r="H609" s="23"/>
      <c r="I609" s="23"/>
      <c r="J609" s="26">
        <v>44602</v>
      </c>
      <c r="K609" s="26">
        <v>44966</v>
      </c>
      <c r="L609" s="32">
        <v>3</v>
      </c>
      <c r="M609" s="8"/>
      <c r="N609" s="8"/>
      <c r="O609" s="19"/>
      <c r="P609" s="8" t="s">
        <v>1512</v>
      </c>
      <c r="Q609" s="8" t="s">
        <v>4724</v>
      </c>
      <c r="R609" s="8"/>
      <c r="S609" s="8" t="s">
        <v>21</v>
      </c>
      <c r="T609" s="8">
        <v>560058</v>
      </c>
      <c r="U609" s="8" t="s">
        <v>22</v>
      </c>
      <c r="V609" s="8" t="s">
        <v>23</v>
      </c>
      <c r="W609" s="193">
        <v>8</v>
      </c>
      <c r="X609" s="8">
        <v>0</v>
      </c>
      <c r="Y609" s="8">
        <v>5</v>
      </c>
      <c r="Z609" s="8">
        <v>1</v>
      </c>
      <c r="AA609" s="193" t="s">
        <v>4118</v>
      </c>
      <c r="AB609" s="2"/>
    </row>
    <row r="610" spans="1:28" ht="15" customHeight="1">
      <c r="A610" s="16">
        <v>609</v>
      </c>
      <c r="B610" s="8" t="s">
        <v>2457</v>
      </c>
      <c r="C610" s="14" t="str">
        <f>_xlfn.CONCAT(B610&amp;" "&amp;W610&amp;X610&amp;Y610&amp;Z610)</f>
        <v>Pooja Automations (Candid Micro Measurements Pvt Ltd) 4161</v>
      </c>
      <c r="D610" s="17">
        <v>722</v>
      </c>
      <c r="E610" s="8" t="s">
        <v>42</v>
      </c>
      <c r="F610" s="8"/>
      <c r="G610" s="23">
        <v>43120</v>
      </c>
      <c r="H610" s="23"/>
      <c r="I610" s="23"/>
      <c r="J610" s="26">
        <v>43120</v>
      </c>
      <c r="K610" s="26">
        <v>43484</v>
      </c>
      <c r="L610" s="32">
        <v>3</v>
      </c>
      <c r="M610" s="8"/>
      <c r="N610" s="8"/>
      <c r="O610" s="19"/>
      <c r="P610" s="8" t="s">
        <v>2458</v>
      </c>
      <c r="Q610" s="8" t="s">
        <v>4725</v>
      </c>
      <c r="R610" s="8"/>
      <c r="S610" s="8" t="s">
        <v>101</v>
      </c>
      <c r="T610" s="8">
        <v>641006</v>
      </c>
      <c r="U610" s="8" t="s">
        <v>38</v>
      </c>
      <c r="V610" s="8" t="s">
        <v>23</v>
      </c>
      <c r="W610" s="193">
        <v>4</v>
      </c>
      <c r="X610" s="8">
        <v>1</v>
      </c>
      <c r="Y610" s="8">
        <v>6</v>
      </c>
      <c r="Z610" s="8">
        <v>1</v>
      </c>
      <c r="AA610" s="193" t="s">
        <v>4148</v>
      </c>
      <c r="AB610" s="2"/>
    </row>
    <row r="611" spans="1:28" ht="15" customHeight="1">
      <c r="A611" s="16">
        <v>610</v>
      </c>
      <c r="B611" s="8" t="s">
        <v>2459</v>
      </c>
      <c r="C611" s="14" t="str">
        <f>_xlfn.CONCAT(B611&amp;" "&amp;W611&amp;X611&amp;Y611&amp;Z611)</f>
        <v>Saanvi Technologies 8051</v>
      </c>
      <c r="D611" s="17">
        <v>724</v>
      </c>
      <c r="E611" s="8" t="s">
        <v>42</v>
      </c>
      <c r="F611" s="8"/>
      <c r="G611" s="23">
        <v>43124</v>
      </c>
      <c r="H611" s="23"/>
      <c r="I611" s="23"/>
      <c r="J611" s="26">
        <v>43124</v>
      </c>
      <c r="K611" s="26">
        <v>43488</v>
      </c>
      <c r="L611" s="32">
        <v>3</v>
      </c>
      <c r="M611" s="8"/>
      <c r="N611" s="8"/>
      <c r="O611" s="19"/>
      <c r="P611" s="8" t="s">
        <v>2460</v>
      </c>
      <c r="Q611" s="8" t="s">
        <v>4726</v>
      </c>
      <c r="R611" s="8" t="s">
        <v>2461</v>
      </c>
      <c r="S611" s="8" t="s">
        <v>21</v>
      </c>
      <c r="T611" s="8">
        <v>560091</v>
      </c>
      <c r="U611" s="8" t="s">
        <v>22</v>
      </c>
      <c r="V611" s="8" t="s">
        <v>23</v>
      </c>
      <c r="W611" s="193">
        <v>8</v>
      </c>
      <c r="X611" s="8">
        <v>0</v>
      </c>
      <c r="Y611" s="8">
        <v>5</v>
      </c>
      <c r="Z611" s="8">
        <v>1</v>
      </c>
      <c r="AA611" s="193" t="s">
        <v>4118</v>
      </c>
      <c r="AB611" s="2"/>
    </row>
    <row r="612" spans="1:28" ht="15" customHeight="1">
      <c r="A612" s="16">
        <v>611</v>
      </c>
      <c r="B612" s="8" t="s">
        <v>2462</v>
      </c>
      <c r="C612" s="14" t="str">
        <f>_xlfn.CONCAT(B612&amp;" "&amp;W612&amp;X612&amp;Y612&amp;Z612)</f>
        <v>Padmini VNA Mechatronics Pvt Ltd 1111</v>
      </c>
      <c r="D612" s="17">
        <v>649</v>
      </c>
      <c r="E612" s="8" t="s">
        <v>90</v>
      </c>
      <c r="F612" s="8"/>
      <c r="G612" s="23">
        <v>43137</v>
      </c>
      <c r="H612" s="23"/>
      <c r="I612" s="23"/>
      <c r="J612" s="26">
        <v>44621</v>
      </c>
      <c r="K612" s="26">
        <v>44985</v>
      </c>
      <c r="L612" s="32">
        <v>3</v>
      </c>
      <c r="M612" s="8"/>
      <c r="N612" s="8"/>
      <c r="O612" s="19" t="s">
        <v>2463</v>
      </c>
      <c r="P612" s="8" t="s">
        <v>2464</v>
      </c>
      <c r="Q612" s="8" t="s">
        <v>4727</v>
      </c>
      <c r="R612" s="8" t="s">
        <v>2465</v>
      </c>
      <c r="S612" s="8" t="s">
        <v>428</v>
      </c>
      <c r="T612" s="8">
        <v>122001</v>
      </c>
      <c r="U612" s="8" t="s">
        <v>429</v>
      </c>
      <c r="V612" s="8" t="s">
        <v>23</v>
      </c>
      <c r="W612" s="193">
        <v>1</v>
      </c>
      <c r="X612" s="8">
        <v>1</v>
      </c>
      <c r="Y612" s="8">
        <v>1</v>
      </c>
      <c r="Z612" s="8">
        <v>1</v>
      </c>
      <c r="AA612" s="193" t="s">
        <v>4118</v>
      </c>
      <c r="AB612" s="2"/>
    </row>
    <row r="613" spans="1:28" ht="15" customHeight="1">
      <c r="A613" s="16">
        <v>612</v>
      </c>
      <c r="B613" s="8" t="s">
        <v>2466</v>
      </c>
      <c r="C613" s="14" t="str">
        <f>_xlfn.CONCAT(B613&amp;" "&amp;W613&amp;X613&amp;Y613&amp;Z613)</f>
        <v>Benaka Technologies 8051</v>
      </c>
      <c r="D613" s="17">
        <v>506</v>
      </c>
      <c r="E613" s="8" t="s">
        <v>2467</v>
      </c>
      <c r="F613" s="8"/>
      <c r="G613" s="23">
        <v>43138</v>
      </c>
      <c r="H613" s="23"/>
      <c r="I613" s="23"/>
      <c r="J613" s="26">
        <v>43138</v>
      </c>
      <c r="K613" s="26">
        <v>43502</v>
      </c>
      <c r="L613" s="32">
        <v>3</v>
      </c>
      <c r="M613" s="8" t="s">
        <v>2468</v>
      </c>
      <c r="N613" s="8" t="s">
        <v>17</v>
      </c>
      <c r="O613" s="19">
        <v>9886926462</v>
      </c>
      <c r="P613" s="8" t="s">
        <v>2469</v>
      </c>
      <c r="Q613" s="8" t="s">
        <v>4728</v>
      </c>
      <c r="R613" s="8" t="s">
        <v>2470</v>
      </c>
      <c r="S613" s="8" t="s">
        <v>21</v>
      </c>
      <c r="T613" s="8">
        <v>560058</v>
      </c>
      <c r="U613" s="8" t="s">
        <v>22</v>
      </c>
      <c r="V613" s="8" t="s">
        <v>23</v>
      </c>
      <c r="W613" s="193">
        <v>8</v>
      </c>
      <c r="X613" s="8">
        <v>0</v>
      </c>
      <c r="Y613" s="8">
        <v>5</v>
      </c>
      <c r="Z613" s="8">
        <v>1</v>
      </c>
      <c r="AA613" s="193" t="s">
        <v>4118</v>
      </c>
      <c r="AB613" s="2"/>
    </row>
    <row r="614" spans="1:28" ht="15" customHeight="1">
      <c r="A614" s="16">
        <v>613</v>
      </c>
      <c r="B614" s="8" t="s">
        <v>2471</v>
      </c>
      <c r="C614" s="14" t="str">
        <f>_xlfn.CONCAT(B614&amp;" "&amp;W614&amp;X614&amp;Y614&amp;Z614)</f>
        <v>Zenith Precision Pvt Ltd 8012</v>
      </c>
      <c r="D614" s="17">
        <v>727</v>
      </c>
      <c r="E614" s="8" t="s">
        <v>42</v>
      </c>
      <c r="F614" s="8"/>
      <c r="G614" s="23">
        <v>43139</v>
      </c>
      <c r="H614" s="23"/>
      <c r="I614" s="23"/>
      <c r="J614" s="26">
        <v>43866</v>
      </c>
      <c r="K614" s="26">
        <v>44231</v>
      </c>
      <c r="L614" s="32">
        <v>3</v>
      </c>
      <c r="M614" s="8"/>
      <c r="N614" s="8"/>
      <c r="O614" s="19" t="s">
        <v>2472</v>
      </c>
      <c r="P614" s="8" t="s">
        <v>2209</v>
      </c>
      <c r="Q614" s="8" t="s">
        <v>4729</v>
      </c>
      <c r="R614" s="8" t="s">
        <v>2360</v>
      </c>
      <c r="S614" s="8" t="s">
        <v>21</v>
      </c>
      <c r="T614" s="8">
        <v>560099</v>
      </c>
      <c r="U614" s="8" t="s">
        <v>22</v>
      </c>
      <c r="V614" s="8" t="s">
        <v>23</v>
      </c>
      <c r="W614" s="193">
        <v>8</v>
      </c>
      <c r="X614" s="8">
        <v>0</v>
      </c>
      <c r="Y614" s="8">
        <v>1</v>
      </c>
      <c r="Z614" s="8">
        <v>2</v>
      </c>
      <c r="AA614" s="193" t="s">
        <v>4118</v>
      </c>
      <c r="AB614" s="2"/>
    </row>
    <row r="615" spans="1:28" ht="15" customHeight="1">
      <c r="A615" s="16">
        <v>614</v>
      </c>
      <c r="B615" s="8" t="s">
        <v>2449</v>
      </c>
      <c r="C615" s="14" t="str">
        <f>_xlfn.CONCAT(B615&amp;" "&amp;W615&amp;X615&amp;Y615&amp;Z615)</f>
        <v>Mindarika Pvt Ltd 2421</v>
      </c>
      <c r="D615" s="17">
        <v>678</v>
      </c>
      <c r="E615" s="8" t="s">
        <v>42</v>
      </c>
      <c r="F615" s="8"/>
      <c r="G615" s="23">
        <v>43145</v>
      </c>
      <c r="H615" s="23"/>
      <c r="I615" s="23"/>
      <c r="J615" s="26">
        <v>44593</v>
      </c>
      <c r="K615" s="26">
        <v>44957</v>
      </c>
      <c r="L615" s="32">
        <v>3</v>
      </c>
      <c r="M615" s="8"/>
      <c r="N615" s="8"/>
      <c r="O615" s="19">
        <v>9819367835</v>
      </c>
      <c r="P615" s="8" t="s">
        <v>2473</v>
      </c>
      <c r="Q615" s="8" t="s">
        <v>4730</v>
      </c>
      <c r="R615" s="8" t="s">
        <v>2474</v>
      </c>
      <c r="S615" s="8" t="s">
        <v>215</v>
      </c>
      <c r="T615" s="8">
        <v>410501</v>
      </c>
      <c r="U615" s="8" t="s">
        <v>172</v>
      </c>
      <c r="V615" s="8" t="s">
        <v>23</v>
      </c>
      <c r="W615" s="193">
        <v>2</v>
      </c>
      <c r="X615" s="8">
        <v>4</v>
      </c>
      <c r="Y615" s="8">
        <v>2</v>
      </c>
      <c r="Z615" s="8">
        <v>1</v>
      </c>
      <c r="AA615" s="193" t="s">
        <v>4151</v>
      </c>
      <c r="AB615" s="2"/>
    </row>
    <row r="616" spans="1:28" ht="15" customHeight="1">
      <c r="A616" s="16">
        <v>615</v>
      </c>
      <c r="B616" s="13" t="s">
        <v>2475</v>
      </c>
      <c r="C616" s="14" t="str">
        <f>_xlfn.CONCAT(B616&amp;" "&amp;W616&amp;X616&amp;Y616&amp;Z616)</f>
        <v>Vikson Spring Pvt Ltd 2224</v>
      </c>
      <c r="D616" s="17">
        <v>729</v>
      </c>
      <c r="E616" s="13" t="s">
        <v>42</v>
      </c>
      <c r="F616" s="13"/>
      <c r="G616" s="28">
        <v>43154</v>
      </c>
      <c r="H616" s="28"/>
      <c r="I616" s="28"/>
      <c r="J616" s="26">
        <v>43529</v>
      </c>
      <c r="K616" s="26">
        <v>43894</v>
      </c>
      <c r="L616" s="32">
        <v>3</v>
      </c>
      <c r="M616" s="13" t="s">
        <v>2476</v>
      </c>
      <c r="N616" s="13"/>
      <c r="O616" s="19"/>
      <c r="P616" s="13" t="s">
        <v>2477</v>
      </c>
      <c r="Q616" s="13" t="s">
        <v>4731</v>
      </c>
      <c r="R616" s="13" t="s">
        <v>2478</v>
      </c>
      <c r="S616" s="13" t="s">
        <v>259</v>
      </c>
      <c r="T616" s="13" t="s">
        <v>2479</v>
      </c>
      <c r="U616" s="13" t="s">
        <v>172</v>
      </c>
      <c r="V616" s="13" t="s">
        <v>23</v>
      </c>
      <c r="W616" s="193">
        <v>2</v>
      </c>
      <c r="X616" s="13">
        <v>2</v>
      </c>
      <c r="Y616" s="13">
        <v>2</v>
      </c>
      <c r="Z616" s="13">
        <v>4</v>
      </c>
      <c r="AA616" s="193" t="s">
        <v>4148</v>
      </c>
      <c r="AB616" s="2"/>
    </row>
    <row r="617" spans="1:28" ht="15" customHeight="1">
      <c r="A617" s="16">
        <v>616</v>
      </c>
      <c r="B617" s="8" t="s">
        <v>2480</v>
      </c>
      <c r="C617" s="14" t="str">
        <f>_xlfn.CONCAT(B617&amp;" "&amp;W617&amp;X617&amp;Y617&amp;Z617)</f>
        <v>Dhoot Transmission Pvt Ltd. 2021</v>
      </c>
      <c r="D617" s="17">
        <v>728</v>
      </c>
      <c r="E617" s="8" t="s">
        <v>42</v>
      </c>
      <c r="F617" s="8"/>
      <c r="G617" s="23">
        <v>43155</v>
      </c>
      <c r="H617" s="23"/>
      <c r="I617" s="23"/>
      <c r="J617" s="26">
        <v>43575</v>
      </c>
      <c r="K617" s="26">
        <v>43940</v>
      </c>
      <c r="L617" s="32">
        <v>3</v>
      </c>
      <c r="M617" s="8"/>
      <c r="N617" s="8"/>
      <c r="O617" s="19"/>
      <c r="P617" s="8" t="s">
        <v>2481</v>
      </c>
      <c r="Q617" s="8" t="s">
        <v>4732</v>
      </c>
      <c r="R617" s="8" t="s">
        <v>2482</v>
      </c>
      <c r="S617" s="8" t="s">
        <v>171</v>
      </c>
      <c r="T617" s="8">
        <v>431105</v>
      </c>
      <c r="U617" s="8" t="s">
        <v>172</v>
      </c>
      <c r="V617" s="8" t="s">
        <v>23</v>
      </c>
      <c r="W617" s="193">
        <v>2</v>
      </c>
      <c r="X617" s="8">
        <v>0</v>
      </c>
      <c r="Y617" s="8">
        <v>2</v>
      </c>
      <c r="Z617" s="8">
        <v>1</v>
      </c>
      <c r="AA617" s="193" t="s">
        <v>4118</v>
      </c>
      <c r="AB617" s="2"/>
    </row>
    <row r="618" spans="1:28" ht="15" customHeight="1">
      <c r="A618" s="16">
        <v>617</v>
      </c>
      <c r="B618" s="13" t="s">
        <v>2483</v>
      </c>
      <c r="C618" s="14" t="str">
        <f>_xlfn.CONCAT(B618&amp;" "&amp;W618&amp;X618&amp;Y618&amp;Z618)</f>
        <v>SMIIEL (A Unit of MSSL) 1151</v>
      </c>
      <c r="D618" s="17">
        <v>692</v>
      </c>
      <c r="E618" s="13" t="s">
        <v>90</v>
      </c>
      <c r="F618" s="13"/>
      <c r="G618" s="28">
        <v>43155</v>
      </c>
      <c r="H618" s="28"/>
      <c r="I618" s="28"/>
      <c r="J618" s="26">
        <v>44652</v>
      </c>
      <c r="K618" s="26">
        <v>44834</v>
      </c>
      <c r="L618" s="32">
        <v>3</v>
      </c>
      <c r="M618" s="13"/>
      <c r="N618" s="13"/>
      <c r="O618" s="19"/>
      <c r="P618" s="13" t="s">
        <v>2484</v>
      </c>
      <c r="Q618" s="13" t="s">
        <v>4733</v>
      </c>
      <c r="R618" s="13"/>
      <c r="S618" s="13" t="s">
        <v>185</v>
      </c>
      <c r="T618" s="13">
        <v>201307</v>
      </c>
      <c r="U618" s="13" t="s">
        <v>184</v>
      </c>
      <c r="V618" s="13" t="s">
        <v>23</v>
      </c>
      <c r="W618" s="193">
        <v>1</v>
      </c>
      <c r="X618" s="13">
        <v>1</v>
      </c>
      <c r="Y618" s="13">
        <v>5</v>
      </c>
      <c r="Z618" s="13">
        <v>1</v>
      </c>
      <c r="AA618" s="193" t="s">
        <v>4118</v>
      </c>
      <c r="AB618" s="2"/>
    </row>
    <row r="619" spans="1:28" ht="15" customHeight="1">
      <c r="A619" s="16">
        <v>618</v>
      </c>
      <c r="B619" s="8" t="s">
        <v>2485</v>
      </c>
      <c r="C619" s="14" t="str">
        <f>_xlfn.CONCAT(B619&amp;" "&amp;W619&amp;X619&amp;Y619&amp;Z619)</f>
        <v>Titan Engg &amp; Automation Limited 8013</v>
      </c>
      <c r="D619" s="17">
        <v>693</v>
      </c>
      <c r="E619" s="8" t="s">
        <v>90</v>
      </c>
      <c r="F619" s="8"/>
      <c r="G619" s="23">
        <v>43159</v>
      </c>
      <c r="H619" s="23"/>
      <c r="I619" s="23"/>
      <c r="J619" s="26">
        <v>44440</v>
      </c>
      <c r="K619" s="26">
        <v>44803</v>
      </c>
      <c r="L619" s="32">
        <v>3</v>
      </c>
      <c r="M619" s="8"/>
      <c r="N619" s="8"/>
      <c r="O619" s="19"/>
      <c r="P619" s="8" t="s">
        <v>2451</v>
      </c>
      <c r="Q619" s="8" t="s">
        <v>4734</v>
      </c>
      <c r="R619" s="8" t="s">
        <v>2486</v>
      </c>
      <c r="S619" s="8" t="s">
        <v>121</v>
      </c>
      <c r="T619" s="8">
        <v>635126</v>
      </c>
      <c r="U619" s="8" t="s">
        <v>38</v>
      </c>
      <c r="V619" s="8" t="s">
        <v>23</v>
      </c>
      <c r="W619" s="193">
        <v>8</v>
      </c>
      <c r="X619" s="8">
        <v>0</v>
      </c>
      <c r="Y619" s="8">
        <v>1</v>
      </c>
      <c r="Z619" s="8">
        <v>3</v>
      </c>
      <c r="AA619" s="193" t="s">
        <v>4118</v>
      </c>
      <c r="AB619" s="2"/>
    </row>
    <row r="620" spans="1:28" ht="15" customHeight="1">
      <c r="A620" s="16">
        <v>619</v>
      </c>
      <c r="B620" s="13" t="s">
        <v>2487</v>
      </c>
      <c r="C620" s="14" t="str">
        <f>_xlfn.CONCAT(B620&amp;" "&amp;W620&amp;X620&amp;Y620&amp;Z620)</f>
        <v>Paloma Turning Co. Pvt. Ltd 5401</v>
      </c>
      <c r="D620" s="17">
        <v>726</v>
      </c>
      <c r="E620" s="13" t="s">
        <v>42</v>
      </c>
      <c r="F620" s="13"/>
      <c r="G620" s="28">
        <v>43165</v>
      </c>
      <c r="H620" s="28"/>
      <c r="I620" s="28"/>
      <c r="J620" s="26">
        <v>45040</v>
      </c>
      <c r="K620" s="26">
        <f>J620+365+365</f>
        <v>45770</v>
      </c>
      <c r="L620" s="32">
        <v>3</v>
      </c>
      <c r="M620" s="13"/>
      <c r="N620" s="13"/>
      <c r="O620" s="19"/>
      <c r="P620" s="13" t="s">
        <v>570</v>
      </c>
      <c r="Q620" s="13" t="s">
        <v>4735</v>
      </c>
      <c r="R620" s="13" t="s">
        <v>2488</v>
      </c>
      <c r="S620" s="13" t="s">
        <v>571</v>
      </c>
      <c r="T620" s="13">
        <v>361004</v>
      </c>
      <c r="U620" s="13" t="s">
        <v>144</v>
      </c>
      <c r="V620" s="13" t="s">
        <v>23</v>
      </c>
      <c r="W620" s="193">
        <v>5</v>
      </c>
      <c r="X620" s="13">
        <v>4</v>
      </c>
      <c r="Y620" s="13">
        <v>0</v>
      </c>
      <c r="Z620" s="13">
        <v>1</v>
      </c>
      <c r="AA620" s="193" t="s">
        <v>4137</v>
      </c>
      <c r="AB620" s="2"/>
    </row>
    <row r="621" spans="1:28" ht="15" customHeight="1">
      <c r="A621" s="16">
        <v>620</v>
      </c>
      <c r="B621" s="13" t="s">
        <v>2489</v>
      </c>
      <c r="C621" s="14" t="str">
        <f>_xlfn.CONCAT(B621&amp;" "&amp;W621&amp;X621&amp;Y621&amp;Z621)</f>
        <v>Takemoto Yohki India Pvt Ltd 5011</v>
      </c>
      <c r="D621" s="17">
        <v>690</v>
      </c>
      <c r="E621" s="13" t="s">
        <v>90</v>
      </c>
      <c r="F621" s="13"/>
      <c r="G621" s="28">
        <v>43166</v>
      </c>
      <c r="H621" s="28"/>
      <c r="I621" s="28"/>
      <c r="J621" s="26">
        <v>43166</v>
      </c>
      <c r="K621" s="26">
        <v>43530</v>
      </c>
      <c r="L621" s="32">
        <v>3</v>
      </c>
      <c r="M621" s="13"/>
      <c r="N621" s="13"/>
      <c r="O621" s="19"/>
      <c r="P621" s="13" t="s">
        <v>2490</v>
      </c>
      <c r="Q621" s="13" t="s">
        <v>4736</v>
      </c>
      <c r="R621" s="13" t="s">
        <v>2491</v>
      </c>
      <c r="S621" s="13" t="s">
        <v>143</v>
      </c>
      <c r="T621" s="13">
        <v>382110</v>
      </c>
      <c r="U621" s="13" t="s">
        <v>144</v>
      </c>
      <c r="V621" s="13" t="s">
        <v>23</v>
      </c>
      <c r="W621" s="193">
        <v>5</v>
      </c>
      <c r="X621" s="13">
        <v>0</v>
      </c>
      <c r="Y621" s="13">
        <v>1</v>
      </c>
      <c r="Z621" s="13">
        <v>1</v>
      </c>
      <c r="AA621" s="193" t="s">
        <v>4118</v>
      </c>
      <c r="AB621" s="2"/>
    </row>
    <row r="622" spans="1:28" ht="15" customHeight="1">
      <c r="A622" s="16">
        <v>621</v>
      </c>
      <c r="B622" s="13" t="s">
        <v>2492</v>
      </c>
      <c r="C622" s="14" t="str">
        <f>_xlfn.CONCAT(B622&amp;" "&amp;W622&amp;X622&amp;Y622&amp;Z622)</f>
        <v>Festo India Pvt Ltd 8012</v>
      </c>
      <c r="D622" s="17">
        <v>684</v>
      </c>
      <c r="E622" s="13" t="s">
        <v>2082</v>
      </c>
      <c r="F622" s="13"/>
      <c r="G622" s="28">
        <v>43168</v>
      </c>
      <c r="H622" s="28"/>
      <c r="I622" s="28"/>
      <c r="J622" s="26">
        <v>45811</v>
      </c>
      <c r="K622" s="26">
        <v>46175</v>
      </c>
      <c r="L622" s="32">
        <v>3</v>
      </c>
      <c r="M622" s="13" t="s">
        <v>2493</v>
      </c>
      <c r="N622" s="13"/>
      <c r="O622" s="19"/>
      <c r="P622" s="13"/>
      <c r="Q622" s="13" t="s">
        <v>4737</v>
      </c>
      <c r="R622" s="13"/>
      <c r="S622" s="13" t="s">
        <v>21</v>
      </c>
      <c r="T622" s="13">
        <v>560099</v>
      </c>
      <c r="U622" s="13" t="s">
        <v>22</v>
      </c>
      <c r="V622" s="13" t="s">
        <v>23</v>
      </c>
      <c r="W622" s="193">
        <v>8</v>
      </c>
      <c r="X622" s="13">
        <v>0</v>
      </c>
      <c r="Y622" s="13">
        <v>1</v>
      </c>
      <c r="Z622" s="13">
        <v>2</v>
      </c>
      <c r="AA622" s="193" t="s">
        <v>4118</v>
      </c>
      <c r="AB622" s="2"/>
    </row>
    <row r="623" spans="1:28" ht="15" customHeight="1">
      <c r="A623" s="16">
        <v>622</v>
      </c>
      <c r="B623" s="13" t="s">
        <v>2494</v>
      </c>
      <c r="C623" s="14" t="str">
        <f>_xlfn.CONCAT(B623&amp;" "&amp;W623&amp;X623&amp;Y623&amp;Z623)</f>
        <v>Romsons International 1151</v>
      </c>
      <c r="D623" s="17">
        <v>733</v>
      </c>
      <c r="E623" s="13" t="s">
        <v>42</v>
      </c>
      <c r="F623" s="13"/>
      <c r="G623" s="28">
        <v>43172</v>
      </c>
      <c r="H623" s="28"/>
      <c r="I623" s="28"/>
      <c r="J623" s="26">
        <v>44423</v>
      </c>
      <c r="K623" s="26">
        <v>44787</v>
      </c>
      <c r="L623" s="32">
        <v>3</v>
      </c>
      <c r="M623" s="13"/>
      <c r="N623" s="13"/>
      <c r="O623" s="19"/>
      <c r="P623" s="13" t="s">
        <v>2495</v>
      </c>
      <c r="Q623" s="13" t="s">
        <v>4738</v>
      </c>
      <c r="R623" s="13" t="s">
        <v>79</v>
      </c>
      <c r="S623" s="13" t="s">
        <v>185</v>
      </c>
      <c r="T623" s="13">
        <v>201305</v>
      </c>
      <c r="U623" s="13" t="s">
        <v>184</v>
      </c>
      <c r="V623" s="13" t="s">
        <v>23</v>
      </c>
      <c r="W623" s="193">
        <v>1</v>
      </c>
      <c r="X623" s="13">
        <v>1</v>
      </c>
      <c r="Y623" s="13">
        <v>5</v>
      </c>
      <c r="Z623" s="13">
        <v>1</v>
      </c>
      <c r="AA623" s="193" t="s">
        <v>4118</v>
      </c>
      <c r="AB623" s="2"/>
    </row>
    <row r="624" spans="1:28" ht="15" customHeight="1">
      <c r="A624" s="16">
        <v>623</v>
      </c>
      <c r="B624" s="13" t="s">
        <v>2496</v>
      </c>
      <c r="C624" s="14" t="str">
        <f>_xlfn.CONCAT(B624&amp;" "&amp;W624&amp;X624&amp;Y624&amp;Z624)</f>
        <v>Romsons Medicons  1154</v>
      </c>
      <c r="D624" s="17">
        <v>731</v>
      </c>
      <c r="E624" s="13" t="s">
        <v>42</v>
      </c>
      <c r="F624" s="13"/>
      <c r="G624" s="28">
        <v>43172</v>
      </c>
      <c r="H624" s="28"/>
      <c r="I624" s="28"/>
      <c r="J624" s="26">
        <v>44423</v>
      </c>
      <c r="K624" s="26">
        <v>44787</v>
      </c>
      <c r="L624" s="32">
        <v>3</v>
      </c>
      <c r="M624" s="13"/>
      <c r="N624" s="13"/>
      <c r="O624" s="19" t="s">
        <v>2497</v>
      </c>
      <c r="P624" s="13"/>
      <c r="Q624" s="13" t="s">
        <v>4739</v>
      </c>
      <c r="R624" s="13"/>
      <c r="S624" s="13" t="s">
        <v>933</v>
      </c>
      <c r="T624" s="13">
        <v>282006</v>
      </c>
      <c r="U624" s="13" t="s">
        <v>184</v>
      </c>
      <c r="V624" s="13" t="s">
        <v>23</v>
      </c>
      <c r="W624" s="193">
        <v>1</v>
      </c>
      <c r="X624" s="13">
        <v>1</v>
      </c>
      <c r="Y624" s="13">
        <v>5</v>
      </c>
      <c r="Z624" s="13">
        <v>4</v>
      </c>
      <c r="AA624" s="193" t="s">
        <v>4118</v>
      </c>
      <c r="AB624" s="2"/>
    </row>
    <row r="625" spans="1:28" ht="15" customHeight="1">
      <c r="A625" s="16">
        <v>624</v>
      </c>
      <c r="B625" s="13" t="s">
        <v>2499</v>
      </c>
      <c r="C625" s="14" t="str">
        <f>_xlfn.CONCAT(B625&amp;" "&amp;W625&amp;X625&amp;Y625&amp;Z625)</f>
        <v>Romson Group Pvt Ltd (Romsons Juniors India) 1154</v>
      </c>
      <c r="D625" s="17">
        <v>735</v>
      </c>
      <c r="E625" s="13" t="s">
        <v>42</v>
      </c>
      <c r="F625" s="13"/>
      <c r="G625" s="28">
        <v>43172</v>
      </c>
      <c r="H625" s="28"/>
      <c r="I625" s="28"/>
      <c r="J625" s="26">
        <v>44423</v>
      </c>
      <c r="K625" s="26">
        <v>44787</v>
      </c>
      <c r="L625" s="32">
        <v>3</v>
      </c>
      <c r="M625" s="13"/>
      <c r="N625" s="13"/>
      <c r="O625" s="19" t="s">
        <v>2500</v>
      </c>
      <c r="P625" s="13" t="s">
        <v>2498</v>
      </c>
      <c r="Q625" s="13" t="s">
        <v>4740</v>
      </c>
      <c r="R625" s="13"/>
      <c r="S625" s="13" t="s">
        <v>933</v>
      </c>
      <c r="T625" s="13">
        <v>282006</v>
      </c>
      <c r="U625" s="13" t="s">
        <v>184</v>
      </c>
      <c r="V625" s="13" t="s">
        <v>23</v>
      </c>
      <c r="W625" s="193">
        <v>1</v>
      </c>
      <c r="X625" s="13">
        <v>1</v>
      </c>
      <c r="Y625" s="13">
        <v>5</v>
      </c>
      <c r="Z625" s="13">
        <v>4</v>
      </c>
      <c r="AA625" s="193" t="s">
        <v>4118</v>
      </c>
      <c r="AB625" s="2"/>
    </row>
    <row r="626" spans="1:28" ht="15" customHeight="1">
      <c r="A626" s="16">
        <v>625</v>
      </c>
      <c r="B626" s="13" t="s">
        <v>2230</v>
      </c>
      <c r="C626" s="14" t="str">
        <f>_xlfn.CONCAT(B626&amp;" "&amp;W626&amp;X626&amp;Y626&amp;Z626)</f>
        <v>Brakes India Pvt Ltd 4031</v>
      </c>
      <c r="D626" s="17">
        <v>687</v>
      </c>
      <c r="E626" s="13" t="s">
        <v>2082</v>
      </c>
      <c r="F626" s="13"/>
      <c r="G626" s="28">
        <v>43181</v>
      </c>
      <c r="H626" s="28"/>
      <c r="I626" s="28"/>
      <c r="J626" s="26">
        <v>43181</v>
      </c>
      <c r="K626" s="26">
        <v>43545</v>
      </c>
      <c r="L626" s="32">
        <v>3</v>
      </c>
      <c r="M626" s="13"/>
      <c r="N626" s="13"/>
      <c r="O626" s="19" t="s">
        <v>2501</v>
      </c>
      <c r="P626" s="13" t="s">
        <v>2502</v>
      </c>
      <c r="Q626" s="13" t="s">
        <v>4741</v>
      </c>
      <c r="R626" s="13" t="s">
        <v>365</v>
      </c>
      <c r="S626" s="13" t="s">
        <v>2503</v>
      </c>
      <c r="T626" s="13">
        <v>603002</v>
      </c>
      <c r="U626" s="13" t="s">
        <v>38</v>
      </c>
      <c r="V626" s="13" t="s">
        <v>23</v>
      </c>
      <c r="W626" s="193">
        <v>4</v>
      </c>
      <c r="X626" s="13">
        <v>0</v>
      </c>
      <c r="Y626" s="13">
        <v>3</v>
      </c>
      <c r="Z626" s="13">
        <v>1</v>
      </c>
      <c r="AA626" s="193" t="s">
        <v>4148</v>
      </c>
      <c r="AB626" s="2"/>
    </row>
    <row r="627" spans="1:28" ht="15" customHeight="1">
      <c r="A627" s="16">
        <v>626</v>
      </c>
      <c r="B627" s="13" t="s">
        <v>2504</v>
      </c>
      <c r="C627" s="14" t="str">
        <f>_xlfn.CONCAT(B627&amp;" "&amp;W627&amp;X627&amp;Y627&amp;Z627)</f>
        <v>Toyota Kirloskar Auto Parts P Ltd 8032</v>
      </c>
      <c r="D627" s="17">
        <v>685</v>
      </c>
      <c r="E627" s="13" t="s">
        <v>2082</v>
      </c>
      <c r="F627" s="13"/>
      <c r="G627" s="28">
        <v>43187</v>
      </c>
      <c r="H627" s="28"/>
      <c r="I627" s="28"/>
      <c r="J627" s="26">
        <v>45873</v>
      </c>
      <c r="K627" s="26">
        <v>46237</v>
      </c>
      <c r="L627" s="32">
        <v>3</v>
      </c>
      <c r="M627" s="13"/>
      <c r="N627" s="13"/>
      <c r="O627" s="19" t="s">
        <v>559</v>
      </c>
      <c r="P627" s="13" t="s">
        <v>560</v>
      </c>
      <c r="Q627" s="13" t="s">
        <v>4248</v>
      </c>
      <c r="R627" s="13"/>
      <c r="S627" s="13" t="s">
        <v>21</v>
      </c>
      <c r="T627" s="13">
        <v>562109</v>
      </c>
      <c r="U627" s="13" t="s">
        <v>22</v>
      </c>
      <c r="V627" s="13" t="s">
        <v>23</v>
      </c>
      <c r="W627" s="193">
        <v>8</v>
      </c>
      <c r="X627" s="13">
        <v>0</v>
      </c>
      <c r="Y627" s="13">
        <v>3</v>
      </c>
      <c r="Z627" s="13">
        <v>2</v>
      </c>
      <c r="AA627" s="193" t="s">
        <v>4118</v>
      </c>
      <c r="AB627" s="2"/>
    </row>
    <row r="628" spans="1:28" ht="15" customHeight="1">
      <c r="A628" s="16">
        <v>627</v>
      </c>
      <c r="B628" s="13" t="s">
        <v>2505</v>
      </c>
      <c r="C628" s="14" t="str">
        <f>_xlfn.CONCAT(B628&amp;" "&amp;W628&amp;X628&amp;Y628&amp;Z628)</f>
        <v>AMB Services 4031</v>
      </c>
      <c r="D628" s="17">
        <v>696</v>
      </c>
      <c r="E628" s="13" t="s">
        <v>90</v>
      </c>
      <c r="F628" s="13"/>
      <c r="G628" s="28">
        <v>43195</v>
      </c>
      <c r="H628" s="28"/>
      <c r="I628" s="28"/>
      <c r="J628" s="26">
        <v>44467</v>
      </c>
      <c r="K628" s="26">
        <v>44831</v>
      </c>
      <c r="L628" s="32">
        <v>3</v>
      </c>
      <c r="M628" s="13"/>
      <c r="N628" s="13"/>
      <c r="O628" s="19">
        <v>9500041303</v>
      </c>
      <c r="P628" s="13" t="s">
        <v>2506</v>
      </c>
      <c r="Q628" s="13" t="s">
        <v>4742</v>
      </c>
      <c r="R628" s="13" t="s">
        <v>2507</v>
      </c>
      <c r="S628" s="13" t="s">
        <v>2503</v>
      </c>
      <c r="T628" s="13">
        <v>602106</v>
      </c>
      <c r="U628" s="13" t="s">
        <v>38</v>
      </c>
      <c r="V628" s="13" t="s">
        <v>23</v>
      </c>
      <c r="W628" s="193">
        <v>4</v>
      </c>
      <c r="X628" s="13">
        <v>0</v>
      </c>
      <c r="Y628" s="13">
        <v>3</v>
      </c>
      <c r="Z628" s="13">
        <v>1</v>
      </c>
      <c r="AA628" s="193" t="s">
        <v>4148</v>
      </c>
      <c r="AB628" s="2"/>
    </row>
    <row r="629" spans="1:28" ht="15" customHeight="1">
      <c r="A629" s="16">
        <v>628</v>
      </c>
      <c r="B629" s="13" t="s">
        <v>2508</v>
      </c>
      <c r="C629" s="14" t="str">
        <f>_xlfn.CONCAT(B629&amp;" "&amp;W629&amp;X629&amp;Y629&amp;Z629)</f>
        <v>Sujan Cooperstandard AVS Pvt Ltd 2421</v>
      </c>
      <c r="D629" s="17">
        <v>697</v>
      </c>
      <c r="E629" s="13" t="s">
        <v>90</v>
      </c>
      <c r="F629" s="13"/>
      <c r="G629" s="28">
        <v>43199</v>
      </c>
      <c r="H629" s="28"/>
      <c r="I629" s="28"/>
      <c r="J629" s="26">
        <v>44426</v>
      </c>
      <c r="K629" s="26">
        <v>44790</v>
      </c>
      <c r="L629" s="32">
        <v>3</v>
      </c>
      <c r="M629" s="13"/>
      <c r="N629" s="13"/>
      <c r="O629" s="19"/>
      <c r="P629" s="13" t="s">
        <v>2509</v>
      </c>
      <c r="Q629" s="13" t="s">
        <v>4743</v>
      </c>
      <c r="R629" s="13" t="s">
        <v>2510</v>
      </c>
      <c r="S629" s="13" t="s">
        <v>215</v>
      </c>
      <c r="T629" s="13">
        <v>410501</v>
      </c>
      <c r="U629" s="13" t="s">
        <v>172</v>
      </c>
      <c r="V629" s="13" t="s">
        <v>23</v>
      </c>
      <c r="W629" s="193">
        <v>2</v>
      </c>
      <c r="X629" s="13">
        <v>4</v>
      </c>
      <c r="Y629" s="13">
        <v>2</v>
      </c>
      <c r="Z629" s="13">
        <v>1</v>
      </c>
      <c r="AA629" s="193" t="s">
        <v>4151</v>
      </c>
      <c r="AB629" s="2"/>
    </row>
    <row r="630" spans="1:28" ht="15" customHeight="1">
      <c r="A630" s="16">
        <v>629</v>
      </c>
      <c r="B630" s="13" t="s">
        <v>2511</v>
      </c>
      <c r="C630" s="14" t="str">
        <f>_xlfn.CONCAT(B630&amp;" "&amp;W630&amp;X630&amp;Y630&amp;Z630)</f>
        <v>Kuduma Precisions 8051</v>
      </c>
      <c r="D630" s="17">
        <v>734</v>
      </c>
      <c r="E630" s="13" t="s">
        <v>42</v>
      </c>
      <c r="F630" s="13"/>
      <c r="G630" s="26">
        <v>43201</v>
      </c>
      <c r="H630" s="26"/>
      <c r="I630" s="26"/>
      <c r="J630" s="26"/>
      <c r="K630" s="26"/>
      <c r="L630" s="32">
        <v>3</v>
      </c>
      <c r="M630" s="13" t="s">
        <v>2512</v>
      </c>
      <c r="N630" s="13"/>
      <c r="O630" s="19"/>
      <c r="P630" s="13" t="s">
        <v>2513</v>
      </c>
      <c r="Q630" s="13" t="s">
        <v>4744</v>
      </c>
      <c r="R630" s="13" t="s">
        <v>2514</v>
      </c>
      <c r="S630" s="13" t="s">
        <v>21</v>
      </c>
      <c r="T630" s="13">
        <v>560079</v>
      </c>
      <c r="U630" s="13" t="s">
        <v>22</v>
      </c>
      <c r="V630" s="13" t="s">
        <v>23</v>
      </c>
      <c r="W630" s="193">
        <v>8</v>
      </c>
      <c r="X630" s="13">
        <v>0</v>
      </c>
      <c r="Y630" s="13">
        <v>5</v>
      </c>
      <c r="Z630" s="13">
        <v>1</v>
      </c>
      <c r="AA630" s="193" t="s">
        <v>4118</v>
      </c>
      <c r="AB630" s="2"/>
    </row>
    <row r="631" spans="1:28" ht="15" customHeight="1">
      <c r="A631" s="16">
        <v>630</v>
      </c>
      <c r="B631" s="13" t="s">
        <v>2515</v>
      </c>
      <c r="C631" s="14" t="str">
        <f>_xlfn.CONCAT(B631&amp;" "&amp;W631&amp;X631&amp;Y631&amp;Z631)</f>
        <v>Research Centre Imarat (RCI) 6031</v>
      </c>
      <c r="D631" s="17">
        <v>695</v>
      </c>
      <c r="E631" s="13" t="s">
        <v>90</v>
      </c>
      <c r="F631" s="13"/>
      <c r="G631" s="28">
        <v>43205</v>
      </c>
      <c r="H631" s="28"/>
      <c r="I631" s="28"/>
      <c r="J631" s="26"/>
      <c r="K631" s="26"/>
      <c r="L631" s="32">
        <v>3</v>
      </c>
      <c r="M631" s="13"/>
      <c r="N631" s="13"/>
      <c r="O631" s="19"/>
      <c r="P631" s="13" t="s">
        <v>2516</v>
      </c>
      <c r="Q631" s="13" t="s">
        <v>4745</v>
      </c>
      <c r="R631" s="13"/>
      <c r="S631" s="13" t="s">
        <v>53</v>
      </c>
      <c r="T631" s="13">
        <v>500069</v>
      </c>
      <c r="U631" s="13" t="s">
        <v>1844</v>
      </c>
      <c r="V631" s="13" t="s">
        <v>23</v>
      </c>
      <c r="W631" s="193">
        <v>6</v>
      </c>
      <c r="X631" s="13">
        <v>0</v>
      </c>
      <c r="Y631" s="13">
        <v>3</v>
      </c>
      <c r="Z631" s="13">
        <v>1</v>
      </c>
      <c r="AA631" s="193" t="s">
        <v>4148</v>
      </c>
      <c r="AB631" s="2"/>
    </row>
    <row r="632" spans="1:28" ht="15" customHeight="1">
      <c r="A632" s="16">
        <v>631</v>
      </c>
      <c r="B632" s="13" t="s">
        <v>2518</v>
      </c>
      <c r="C632" s="14" t="str">
        <f>_xlfn.CONCAT(B632&amp;" "&amp;W632&amp;X632&amp;Y632&amp;Z632)</f>
        <v>Minda Onkyo India Private Limited 2113</v>
      </c>
      <c r="D632" s="17">
        <v>694</v>
      </c>
      <c r="E632" s="13" t="s">
        <v>90</v>
      </c>
      <c r="F632" s="13"/>
      <c r="G632" s="28">
        <v>43207</v>
      </c>
      <c r="H632" s="28"/>
      <c r="I632" s="28"/>
      <c r="J632" s="26">
        <v>45901</v>
      </c>
      <c r="K632" s="26">
        <v>46265</v>
      </c>
      <c r="L632" s="32">
        <v>3</v>
      </c>
      <c r="M632" s="13"/>
      <c r="N632" s="13"/>
      <c r="O632" s="19"/>
      <c r="P632" s="13" t="s">
        <v>1990</v>
      </c>
      <c r="Q632" s="13" t="s">
        <v>4746</v>
      </c>
      <c r="R632" s="13" t="s">
        <v>1137</v>
      </c>
      <c r="S632" s="13" t="s">
        <v>1138</v>
      </c>
      <c r="T632" s="13">
        <v>123501</v>
      </c>
      <c r="U632" s="13" t="s">
        <v>429</v>
      </c>
      <c r="V632" s="13" t="s">
        <v>23</v>
      </c>
      <c r="W632" s="193">
        <v>2</v>
      </c>
      <c r="X632" s="13">
        <v>1</v>
      </c>
      <c r="Y632" s="13">
        <v>1</v>
      </c>
      <c r="Z632" s="13">
        <v>3</v>
      </c>
      <c r="AA632" s="193" t="s">
        <v>4118</v>
      </c>
      <c r="AB632" s="2"/>
    </row>
    <row r="633" spans="1:28" ht="15" customHeight="1">
      <c r="A633" s="16">
        <v>632</v>
      </c>
      <c r="B633" s="13" t="s">
        <v>2519</v>
      </c>
      <c r="C633" s="14" t="str">
        <f>_xlfn.CONCAT(B633&amp;" "&amp;W633&amp;X633&amp;Y633&amp;Z633)</f>
        <v>Iscon Surgicals Ltd. 1002</v>
      </c>
      <c r="D633" s="17">
        <v>732</v>
      </c>
      <c r="E633" s="13" t="s">
        <v>42</v>
      </c>
      <c r="F633" s="13"/>
      <c r="G633" s="28">
        <v>43211</v>
      </c>
      <c r="H633" s="28"/>
      <c r="I633" s="28"/>
      <c r="J633" s="26">
        <v>43211</v>
      </c>
      <c r="K633" s="26">
        <v>43575</v>
      </c>
      <c r="L633" s="32">
        <v>3</v>
      </c>
      <c r="M633" s="13" t="s">
        <v>2520</v>
      </c>
      <c r="N633" s="13"/>
      <c r="O633" s="19"/>
      <c r="P633" s="13" t="s">
        <v>79</v>
      </c>
      <c r="Q633" s="13" t="s">
        <v>4747</v>
      </c>
      <c r="R633" s="13" t="s">
        <v>2521</v>
      </c>
      <c r="S633" s="13" t="s">
        <v>73</v>
      </c>
      <c r="T633" s="13">
        <v>342003</v>
      </c>
      <c r="U633" s="13" t="s">
        <v>74</v>
      </c>
      <c r="V633" s="13" t="s">
        <v>23</v>
      </c>
      <c r="W633" s="193">
        <v>1</v>
      </c>
      <c r="X633" s="13">
        <v>0</v>
      </c>
      <c r="Y633" s="13">
        <v>0</v>
      </c>
      <c r="Z633" s="13">
        <v>2</v>
      </c>
      <c r="AA633" s="193" t="s">
        <v>4118</v>
      </c>
      <c r="AB633" s="2"/>
    </row>
    <row r="634" spans="1:28" ht="15" customHeight="1">
      <c r="A634" s="16">
        <v>633</v>
      </c>
      <c r="B634" s="13" t="s">
        <v>2449</v>
      </c>
      <c r="C634" s="14" t="str">
        <f>_xlfn.CONCAT(B634&amp;" "&amp;W634&amp;X634&amp;Y634&amp;Z634)</f>
        <v>Mindarika Pvt Ltd 5011</v>
      </c>
      <c r="D634" s="17">
        <v>730</v>
      </c>
      <c r="E634" s="13" t="s">
        <v>42</v>
      </c>
      <c r="F634" s="13"/>
      <c r="G634" s="28">
        <v>43213</v>
      </c>
      <c r="H634" s="28"/>
      <c r="I634" s="28"/>
      <c r="J634" s="26">
        <v>45824</v>
      </c>
      <c r="K634" s="26">
        <v>46188</v>
      </c>
      <c r="L634" s="32">
        <v>3</v>
      </c>
      <c r="M634" s="13"/>
      <c r="N634" s="13"/>
      <c r="O634" s="19"/>
      <c r="P634" s="13" t="s">
        <v>2522</v>
      </c>
      <c r="Q634" s="13" t="s">
        <v>4748</v>
      </c>
      <c r="R634" s="13" t="s">
        <v>2523</v>
      </c>
      <c r="S634" s="13" t="s">
        <v>143</v>
      </c>
      <c r="T634" s="13">
        <v>382120</v>
      </c>
      <c r="U634" s="13" t="s">
        <v>144</v>
      </c>
      <c r="V634" s="13" t="s">
        <v>23</v>
      </c>
      <c r="W634" s="193">
        <v>5</v>
      </c>
      <c r="X634" s="13">
        <v>0</v>
      </c>
      <c r="Y634" s="13">
        <v>1</v>
      </c>
      <c r="Z634" s="13">
        <v>1</v>
      </c>
      <c r="AA634" s="193" t="s">
        <v>4118</v>
      </c>
      <c r="AB634" s="2"/>
    </row>
    <row r="635" spans="1:28" ht="15" customHeight="1">
      <c r="A635" s="16">
        <v>634</v>
      </c>
      <c r="B635" s="8" t="s">
        <v>2524</v>
      </c>
      <c r="C635" s="14" t="str">
        <f>_xlfn.CONCAT(B635&amp;" "&amp;W635&amp;X635&amp;Y635&amp;Z635)</f>
        <v>Fine Line Circuits Limited (HTMU) 2224</v>
      </c>
      <c r="D635" s="17">
        <v>698</v>
      </c>
      <c r="E635" s="8" t="s">
        <v>90</v>
      </c>
      <c r="F635" s="8"/>
      <c r="G635" s="23">
        <v>43215</v>
      </c>
      <c r="H635" s="23"/>
      <c r="I635" s="23"/>
      <c r="J635" s="26">
        <v>44474</v>
      </c>
      <c r="K635" s="26">
        <v>44838</v>
      </c>
      <c r="L635" s="32">
        <v>3</v>
      </c>
      <c r="M635" s="13"/>
      <c r="N635" s="13"/>
      <c r="O635" s="19"/>
      <c r="P635" s="13" t="s">
        <v>2525</v>
      </c>
      <c r="Q635" s="13" t="s">
        <v>4749</v>
      </c>
      <c r="R635" s="13" t="s">
        <v>2526</v>
      </c>
      <c r="S635" s="13" t="s">
        <v>221</v>
      </c>
      <c r="T635" s="13">
        <v>400096</v>
      </c>
      <c r="U635" s="13" t="s">
        <v>172</v>
      </c>
      <c r="V635" s="13" t="s">
        <v>23</v>
      </c>
      <c r="W635" s="193">
        <v>2</v>
      </c>
      <c r="X635" s="13">
        <v>2</v>
      </c>
      <c r="Y635" s="13">
        <v>2</v>
      </c>
      <c r="Z635" s="13">
        <v>4</v>
      </c>
      <c r="AA635" s="193" t="s">
        <v>4148</v>
      </c>
      <c r="AB635" s="2"/>
    </row>
    <row r="636" spans="1:28" ht="15" customHeight="1">
      <c r="A636" s="16">
        <v>635</v>
      </c>
      <c r="B636" s="8" t="s">
        <v>2527</v>
      </c>
      <c r="C636" s="14" t="str">
        <f>_xlfn.CONCAT(B636&amp;" "&amp;W636&amp;X636&amp;Y636&amp;Z636)</f>
        <v>GKM Metal Finishers 8013</v>
      </c>
      <c r="D636" s="17">
        <v>431</v>
      </c>
      <c r="E636" s="8" t="s">
        <v>42</v>
      </c>
      <c r="F636" s="8"/>
      <c r="G636" s="23">
        <v>43215</v>
      </c>
      <c r="H636" s="23"/>
      <c r="I636" s="23"/>
      <c r="J636" s="26">
        <v>44376</v>
      </c>
      <c r="K636" s="26">
        <v>44740</v>
      </c>
      <c r="L636" s="32">
        <v>3</v>
      </c>
      <c r="M636" s="13" t="s">
        <v>2528</v>
      </c>
      <c r="N636" s="13"/>
      <c r="O636" s="19">
        <v>9942044211</v>
      </c>
      <c r="P636" s="13" t="s">
        <v>2530</v>
      </c>
      <c r="Q636" s="13" t="s">
        <v>4750</v>
      </c>
      <c r="R636" s="13" t="s">
        <v>2531</v>
      </c>
      <c r="S636" s="13" t="s">
        <v>121</v>
      </c>
      <c r="T636" s="13">
        <v>635126</v>
      </c>
      <c r="U636" s="13" t="s">
        <v>38</v>
      </c>
      <c r="V636" s="13" t="s">
        <v>23</v>
      </c>
      <c r="W636" s="193">
        <v>8</v>
      </c>
      <c r="X636" s="13">
        <v>0</v>
      </c>
      <c r="Y636" s="13">
        <v>1</v>
      </c>
      <c r="Z636" s="13">
        <v>3</v>
      </c>
      <c r="AA636" s="193" t="s">
        <v>4118</v>
      </c>
      <c r="AB636" s="2"/>
    </row>
    <row r="637" spans="1:28" ht="15" customHeight="1">
      <c r="A637" s="16">
        <v>636</v>
      </c>
      <c r="B637" s="8" t="s">
        <v>2532</v>
      </c>
      <c r="C637" s="14" t="str">
        <f>_xlfn.CONCAT(B637&amp;" "&amp;W637&amp;X637&amp;Y637&amp;Z637)</f>
        <v>Schwing Stetter (India) Pvt Ltd 4031</v>
      </c>
      <c r="D637" s="17">
        <v>691</v>
      </c>
      <c r="E637" s="8" t="s">
        <v>90</v>
      </c>
      <c r="F637" s="8"/>
      <c r="G637" s="23">
        <v>43215</v>
      </c>
      <c r="H637" s="23"/>
      <c r="I637" s="23"/>
      <c r="J637" s="26">
        <v>44543</v>
      </c>
      <c r="K637" s="26">
        <v>44907</v>
      </c>
      <c r="L637" s="32">
        <v>3</v>
      </c>
      <c r="M637" s="13"/>
      <c r="N637" s="13"/>
      <c r="O637" s="19"/>
      <c r="P637" s="13" t="s">
        <v>2533</v>
      </c>
      <c r="Q637" s="13" t="s">
        <v>4751</v>
      </c>
      <c r="R637" s="13" t="s">
        <v>2534</v>
      </c>
      <c r="S637" s="13" t="s">
        <v>2503</v>
      </c>
      <c r="T637" s="13">
        <v>602117</v>
      </c>
      <c r="U637" s="13" t="s">
        <v>38</v>
      </c>
      <c r="V637" s="13" t="s">
        <v>23</v>
      </c>
      <c r="W637" s="193">
        <v>4</v>
      </c>
      <c r="X637" s="13">
        <v>0</v>
      </c>
      <c r="Y637" s="13">
        <v>3</v>
      </c>
      <c r="Z637" s="13">
        <v>1</v>
      </c>
      <c r="AA637" s="193" t="s">
        <v>4148</v>
      </c>
      <c r="AB637" s="2"/>
    </row>
    <row r="638" spans="1:28" ht="15" customHeight="1">
      <c r="A638" s="16">
        <v>637</v>
      </c>
      <c r="B638" s="8" t="s">
        <v>2535</v>
      </c>
      <c r="C638" s="14" t="str">
        <f>_xlfn.CONCAT(B638&amp;" "&amp;W638&amp;X638&amp;Y638&amp;Z638)</f>
        <v>VAP Precision Pvt Ltd (Vijaya Auto Products) 8021</v>
      </c>
      <c r="D638" s="17">
        <v>740</v>
      </c>
      <c r="E638" s="8" t="s">
        <v>42</v>
      </c>
      <c r="F638" s="8"/>
      <c r="G638" s="23">
        <v>43221</v>
      </c>
      <c r="H638" s="23"/>
      <c r="I638" s="23"/>
      <c r="J638" s="26">
        <v>45856</v>
      </c>
      <c r="K638" s="26">
        <v>46220</v>
      </c>
      <c r="L638" s="32">
        <v>3</v>
      </c>
      <c r="M638" s="13" t="s">
        <v>2536</v>
      </c>
      <c r="N638" s="13" t="s">
        <v>2537</v>
      </c>
      <c r="O638" s="19">
        <v>8884067838</v>
      </c>
      <c r="P638" s="13" t="s">
        <v>2538</v>
      </c>
      <c r="Q638" s="13" t="s">
        <v>4752</v>
      </c>
      <c r="R638" s="13" t="s">
        <v>2539</v>
      </c>
      <c r="S638" s="13" t="s">
        <v>21</v>
      </c>
      <c r="T638" s="13">
        <v>560105</v>
      </c>
      <c r="U638" s="13" t="s">
        <v>22</v>
      </c>
      <c r="V638" s="13" t="s">
        <v>23</v>
      </c>
      <c r="W638" s="193">
        <v>8</v>
      </c>
      <c r="X638" s="13">
        <v>0</v>
      </c>
      <c r="Y638" s="13">
        <v>2</v>
      </c>
      <c r="Z638" s="13">
        <v>1</v>
      </c>
      <c r="AA638" s="193" t="s">
        <v>4118</v>
      </c>
      <c r="AB638" s="2"/>
    </row>
    <row r="639" spans="1:28" ht="15" customHeight="1">
      <c r="A639" s="16">
        <v>638</v>
      </c>
      <c r="B639" s="8" t="s">
        <v>2540</v>
      </c>
      <c r="C639" s="14" t="str">
        <f>_xlfn.CONCAT(B639&amp;" "&amp;W639&amp;X639&amp;Y639&amp;Z639)</f>
        <v>Tool Grinding Technologies Inc. 8051</v>
      </c>
      <c r="D639" s="17" t="s">
        <v>2541</v>
      </c>
      <c r="E639" s="8"/>
      <c r="F639" s="8"/>
      <c r="G639" s="23">
        <v>43230</v>
      </c>
      <c r="H639" s="23"/>
      <c r="I639" s="23"/>
      <c r="J639" s="26">
        <v>43230</v>
      </c>
      <c r="K639" s="26">
        <v>43594</v>
      </c>
      <c r="L639" s="32">
        <v>3</v>
      </c>
      <c r="M639" s="13" t="s">
        <v>2542</v>
      </c>
      <c r="N639" s="13" t="s">
        <v>28</v>
      </c>
      <c r="O639" s="19">
        <v>9886126239</v>
      </c>
      <c r="P639" s="13" t="s">
        <v>1512</v>
      </c>
      <c r="Q639" s="13" t="s">
        <v>4753</v>
      </c>
      <c r="R639" s="13"/>
      <c r="S639" s="13" t="s">
        <v>21</v>
      </c>
      <c r="T639" s="13">
        <v>560058</v>
      </c>
      <c r="U639" s="13" t="s">
        <v>22</v>
      </c>
      <c r="V639" s="13" t="s">
        <v>23</v>
      </c>
      <c r="W639" s="193">
        <v>8</v>
      </c>
      <c r="X639" s="13">
        <v>0</v>
      </c>
      <c r="Y639" s="13">
        <v>5</v>
      </c>
      <c r="Z639" s="13">
        <v>1</v>
      </c>
      <c r="AA639" s="193" t="s">
        <v>4118</v>
      </c>
      <c r="AB639" s="2"/>
    </row>
    <row r="640" spans="1:28" ht="15" customHeight="1">
      <c r="A640" s="16">
        <v>639</v>
      </c>
      <c r="B640" s="8" t="s">
        <v>2544</v>
      </c>
      <c r="C640" s="14" t="str">
        <f>_xlfn.CONCAT(B640&amp;" "&amp;W640&amp;X640&amp;Y640&amp;Z640)</f>
        <v>Eastman Cast &amp; Forge Limited 1335</v>
      </c>
      <c r="D640" s="17">
        <v>737</v>
      </c>
      <c r="E640" s="8" t="s">
        <v>42</v>
      </c>
      <c r="F640" s="8"/>
      <c r="G640" s="23">
        <v>43235</v>
      </c>
      <c r="H640" s="23"/>
      <c r="I640" s="23"/>
      <c r="J640" s="26">
        <v>43235</v>
      </c>
      <c r="K640" s="26">
        <v>43599</v>
      </c>
      <c r="L640" s="32">
        <v>3</v>
      </c>
      <c r="M640" s="13"/>
      <c r="N640" s="13"/>
      <c r="O640" s="19"/>
      <c r="P640" s="13"/>
      <c r="Q640" s="13" t="s">
        <v>4754</v>
      </c>
      <c r="R640" s="13"/>
      <c r="S640" s="13" t="s">
        <v>1994</v>
      </c>
      <c r="T640" s="13">
        <v>141120</v>
      </c>
      <c r="U640" s="13" t="s">
        <v>1787</v>
      </c>
      <c r="V640" s="13" t="s">
        <v>23</v>
      </c>
      <c r="W640" s="193">
        <v>1</v>
      </c>
      <c r="X640" s="13">
        <v>3</v>
      </c>
      <c r="Y640" s="13">
        <v>3</v>
      </c>
      <c r="Z640" s="13">
        <v>5</v>
      </c>
      <c r="AA640" s="193" t="s">
        <v>4118</v>
      </c>
      <c r="AB640" s="2"/>
    </row>
    <row r="641" spans="1:28" ht="15" customHeight="1">
      <c r="A641" s="16">
        <v>640</v>
      </c>
      <c r="B641" s="8" t="s">
        <v>2545</v>
      </c>
      <c r="C641" s="14" t="str">
        <f>_xlfn.CONCAT(B641&amp;" "&amp;W641&amp;X641&amp;Y641&amp;Z641)</f>
        <v>SJP Industry 4021</v>
      </c>
      <c r="D641" s="17">
        <v>700</v>
      </c>
      <c r="E641" s="8" t="s">
        <v>90</v>
      </c>
      <c r="F641" s="8"/>
      <c r="G641" s="23">
        <v>43237</v>
      </c>
      <c r="H641" s="23"/>
      <c r="I641" s="23"/>
      <c r="J641" s="26">
        <v>44186</v>
      </c>
      <c r="K641" s="26">
        <v>44550</v>
      </c>
      <c r="L641" s="32">
        <v>3</v>
      </c>
      <c r="M641" s="13"/>
      <c r="N641" s="13"/>
      <c r="O641" s="19"/>
      <c r="P641" s="13" t="s">
        <v>2546</v>
      </c>
      <c r="Q641" s="13" t="s">
        <v>4755</v>
      </c>
      <c r="R641" s="13"/>
      <c r="S641" s="13" t="s">
        <v>37</v>
      </c>
      <c r="T641" s="13">
        <v>600032</v>
      </c>
      <c r="U641" s="13" t="s">
        <v>38</v>
      </c>
      <c r="V641" s="13" t="s">
        <v>23</v>
      </c>
      <c r="W641" s="193">
        <v>4</v>
      </c>
      <c r="X641" s="13">
        <v>0</v>
      </c>
      <c r="Y641" s="13">
        <v>2</v>
      </c>
      <c r="Z641" s="13">
        <v>1</v>
      </c>
      <c r="AA641" s="193" t="s">
        <v>4148</v>
      </c>
      <c r="AB641" s="2"/>
    </row>
    <row r="642" spans="1:28" ht="15" customHeight="1">
      <c r="A642" s="16">
        <v>641</v>
      </c>
      <c r="B642" s="8" t="s">
        <v>2547</v>
      </c>
      <c r="C642" s="14" t="str">
        <f>_xlfn.CONCAT(B642&amp;" "&amp;W642&amp;X642&amp;Y642&amp;Z642)</f>
        <v>Spacenex Aero Pvt Ltd (Pramodaya Aerospace Solutions) 8071</v>
      </c>
      <c r="D642" s="17">
        <v>699</v>
      </c>
      <c r="E642" s="8" t="s">
        <v>90</v>
      </c>
      <c r="F642" s="8"/>
      <c r="G642" s="23">
        <v>43241</v>
      </c>
      <c r="H642" s="23"/>
      <c r="I642" s="23"/>
      <c r="J642" s="26">
        <v>44581</v>
      </c>
      <c r="K642" s="26">
        <v>44945</v>
      </c>
      <c r="L642" s="32">
        <v>3</v>
      </c>
      <c r="M642" s="13" t="s">
        <v>2548</v>
      </c>
      <c r="N642" s="13" t="s">
        <v>17</v>
      </c>
      <c r="O642" s="19">
        <v>9916130350</v>
      </c>
      <c r="P642" s="13" t="s">
        <v>2549</v>
      </c>
      <c r="Q642" s="13" t="s">
        <v>4756</v>
      </c>
      <c r="R642" s="13"/>
      <c r="S642" s="13" t="s">
        <v>21</v>
      </c>
      <c r="T642" s="13">
        <v>560065</v>
      </c>
      <c r="U642" s="13" t="s">
        <v>22</v>
      </c>
      <c r="V642" s="13" t="s">
        <v>23</v>
      </c>
      <c r="W642" s="193">
        <v>8</v>
      </c>
      <c r="X642" s="13">
        <v>0</v>
      </c>
      <c r="Y642" s="13">
        <v>7</v>
      </c>
      <c r="Z642" s="13">
        <v>1</v>
      </c>
      <c r="AA642" s="193" t="s">
        <v>4118</v>
      </c>
      <c r="AB642" s="2"/>
    </row>
    <row r="643" spans="1:28" ht="15" customHeight="1">
      <c r="A643" s="16">
        <v>642</v>
      </c>
      <c r="B643" s="8" t="s">
        <v>2550</v>
      </c>
      <c r="C643" s="14" t="str">
        <f>_xlfn.CONCAT(B643&amp;" "&amp;W643&amp;X643&amp;Y643&amp;Z643)</f>
        <v>Johnson Electric Pvt Ltd 4021</v>
      </c>
      <c r="D643" s="17">
        <v>741</v>
      </c>
      <c r="E643" s="8" t="s">
        <v>42</v>
      </c>
      <c r="F643" s="8"/>
      <c r="G643" s="23">
        <v>43242</v>
      </c>
      <c r="H643" s="23"/>
      <c r="I643" s="23"/>
      <c r="J643" s="26">
        <v>43242</v>
      </c>
      <c r="K643" s="26">
        <v>43606</v>
      </c>
      <c r="L643" s="32">
        <v>3</v>
      </c>
      <c r="M643" s="13"/>
      <c r="N643" s="13"/>
      <c r="O643" s="19"/>
      <c r="P643" s="13" t="s">
        <v>2551</v>
      </c>
      <c r="Q643" s="13" t="s">
        <v>4757</v>
      </c>
      <c r="R643" s="13"/>
      <c r="S643" s="13" t="s">
        <v>37</v>
      </c>
      <c r="T643" s="13">
        <v>602103</v>
      </c>
      <c r="U643" s="13" t="s">
        <v>38</v>
      </c>
      <c r="V643" s="13" t="s">
        <v>23</v>
      </c>
      <c r="W643" s="193">
        <v>4</v>
      </c>
      <c r="X643" s="13">
        <v>0</v>
      </c>
      <c r="Y643" s="13">
        <v>2</v>
      </c>
      <c r="Z643" s="13">
        <v>1</v>
      </c>
      <c r="AA643" s="193" t="s">
        <v>4148</v>
      </c>
      <c r="AB643" s="2"/>
    </row>
    <row r="644" spans="1:28" ht="15" customHeight="1">
      <c r="A644" s="16">
        <v>643</v>
      </c>
      <c r="B644" s="8" t="s">
        <v>2552</v>
      </c>
      <c r="C644" s="14" t="str">
        <f>_xlfn.CONCAT(B644&amp;" "&amp;W644&amp;X644&amp;Y644&amp;Z644)</f>
        <v>Prem Industries 8033</v>
      </c>
      <c r="D644" s="17">
        <v>738</v>
      </c>
      <c r="E644" s="8" t="s">
        <v>42</v>
      </c>
      <c r="F644" s="8"/>
      <c r="G644" s="23">
        <v>43245</v>
      </c>
      <c r="H644" s="23"/>
      <c r="I644" s="23"/>
      <c r="J644" s="26">
        <v>44245</v>
      </c>
      <c r="K644" s="26">
        <v>44609</v>
      </c>
      <c r="L644" s="32">
        <v>3</v>
      </c>
      <c r="M644" s="13" t="s">
        <v>2553</v>
      </c>
      <c r="N644" s="13" t="s">
        <v>254</v>
      </c>
      <c r="O644" s="19">
        <v>9972144884</v>
      </c>
      <c r="P644" s="13"/>
      <c r="Q644" s="13" t="s">
        <v>4758</v>
      </c>
      <c r="R644" s="13"/>
      <c r="S644" s="13" t="s">
        <v>275</v>
      </c>
      <c r="T644" s="13">
        <v>570018</v>
      </c>
      <c r="U644" s="13" t="s">
        <v>22</v>
      </c>
      <c r="V644" s="13" t="s">
        <v>23</v>
      </c>
      <c r="W644" s="193">
        <v>8</v>
      </c>
      <c r="X644" s="13">
        <v>0</v>
      </c>
      <c r="Y644" s="13">
        <v>3</v>
      </c>
      <c r="Z644" s="13">
        <v>3</v>
      </c>
      <c r="AA644" s="193" t="s">
        <v>4118</v>
      </c>
      <c r="AB644" s="2"/>
    </row>
    <row r="645" spans="1:28" ht="15" customHeight="1">
      <c r="A645" s="16">
        <v>644</v>
      </c>
      <c r="B645" s="8" t="s">
        <v>2554</v>
      </c>
      <c r="C645" s="14" t="str">
        <f>_xlfn.CONCAT(B645&amp;" "&amp;W645&amp;X645&amp;Y645&amp;Z645)</f>
        <v>Henkel Anand India Pvt Ltd 1312</v>
      </c>
      <c r="D645" s="17">
        <v>702</v>
      </c>
      <c r="E645" s="8" t="s">
        <v>90</v>
      </c>
      <c r="F645" s="8"/>
      <c r="G645" s="23">
        <v>43266</v>
      </c>
      <c r="H645" s="23"/>
      <c r="I645" s="23"/>
      <c r="J645" s="26">
        <v>44408</v>
      </c>
      <c r="K645" s="26">
        <v>44772</v>
      </c>
      <c r="L645" s="32">
        <v>3</v>
      </c>
      <c r="M645" s="13" t="s">
        <v>2555</v>
      </c>
      <c r="N645" s="13"/>
      <c r="O645" s="19"/>
      <c r="P645" s="13" t="s">
        <v>2375</v>
      </c>
      <c r="Q645" s="13" t="s">
        <v>4759</v>
      </c>
      <c r="R645" s="13"/>
      <c r="S645" s="13" t="s">
        <v>335</v>
      </c>
      <c r="T645" s="13">
        <v>173220</v>
      </c>
      <c r="U645" s="13" t="s">
        <v>336</v>
      </c>
      <c r="V645" s="13" t="s">
        <v>23</v>
      </c>
      <c r="W645" s="193">
        <v>1</v>
      </c>
      <c r="X645" s="13">
        <v>3</v>
      </c>
      <c r="Y645" s="13">
        <v>1</v>
      </c>
      <c r="Z645" s="13">
        <v>2</v>
      </c>
      <c r="AA645" s="193" t="s">
        <v>4118</v>
      </c>
      <c r="AB645" s="2"/>
    </row>
    <row r="646" spans="1:28" ht="15" customHeight="1">
      <c r="A646" s="16">
        <v>645</v>
      </c>
      <c r="B646" s="8" t="s">
        <v>2139</v>
      </c>
      <c r="C646" s="14" t="str">
        <f>_xlfn.CONCAT(B646&amp;" "&amp;W646&amp;X646&amp;Y646&amp;Z646)</f>
        <v>Terminal Technologies P Ltd 2112</v>
      </c>
      <c r="D646" s="17">
        <v>739</v>
      </c>
      <c r="E646" s="8" t="s">
        <v>42</v>
      </c>
      <c r="F646" s="8"/>
      <c r="G646" s="23">
        <v>43266</v>
      </c>
      <c r="H646" s="23"/>
      <c r="I646" s="23"/>
      <c r="J646" s="26">
        <v>44548</v>
      </c>
      <c r="K646" s="26">
        <v>44912</v>
      </c>
      <c r="L646" s="32">
        <v>3</v>
      </c>
      <c r="M646" s="13" t="s">
        <v>2556</v>
      </c>
      <c r="N646" s="13" t="s">
        <v>254</v>
      </c>
      <c r="O646" s="19"/>
      <c r="P646" s="13" t="s">
        <v>2141</v>
      </c>
      <c r="Q646" s="13" t="s">
        <v>4760</v>
      </c>
      <c r="R646" s="13" t="s">
        <v>2557</v>
      </c>
      <c r="S646" s="13" t="s">
        <v>178</v>
      </c>
      <c r="T646" s="13">
        <v>401208</v>
      </c>
      <c r="U646" s="13" t="s">
        <v>172</v>
      </c>
      <c r="V646" s="13" t="s">
        <v>23</v>
      </c>
      <c r="W646" s="193">
        <v>2</v>
      </c>
      <c r="X646" s="13">
        <v>1</v>
      </c>
      <c r="Y646" s="13">
        <v>1</v>
      </c>
      <c r="Z646" s="13">
        <v>2</v>
      </c>
      <c r="AA646" s="193" t="s">
        <v>4118</v>
      </c>
      <c r="AB646" s="2"/>
    </row>
    <row r="647" spans="1:28" ht="15" customHeight="1">
      <c r="A647" s="16">
        <v>646</v>
      </c>
      <c r="B647" s="8" t="s">
        <v>2540</v>
      </c>
      <c r="C647" s="14" t="str">
        <f>_xlfn.CONCAT(B647&amp;" "&amp;W647&amp;X647&amp;Y647&amp;Z647)</f>
        <v>Tool Grinding Technologies Inc. 8051</v>
      </c>
      <c r="D647" s="17" t="s">
        <v>2558</v>
      </c>
      <c r="E647" s="8"/>
      <c r="F647" s="8"/>
      <c r="G647" s="23">
        <v>43270</v>
      </c>
      <c r="H647" s="23"/>
      <c r="I647" s="23"/>
      <c r="J647" s="26">
        <v>43270</v>
      </c>
      <c r="K647" s="26">
        <v>43634</v>
      </c>
      <c r="L647" s="32">
        <v>3</v>
      </c>
      <c r="M647" s="13" t="s">
        <v>2542</v>
      </c>
      <c r="N647" s="13" t="s">
        <v>28</v>
      </c>
      <c r="O647" s="19"/>
      <c r="P647" s="13" t="s">
        <v>2196</v>
      </c>
      <c r="Q647" s="13" t="s">
        <v>4761</v>
      </c>
      <c r="R647" s="13" t="s">
        <v>1512</v>
      </c>
      <c r="S647" s="13" t="s">
        <v>21</v>
      </c>
      <c r="T647" s="13">
        <v>560058</v>
      </c>
      <c r="U647" s="13" t="s">
        <v>22</v>
      </c>
      <c r="V647" s="13" t="s">
        <v>23</v>
      </c>
      <c r="W647" s="193">
        <v>8</v>
      </c>
      <c r="X647" s="13">
        <v>0</v>
      </c>
      <c r="Y647" s="13">
        <v>5</v>
      </c>
      <c r="Z647" s="13">
        <v>1</v>
      </c>
      <c r="AA647" s="193" t="s">
        <v>4118</v>
      </c>
      <c r="AB647" s="2"/>
    </row>
    <row r="648" spans="1:28" ht="15" customHeight="1">
      <c r="A648" s="16">
        <v>647</v>
      </c>
      <c r="B648" s="8" t="s">
        <v>2559</v>
      </c>
      <c r="C648" s="14" t="str">
        <f>_xlfn.CONCAT(B648&amp;" "&amp;W648&amp;X648&amp;Y648&amp;Z648)</f>
        <v>Ananth Wiretech Tooling 8013</v>
      </c>
      <c r="D648" s="17">
        <v>688</v>
      </c>
      <c r="E648" s="8" t="s">
        <v>2082</v>
      </c>
      <c r="F648" s="8"/>
      <c r="G648" s="23">
        <v>43278</v>
      </c>
      <c r="H648" s="23"/>
      <c r="I648" s="23"/>
      <c r="J648" s="26">
        <v>43627</v>
      </c>
      <c r="K648" s="26">
        <v>43992</v>
      </c>
      <c r="L648" s="32">
        <v>3</v>
      </c>
      <c r="M648" s="13" t="s">
        <v>2560</v>
      </c>
      <c r="N648" s="13" t="s">
        <v>28</v>
      </c>
      <c r="O648" s="19" t="s">
        <v>2561</v>
      </c>
      <c r="P648" s="13" t="s">
        <v>2241</v>
      </c>
      <c r="Q648" s="13" t="s">
        <v>4762</v>
      </c>
      <c r="R648" s="13"/>
      <c r="S648" s="13" t="s">
        <v>121</v>
      </c>
      <c r="T648" s="13">
        <v>635126</v>
      </c>
      <c r="U648" s="13" t="s">
        <v>38</v>
      </c>
      <c r="V648" s="13" t="s">
        <v>23</v>
      </c>
      <c r="W648" s="193">
        <v>8</v>
      </c>
      <c r="X648" s="13">
        <v>0</v>
      </c>
      <c r="Y648" s="13">
        <v>1</v>
      </c>
      <c r="Z648" s="13">
        <v>3</v>
      </c>
      <c r="AA648" s="193" t="s">
        <v>4118</v>
      </c>
      <c r="AB648" s="2"/>
    </row>
    <row r="649" spans="1:28" ht="15" customHeight="1">
      <c r="A649" s="16">
        <v>648</v>
      </c>
      <c r="B649" s="8" t="s">
        <v>2315</v>
      </c>
      <c r="C649" s="14" t="str">
        <f>_xlfn.CONCAT(B649&amp;" "&amp;W649&amp;X649&amp;Y649&amp;Z649)</f>
        <v>Napino Auto &amp; Electronics Ltd 1111</v>
      </c>
      <c r="D649" s="17">
        <v>743</v>
      </c>
      <c r="E649" s="8" t="s">
        <v>42</v>
      </c>
      <c r="F649" s="8"/>
      <c r="G649" s="23">
        <v>43283</v>
      </c>
      <c r="H649" s="23"/>
      <c r="I649" s="23"/>
      <c r="J649" s="26">
        <v>43283</v>
      </c>
      <c r="K649" s="26">
        <v>44013</v>
      </c>
      <c r="L649" s="32">
        <v>3</v>
      </c>
      <c r="M649" s="13"/>
      <c r="N649" s="13"/>
      <c r="O649" s="19"/>
      <c r="P649" s="13" t="s">
        <v>2313</v>
      </c>
      <c r="Q649" s="13" t="s">
        <v>4763</v>
      </c>
      <c r="R649" s="13"/>
      <c r="S649" s="13" t="s">
        <v>428</v>
      </c>
      <c r="T649" s="13">
        <v>122050</v>
      </c>
      <c r="U649" s="13" t="s">
        <v>429</v>
      </c>
      <c r="V649" s="13" t="s">
        <v>23</v>
      </c>
      <c r="W649" s="193">
        <v>1</v>
      </c>
      <c r="X649" s="13">
        <v>1</v>
      </c>
      <c r="Y649" s="13">
        <v>1</v>
      </c>
      <c r="Z649" s="13">
        <v>1</v>
      </c>
      <c r="AA649" s="193" t="s">
        <v>4118</v>
      </c>
      <c r="AB649" s="2"/>
    </row>
    <row r="650" spans="1:28" ht="15" customHeight="1">
      <c r="A650" s="16">
        <v>649</v>
      </c>
      <c r="B650" s="8" t="s">
        <v>2562</v>
      </c>
      <c r="C650" s="14" t="str">
        <f>_xlfn.CONCAT(B650&amp;" "&amp;W650&amp;X650&amp;Y650&amp;Z650)</f>
        <v>Integrated CAD CAM Solutions Pvt Ltd 2224</v>
      </c>
      <c r="D650" s="17">
        <v>744</v>
      </c>
      <c r="E650" s="8" t="s">
        <v>42</v>
      </c>
      <c r="F650" s="8"/>
      <c r="G650" s="23">
        <v>43292</v>
      </c>
      <c r="H650" s="23"/>
      <c r="I650" s="23"/>
      <c r="J650" s="26">
        <v>44621</v>
      </c>
      <c r="K650" s="26">
        <v>44985</v>
      </c>
      <c r="L650" s="32">
        <v>3</v>
      </c>
      <c r="M650" s="13"/>
      <c r="N650" s="13"/>
      <c r="O650" s="19"/>
      <c r="P650" s="13" t="s">
        <v>2563</v>
      </c>
      <c r="Q650" s="13" t="s">
        <v>4764</v>
      </c>
      <c r="R650" s="13" t="s">
        <v>2564</v>
      </c>
      <c r="S650" s="13" t="s">
        <v>259</v>
      </c>
      <c r="T650" s="13">
        <v>400701</v>
      </c>
      <c r="U650" s="13" t="s">
        <v>172</v>
      </c>
      <c r="V650" s="13" t="s">
        <v>23</v>
      </c>
      <c r="W650" s="193">
        <v>2</v>
      </c>
      <c r="X650" s="13">
        <v>2</v>
      </c>
      <c r="Y650" s="13">
        <v>2</v>
      </c>
      <c r="Z650" s="13">
        <v>4</v>
      </c>
      <c r="AA650" s="193" t="s">
        <v>4148</v>
      </c>
      <c r="AB650" s="2"/>
    </row>
    <row r="651" spans="1:28" ht="15" customHeight="1">
      <c r="A651" s="16">
        <v>650</v>
      </c>
      <c r="B651" s="8" t="s">
        <v>2565</v>
      </c>
      <c r="C651" s="14" t="str">
        <f>_xlfn.CONCAT(B651&amp;" "&amp;W651&amp;X651&amp;Y651&amp;Z651)</f>
        <v>Mahantesh Industries Enterprises 8051</v>
      </c>
      <c r="D651" s="17">
        <v>704</v>
      </c>
      <c r="E651" s="8" t="s">
        <v>90</v>
      </c>
      <c r="F651" s="8"/>
      <c r="G651" s="23">
        <v>43295</v>
      </c>
      <c r="H651" s="23"/>
      <c r="I651" s="23"/>
      <c r="J651" s="26">
        <v>45941</v>
      </c>
      <c r="K651" s="26">
        <v>46305</v>
      </c>
      <c r="L651" s="32">
        <v>3</v>
      </c>
      <c r="M651" s="13"/>
      <c r="N651" s="13"/>
      <c r="O651" s="19">
        <v>9448451516</v>
      </c>
      <c r="P651" s="13" t="s">
        <v>2566</v>
      </c>
      <c r="Q651" s="13" t="s">
        <v>4765</v>
      </c>
      <c r="R651" s="13" t="s">
        <v>2567</v>
      </c>
      <c r="S651" s="13" t="s">
        <v>21</v>
      </c>
      <c r="T651" s="13">
        <v>560048</v>
      </c>
      <c r="U651" s="13" t="s">
        <v>22</v>
      </c>
      <c r="V651" s="13" t="s">
        <v>23</v>
      </c>
      <c r="W651" s="193">
        <v>8</v>
      </c>
      <c r="X651" s="13">
        <v>0</v>
      </c>
      <c r="Y651" s="13">
        <v>5</v>
      </c>
      <c r="Z651" s="13">
        <v>1</v>
      </c>
      <c r="AA651" s="193" t="s">
        <v>4118</v>
      </c>
      <c r="AB651" s="2"/>
    </row>
    <row r="652" spans="1:28" ht="15" customHeight="1">
      <c r="A652" s="16">
        <v>651</v>
      </c>
      <c r="B652" s="8" t="s">
        <v>2568</v>
      </c>
      <c r="C652" s="14" t="str">
        <f>_xlfn.CONCAT(B652&amp;" "&amp;W652&amp;X652&amp;Y652&amp;Z652)</f>
        <v>Saini Flange Pvt Ltd 1132</v>
      </c>
      <c r="D652" s="17">
        <v>701</v>
      </c>
      <c r="E652" s="8" t="s">
        <v>90</v>
      </c>
      <c r="F652" s="8"/>
      <c r="G652" s="23">
        <v>43297</v>
      </c>
      <c r="H652" s="23"/>
      <c r="I652" s="23"/>
      <c r="J652" s="26">
        <v>44165</v>
      </c>
      <c r="K652" s="26">
        <v>44529</v>
      </c>
      <c r="L652" s="32">
        <v>3</v>
      </c>
      <c r="M652" s="13"/>
      <c r="N652" s="13"/>
      <c r="O652" s="19"/>
      <c r="P652" s="13" t="s">
        <v>2569</v>
      </c>
      <c r="Q652" s="13" t="s">
        <v>4766</v>
      </c>
      <c r="R652" s="13" t="s">
        <v>2570</v>
      </c>
      <c r="S652" s="13" t="s">
        <v>2571</v>
      </c>
      <c r="T652" s="13">
        <v>131028</v>
      </c>
      <c r="U652" s="13" t="s">
        <v>429</v>
      </c>
      <c r="V652" s="13" t="s">
        <v>23</v>
      </c>
      <c r="W652" s="193">
        <v>1</v>
      </c>
      <c r="X652" s="13">
        <v>1</v>
      </c>
      <c r="Y652" s="13">
        <v>3</v>
      </c>
      <c r="Z652" s="13">
        <v>2</v>
      </c>
      <c r="AA652" s="193" t="s">
        <v>4118</v>
      </c>
      <c r="AB652" s="2"/>
    </row>
    <row r="653" spans="1:28" ht="15" customHeight="1">
      <c r="A653" s="16">
        <v>652</v>
      </c>
      <c r="B653" s="8" t="s">
        <v>2572</v>
      </c>
      <c r="C653" s="14" t="str">
        <f>_xlfn.CONCAT(B653&amp;" "&amp;W653&amp;X653&amp;Y653&amp;Z653)</f>
        <v>Quality Laboratory 8012</v>
      </c>
      <c r="D653" s="17">
        <v>703</v>
      </c>
      <c r="E653" s="8" t="s">
        <v>90</v>
      </c>
      <c r="F653" s="8"/>
      <c r="G653" s="23">
        <v>43299</v>
      </c>
      <c r="H653" s="23"/>
      <c r="I653" s="23"/>
      <c r="J653" s="26">
        <v>43299</v>
      </c>
      <c r="K653" s="26">
        <v>43663</v>
      </c>
      <c r="L653" s="32">
        <v>3</v>
      </c>
      <c r="M653" s="13" t="s">
        <v>2573</v>
      </c>
      <c r="N653" s="13"/>
      <c r="O653" s="19">
        <v>8548041285</v>
      </c>
      <c r="P653" s="13" t="s">
        <v>2574</v>
      </c>
      <c r="Q653" s="13" t="s">
        <v>4767</v>
      </c>
      <c r="R653" s="13" t="s">
        <v>2360</v>
      </c>
      <c r="S653" s="13" t="s">
        <v>21</v>
      </c>
      <c r="T653" s="13">
        <v>562106</v>
      </c>
      <c r="U653" s="13" t="s">
        <v>22</v>
      </c>
      <c r="V653" s="13" t="s">
        <v>23</v>
      </c>
      <c r="W653" s="193">
        <v>8</v>
      </c>
      <c r="X653" s="13">
        <v>0</v>
      </c>
      <c r="Y653" s="13">
        <v>1</v>
      </c>
      <c r="Z653" s="13">
        <v>2</v>
      </c>
      <c r="AA653" s="193" t="s">
        <v>4118</v>
      </c>
      <c r="AB653" s="2"/>
    </row>
    <row r="654" spans="1:28" ht="15" customHeight="1">
      <c r="A654" s="16">
        <v>653</v>
      </c>
      <c r="B654" s="8" t="s">
        <v>2575</v>
      </c>
      <c r="C654" s="14" t="str">
        <f>_xlfn.CONCAT(B654&amp;" "&amp;W654&amp;X654&amp;Y654&amp;Z654)</f>
        <v>Rupesh Technologies Pvt Ltd 8041</v>
      </c>
      <c r="D654" s="17">
        <v>745</v>
      </c>
      <c r="E654" s="8" t="s">
        <v>42</v>
      </c>
      <c r="F654" s="8"/>
      <c r="G654" s="23">
        <v>43302</v>
      </c>
      <c r="H654" s="23"/>
      <c r="I654" s="23"/>
      <c r="J654" s="26">
        <v>44434</v>
      </c>
      <c r="K654" s="26">
        <v>44798</v>
      </c>
      <c r="L654" s="32">
        <v>3</v>
      </c>
      <c r="M654" s="13" t="s">
        <v>2576</v>
      </c>
      <c r="N654" s="13" t="s">
        <v>71</v>
      </c>
      <c r="O654" s="19"/>
      <c r="P654" s="13" t="s">
        <v>2577</v>
      </c>
      <c r="Q654" s="13" t="s">
        <v>4768</v>
      </c>
      <c r="R654" s="13" t="s">
        <v>2578</v>
      </c>
      <c r="S654" s="13" t="s">
        <v>21</v>
      </c>
      <c r="T654" s="13">
        <v>560073</v>
      </c>
      <c r="U654" s="13" t="s">
        <v>22</v>
      </c>
      <c r="V654" s="13" t="s">
        <v>23</v>
      </c>
      <c r="W654" s="193">
        <v>8</v>
      </c>
      <c r="X654" s="13">
        <v>0</v>
      </c>
      <c r="Y654" s="13">
        <v>4</v>
      </c>
      <c r="Z654" s="13">
        <v>1</v>
      </c>
      <c r="AA654" s="193" t="s">
        <v>4118</v>
      </c>
      <c r="AB654" s="2"/>
    </row>
    <row r="655" spans="1:28" ht="15" customHeight="1">
      <c r="A655" s="16">
        <v>654</v>
      </c>
      <c r="B655" s="8" t="s">
        <v>2579</v>
      </c>
      <c r="C655" s="14" t="str">
        <f>_xlfn.CONCAT(B655&amp;" "&amp;W655&amp;X655&amp;Y655&amp;Z655)</f>
        <v>Mark Ortho Care pvt ltd 5011</v>
      </c>
      <c r="D655" s="17">
        <v>742</v>
      </c>
      <c r="E655" s="8" t="s">
        <v>42</v>
      </c>
      <c r="F655" s="8"/>
      <c r="G655" s="23">
        <v>43309</v>
      </c>
      <c r="H655" s="23"/>
      <c r="I655" s="23"/>
      <c r="J655" s="26">
        <v>43309</v>
      </c>
      <c r="K655" s="26">
        <v>44039</v>
      </c>
      <c r="L655" s="32">
        <v>3</v>
      </c>
      <c r="M655" s="13" t="s">
        <v>2580</v>
      </c>
      <c r="N655" s="13"/>
      <c r="O655" s="19" t="s">
        <v>2581</v>
      </c>
      <c r="P655" s="13" t="s">
        <v>2582</v>
      </c>
      <c r="Q655" s="13" t="s">
        <v>4769</v>
      </c>
      <c r="R655" s="13" t="s">
        <v>2583</v>
      </c>
      <c r="S655" s="13" t="s">
        <v>143</v>
      </c>
      <c r="T655" s="13">
        <v>382213</v>
      </c>
      <c r="U655" s="13" t="s">
        <v>144</v>
      </c>
      <c r="V655" s="13" t="s">
        <v>23</v>
      </c>
      <c r="W655" s="193">
        <v>5</v>
      </c>
      <c r="X655" s="13">
        <v>0</v>
      </c>
      <c r="Y655" s="13">
        <v>1</v>
      </c>
      <c r="Z655" s="13">
        <v>1</v>
      </c>
      <c r="AA655" s="193" t="s">
        <v>4118</v>
      </c>
      <c r="AB655" s="2"/>
    </row>
    <row r="656" spans="1:28" ht="15" customHeight="1">
      <c r="A656" s="16">
        <v>655</v>
      </c>
      <c r="B656" s="8" t="s">
        <v>2584</v>
      </c>
      <c r="C656" s="14" t="str">
        <f>_xlfn.CONCAT(B656&amp;" "&amp;W656&amp;X656&amp;Y656&amp;Z656)</f>
        <v>Acumen Tools 8012</v>
      </c>
      <c r="D656" s="17">
        <v>689</v>
      </c>
      <c r="E656" s="8" t="s">
        <v>2082</v>
      </c>
      <c r="F656" s="8"/>
      <c r="G656" s="23">
        <v>43312</v>
      </c>
      <c r="H656" s="23"/>
      <c r="I656" s="23"/>
      <c r="J656" s="26">
        <v>44512</v>
      </c>
      <c r="K656" s="26">
        <v>44876</v>
      </c>
      <c r="L656" s="32">
        <v>3</v>
      </c>
      <c r="M656" s="13" t="s">
        <v>2585</v>
      </c>
      <c r="N656" s="13"/>
      <c r="O656" s="19">
        <v>9880601126</v>
      </c>
      <c r="P656" s="13" t="s">
        <v>2586</v>
      </c>
      <c r="Q656" s="13" t="s">
        <v>4770</v>
      </c>
      <c r="R656" s="13" t="s">
        <v>2360</v>
      </c>
      <c r="S656" s="13" t="s">
        <v>21</v>
      </c>
      <c r="T656" s="13">
        <v>560099</v>
      </c>
      <c r="U656" s="13" t="s">
        <v>22</v>
      </c>
      <c r="V656" s="13" t="s">
        <v>23</v>
      </c>
      <c r="W656" s="193">
        <v>8</v>
      </c>
      <c r="X656" s="13">
        <v>0</v>
      </c>
      <c r="Y656" s="13">
        <v>1</v>
      </c>
      <c r="Z656" s="13">
        <v>2</v>
      </c>
      <c r="AA656" s="193" t="s">
        <v>4118</v>
      </c>
      <c r="AB656" s="2"/>
    </row>
    <row r="657" spans="1:28" ht="15" customHeight="1">
      <c r="A657" s="16">
        <v>656</v>
      </c>
      <c r="B657" s="8" t="s">
        <v>2587</v>
      </c>
      <c r="C657" s="14" t="str">
        <f>_xlfn.CONCAT(B657&amp;" "&amp;W657&amp;X657&amp;Y657&amp;Z657)</f>
        <v>Quality Connections (Ess Cube Components) 1162</v>
      </c>
      <c r="D657" s="17">
        <v>754</v>
      </c>
      <c r="E657" s="8" t="s">
        <v>42</v>
      </c>
      <c r="F657" s="8"/>
      <c r="G657" s="23">
        <v>43318</v>
      </c>
      <c r="H657" s="23"/>
      <c r="I657" s="23"/>
      <c r="J657" s="26">
        <v>44418</v>
      </c>
      <c r="K657" s="26">
        <v>44782</v>
      </c>
      <c r="L657" s="32">
        <v>3</v>
      </c>
      <c r="M657" s="13" t="s">
        <v>2588</v>
      </c>
      <c r="N657" s="13"/>
      <c r="O657" s="19">
        <v>9958361997</v>
      </c>
      <c r="P657" s="13" t="s">
        <v>2589</v>
      </c>
      <c r="Q657" s="13" t="s">
        <v>4771</v>
      </c>
      <c r="R657" s="13" t="s">
        <v>2590</v>
      </c>
      <c r="S657" s="13" t="s">
        <v>681</v>
      </c>
      <c r="T657" s="13">
        <v>110039</v>
      </c>
      <c r="U657" s="13" t="s">
        <v>81</v>
      </c>
      <c r="V657" s="13" t="s">
        <v>23</v>
      </c>
      <c r="W657" s="193">
        <v>1</v>
      </c>
      <c r="X657" s="13">
        <v>1</v>
      </c>
      <c r="Y657" s="13">
        <v>6</v>
      </c>
      <c r="Z657" s="13">
        <v>2</v>
      </c>
      <c r="AA657" s="193" t="s">
        <v>4118</v>
      </c>
      <c r="AB657" s="2"/>
    </row>
    <row r="658" spans="1:28" ht="15" customHeight="1">
      <c r="A658" s="16">
        <v>657</v>
      </c>
      <c r="B658" s="8" t="s">
        <v>2591</v>
      </c>
      <c r="C658" s="14" t="str">
        <f>_xlfn.CONCAT(B658&amp;" "&amp;W658&amp;X658&amp;Y658&amp;Z658)</f>
        <v>Flamagas India Pvt Ltd 4021</v>
      </c>
      <c r="D658" s="17">
        <v>750</v>
      </c>
      <c r="E658" s="8" t="s">
        <v>42</v>
      </c>
      <c r="F658" s="8"/>
      <c r="G658" s="23">
        <v>43321</v>
      </c>
      <c r="H658" s="23"/>
      <c r="I658" s="23"/>
      <c r="J658" s="26">
        <v>45947</v>
      </c>
      <c r="K658" s="26">
        <v>46311</v>
      </c>
      <c r="L658" s="32">
        <v>3</v>
      </c>
      <c r="M658" s="13" t="s">
        <v>2592</v>
      </c>
      <c r="N658" s="13"/>
      <c r="O658" s="19" t="s">
        <v>2593</v>
      </c>
      <c r="P658" s="13" t="s">
        <v>922</v>
      </c>
      <c r="Q658" s="13" t="s">
        <v>4772</v>
      </c>
      <c r="R658" s="13"/>
      <c r="S658" s="13" t="s">
        <v>37</v>
      </c>
      <c r="T658" s="13">
        <v>600127</v>
      </c>
      <c r="U658" s="13" t="s">
        <v>38</v>
      </c>
      <c r="V658" s="13" t="s">
        <v>23</v>
      </c>
      <c r="W658" s="193">
        <v>4</v>
      </c>
      <c r="X658" s="13">
        <v>0</v>
      </c>
      <c r="Y658" s="13">
        <v>2</v>
      </c>
      <c r="Z658" s="13">
        <v>1</v>
      </c>
      <c r="AA658" s="193" t="s">
        <v>4148</v>
      </c>
      <c r="AB658" s="2"/>
    </row>
    <row r="659" spans="1:28" ht="15" customHeight="1">
      <c r="A659" s="16">
        <v>658</v>
      </c>
      <c r="B659" s="8" t="s">
        <v>2594</v>
      </c>
      <c r="C659" s="14" t="str">
        <f>_xlfn.CONCAT(B659&amp;" "&amp;W659&amp;X659&amp;Y659&amp;Z659)</f>
        <v>Dilsen Autoplast 4022</v>
      </c>
      <c r="D659" s="17">
        <v>705</v>
      </c>
      <c r="E659" s="8" t="s">
        <v>90</v>
      </c>
      <c r="F659" s="8"/>
      <c r="G659" s="23">
        <v>43321</v>
      </c>
      <c r="H659" s="23"/>
      <c r="I659" s="23"/>
      <c r="J659" s="26">
        <v>43321</v>
      </c>
      <c r="K659" s="26">
        <v>43685</v>
      </c>
      <c r="L659" s="32">
        <v>3</v>
      </c>
      <c r="M659" s="13" t="s">
        <v>2595</v>
      </c>
      <c r="N659" s="13"/>
      <c r="O659" s="19">
        <v>9790950504</v>
      </c>
      <c r="P659" s="13" t="s">
        <v>2241</v>
      </c>
      <c r="Q659" s="13" t="s">
        <v>4773</v>
      </c>
      <c r="R659" s="13" t="s">
        <v>2596</v>
      </c>
      <c r="S659" s="13" t="s">
        <v>37</v>
      </c>
      <c r="T659" s="13">
        <v>600044</v>
      </c>
      <c r="U659" s="13" t="s">
        <v>38</v>
      </c>
      <c r="V659" s="13" t="s">
        <v>23</v>
      </c>
      <c r="W659" s="193">
        <v>4</v>
      </c>
      <c r="X659" s="13">
        <v>0</v>
      </c>
      <c r="Y659" s="13">
        <v>2</v>
      </c>
      <c r="Z659" s="13">
        <v>2</v>
      </c>
      <c r="AA659" s="193" t="s">
        <v>4148</v>
      </c>
      <c r="AB659" s="2"/>
    </row>
    <row r="660" spans="1:28" ht="15" customHeight="1">
      <c r="A660" s="16">
        <v>659</v>
      </c>
      <c r="B660" s="8" t="s">
        <v>2597</v>
      </c>
      <c r="C660" s="14" t="str">
        <f>_xlfn.CONCAT(B660&amp;" "&amp;W660&amp;X660&amp;Y660&amp;Z660)</f>
        <v>Napino Continental Vehicle Electronics Pvt Ltd 1111</v>
      </c>
      <c r="D660" s="17">
        <v>706</v>
      </c>
      <c r="E660" s="8" t="s">
        <v>90</v>
      </c>
      <c r="F660" s="8"/>
      <c r="G660" s="23">
        <v>43323</v>
      </c>
      <c r="H660" s="23"/>
      <c r="I660" s="23"/>
      <c r="J660" s="26">
        <v>44470</v>
      </c>
      <c r="K660" s="26">
        <v>44834</v>
      </c>
      <c r="L660" s="32">
        <v>3</v>
      </c>
      <c r="M660" s="13" t="s">
        <v>2598</v>
      </c>
      <c r="N660" s="13"/>
      <c r="O660" s="19">
        <v>9205891200</v>
      </c>
      <c r="P660" s="13" t="s">
        <v>2313</v>
      </c>
      <c r="Q660" s="13" t="s">
        <v>4774</v>
      </c>
      <c r="R660" s="13"/>
      <c r="S660" s="13" t="s">
        <v>2599</v>
      </c>
      <c r="T660" s="13">
        <v>122050</v>
      </c>
      <c r="U660" s="13" t="s">
        <v>429</v>
      </c>
      <c r="V660" s="13" t="s">
        <v>23</v>
      </c>
      <c r="W660" s="193">
        <v>1</v>
      </c>
      <c r="X660" s="13">
        <v>1</v>
      </c>
      <c r="Y660" s="13">
        <v>1</v>
      </c>
      <c r="Z660" s="13">
        <v>1</v>
      </c>
      <c r="AA660" s="193" t="s">
        <v>4118</v>
      </c>
      <c r="AB660" s="2"/>
    </row>
    <row r="661" spans="1:28" ht="15" customHeight="1">
      <c r="A661" s="16">
        <v>660</v>
      </c>
      <c r="B661" s="8" t="s">
        <v>2600</v>
      </c>
      <c r="C661" s="14" t="str">
        <f>_xlfn.CONCAT(B661&amp;" "&amp;W661&amp;X661&amp;Y661&amp;Z661)</f>
        <v>Empire Machine Tools Pvt Ltd 4112</v>
      </c>
      <c r="D661" s="17">
        <v>707</v>
      </c>
      <c r="E661" s="8" t="s">
        <v>90</v>
      </c>
      <c r="F661" s="8"/>
      <c r="G661" s="23">
        <v>43324</v>
      </c>
      <c r="H661" s="23"/>
      <c r="I661" s="23"/>
      <c r="J661" s="26">
        <v>44203</v>
      </c>
      <c r="K661" s="26">
        <v>44567</v>
      </c>
      <c r="L661" s="32">
        <v>3</v>
      </c>
      <c r="M661" s="13" t="s">
        <v>2601</v>
      </c>
      <c r="N661" s="13"/>
      <c r="O661" s="19" t="s">
        <v>2602</v>
      </c>
      <c r="P661" s="13" t="s">
        <v>2603</v>
      </c>
      <c r="Q661" s="13" t="s">
        <v>4775</v>
      </c>
      <c r="R661" s="13" t="s">
        <v>730</v>
      </c>
      <c r="S661" s="13" t="s">
        <v>101</v>
      </c>
      <c r="T661" s="13">
        <v>641006</v>
      </c>
      <c r="U661" s="13" t="s">
        <v>38</v>
      </c>
      <c r="V661" s="13" t="s">
        <v>23</v>
      </c>
      <c r="W661" s="193">
        <v>4</v>
      </c>
      <c r="X661" s="13">
        <v>1</v>
      </c>
      <c r="Y661" s="13">
        <v>1</v>
      </c>
      <c r="Z661" s="13">
        <v>2</v>
      </c>
      <c r="AA661" s="193" t="s">
        <v>4148</v>
      </c>
      <c r="AB661" s="2"/>
    </row>
    <row r="662" spans="1:28" ht="15" customHeight="1">
      <c r="A662" s="16">
        <v>661</v>
      </c>
      <c r="B662" s="8" t="s">
        <v>2604</v>
      </c>
      <c r="C662" s="14" t="str">
        <f>_xlfn.CONCAT(B662&amp;" "&amp;W662&amp;X662&amp;Y662&amp;Z662)</f>
        <v>L.G.Balakrishnan &amp; Bros Ltd (Candid Micron Measurements Pvt Ltd) 4161</v>
      </c>
      <c r="D662" s="17">
        <v>780</v>
      </c>
      <c r="E662" s="8" t="s">
        <v>2082</v>
      </c>
      <c r="F662" s="8"/>
      <c r="G662" s="23">
        <v>43324</v>
      </c>
      <c r="H662" s="23"/>
      <c r="I662" s="23"/>
      <c r="J662" s="24">
        <v>45383</v>
      </c>
      <c r="K662" s="24">
        <v>45747</v>
      </c>
      <c r="L662" s="32">
        <v>3</v>
      </c>
      <c r="M662" s="13" t="s">
        <v>2605</v>
      </c>
      <c r="N662" s="13" t="s">
        <v>2606</v>
      </c>
      <c r="O662" s="19" t="s">
        <v>2607</v>
      </c>
      <c r="P662" s="13" t="s">
        <v>2223</v>
      </c>
      <c r="Q662" s="13" t="s">
        <v>4660</v>
      </c>
      <c r="R662" s="13"/>
      <c r="S662" s="13" t="s">
        <v>101</v>
      </c>
      <c r="T662" s="13">
        <v>641006</v>
      </c>
      <c r="U662" s="13" t="s">
        <v>38</v>
      </c>
      <c r="V662" s="13" t="s">
        <v>23</v>
      </c>
      <c r="W662" s="193">
        <v>4</v>
      </c>
      <c r="X662" s="13">
        <v>1</v>
      </c>
      <c r="Y662" s="13">
        <v>6</v>
      </c>
      <c r="Z662" s="13">
        <v>1</v>
      </c>
      <c r="AA662" s="193" t="s">
        <v>4148</v>
      </c>
      <c r="AB662" s="2"/>
    </row>
    <row r="663" spans="1:28" ht="15" customHeight="1">
      <c r="A663" s="16">
        <v>662</v>
      </c>
      <c r="B663" s="8" t="s">
        <v>2608</v>
      </c>
      <c r="C663" s="14" t="str">
        <f>_xlfn.CONCAT(B663&amp;" "&amp;W663&amp;X663&amp;Y663&amp;Z663)</f>
        <v>Rank Metrology Services 4161</v>
      </c>
      <c r="D663" s="17">
        <v>708</v>
      </c>
      <c r="E663" s="8" t="s">
        <v>90</v>
      </c>
      <c r="F663" s="8"/>
      <c r="G663" s="23">
        <v>43327</v>
      </c>
      <c r="H663" s="23"/>
      <c r="I663" s="23"/>
      <c r="J663" s="26">
        <v>43327</v>
      </c>
      <c r="K663" s="26">
        <v>43691</v>
      </c>
      <c r="L663" s="32">
        <v>3</v>
      </c>
      <c r="M663" s="13" t="s">
        <v>2609</v>
      </c>
      <c r="N663" s="13" t="s">
        <v>2610</v>
      </c>
      <c r="O663" s="19" t="s">
        <v>2611</v>
      </c>
      <c r="P663" s="13" t="s">
        <v>2612</v>
      </c>
      <c r="Q663" s="13" t="s">
        <v>4776</v>
      </c>
      <c r="R663" s="13" t="s">
        <v>448</v>
      </c>
      <c r="S663" s="13" t="s">
        <v>101</v>
      </c>
      <c r="T663" s="13">
        <v>641006</v>
      </c>
      <c r="U663" s="13" t="s">
        <v>38</v>
      </c>
      <c r="V663" s="13" t="s">
        <v>23</v>
      </c>
      <c r="W663" s="193">
        <v>4</v>
      </c>
      <c r="X663" s="13">
        <v>1</v>
      </c>
      <c r="Y663" s="13">
        <v>6</v>
      </c>
      <c r="Z663" s="13">
        <v>1</v>
      </c>
      <c r="AA663" s="193" t="s">
        <v>4148</v>
      </c>
      <c r="AB663" s="2"/>
    </row>
    <row r="664" spans="1:28" ht="15" customHeight="1">
      <c r="A664" s="16">
        <v>663</v>
      </c>
      <c r="B664" s="8" t="s">
        <v>2613</v>
      </c>
      <c r="C664" s="14" t="str">
        <f>_xlfn.CONCAT(B664&amp;" "&amp;W664&amp;X664&amp;Y664&amp;Z664)</f>
        <v>AVMM Technology Pvt Ltd (AVM Engg Service) 4022</v>
      </c>
      <c r="D664" s="17">
        <v>749</v>
      </c>
      <c r="E664" s="8" t="s">
        <v>42</v>
      </c>
      <c r="F664" s="8"/>
      <c r="G664" s="23">
        <v>43329</v>
      </c>
      <c r="H664" s="23"/>
      <c r="I664" s="23"/>
      <c r="J664" s="26">
        <v>44252</v>
      </c>
      <c r="K664" s="26">
        <v>44616</v>
      </c>
      <c r="L664" s="32">
        <v>3</v>
      </c>
      <c r="M664" s="13" t="s">
        <v>2614</v>
      </c>
      <c r="N664" s="13"/>
      <c r="O664" s="19">
        <v>9840276885</v>
      </c>
      <c r="P664" s="13" t="s">
        <v>2615</v>
      </c>
      <c r="Q664" s="13" t="s">
        <v>4777</v>
      </c>
      <c r="R664" s="13" t="s">
        <v>944</v>
      </c>
      <c r="S664" s="13" t="s">
        <v>37</v>
      </c>
      <c r="T664" s="13">
        <v>600044</v>
      </c>
      <c r="U664" s="13" t="s">
        <v>38</v>
      </c>
      <c r="V664" s="13" t="s">
        <v>23</v>
      </c>
      <c r="W664" s="193">
        <v>4</v>
      </c>
      <c r="X664" s="13">
        <v>0</v>
      </c>
      <c r="Y664" s="13">
        <v>2</v>
      </c>
      <c r="Z664" s="13">
        <v>2</v>
      </c>
      <c r="AA664" s="193" t="s">
        <v>4148</v>
      </c>
      <c r="AB664" s="2"/>
    </row>
    <row r="665" spans="1:28" ht="15" customHeight="1">
      <c r="A665" s="16">
        <v>664</v>
      </c>
      <c r="B665" s="8" t="s">
        <v>2616</v>
      </c>
      <c r="C665" s="14" t="str">
        <f>_xlfn.CONCAT(B665&amp;" "&amp;W665&amp;X665&amp;Y665&amp;Z665)</f>
        <v>Kcaltech System India LLP (Candid ) 4031</v>
      </c>
      <c r="D665" s="17">
        <v>753</v>
      </c>
      <c r="E665" s="8" t="s">
        <v>42</v>
      </c>
      <c r="F665" s="8"/>
      <c r="G665" s="23">
        <v>43333</v>
      </c>
      <c r="H665" s="23"/>
      <c r="I665" s="23"/>
      <c r="J665" s="26">
        <v>43333</v>
      </c>
      <c r="K665" s="26">
        <v>43697</v>
      </c>
      <c r="L665" s="32">
        <v>3</v>
      </c>
      <c r="M665" s="13" t="s">
        <v>2617</v>
      </c>
      <c r="N665" s="13"/>
      <c r="O665" s="19">
        <v>9176628042</v>
      </c>
      <c r="P665" s="13" t="s">
        <v>2618</v>
      </c>
      <c r="Q665" s="13" t="s">
        <v>4778</v>
      </c>
      <c r="R665" s="13" t="s">
        <v>2619</v>
      </c>
      <c r="S665" s="13" t="s">
        <v>354</v>
      </c>
      <c r="T665" s="13">
        <v>603209</v>
      </c>
      <c r="U665" s="13" t="s">
        <v>38</v>
      </c>
      <c r="V665" s="13" t="s">
        <v>23</v>
      </c>
      <c r="W665" s="193">
        <v>4</v>
      </c>
      <c r="X665" s="13">
        <v>0</v>
      </c>
      <c r="Y665" s="13">
        <v>3</v>
      </c>
      <c r="Z665" s="13">
        <v>1</v>
      </c>
      <c r="AA665" s="193" t="s">
        <v>4148</v>
      </c>
      <c r="AB665" s="2"/>
    </row>
    <row r="666" spans="1:28" ht="15" customHeight="1">
      <c r="A666" s="16">
        <v>665</v>
      </c>
      <c r="B666" s="8" t="s">
        <v>2620</v>
      </c>
      <c r="C666" s="14" t="str">
        <f>_xlfn.CONCAT(B666&amp;" "&amp;W666&amp;X666&amp;Y666&amp;Z666)</f>
        <v>Kun Aerospace Pvt Ltd 4041</v>
      </c>
      <c r="D666" s="17">
        <v>686</v>
      </c>
      <c r="E666" s="8" t="s">
        <v>2082</v>
      </c>
      <c r="F666" s="8"/>
      <c r="G666" s="23">
        <v>43333</v>
      </c>
      <c r="H666" s="23"/>
      <c r="I666" s="23"/>
      <c r="J666" s="26">
        <v>44376</v>
      </c>
      <c r="K666" s="26">
        <v>44740</v>
      </c>
      <c r="L666" s="32">
        <v>3</v>
      </c>
      <c r="M666" s="13"/>
      <c r="N666" s="13"/>
      <c r="O666" s="19"/>
      <c r="P666" s="13" t="s">
        <v>62</v>
      </c>
      <c r="Q666" s="13" t="s">
        <v>4779</v>
      </c>
      <c r="R666" s="13"/>
      <c r="S666" s="13" t="s">
        <v>37</v>
      </c>
      <c r="T666" s="13">
        <v>600058</v>
      </c>
      <c r="U666" s="13" t="s">
        <v>38</v>
      </c>
      <c r="V666" s="13" t="s">
        <v>23</v>
      </c>
      <c r="W666" s="193">
        <v>4</v>
      </c>
      <c r="X666" s="13">
        <v>0</v>
      </c>
      <c r="Y666" s="13">
        <v>4</v>
      </c>
      <c r="Z666" s="13">
        <v>1</v>
      </c>
      <c r="AA666" s="193" t="s">
        <v>4148</v>
      </c>
      <c r="AB666" s="2"/>
    </row>
    <row r="667" spans="1:28" ht="15" customHeight="1">
      <c r="A667" s="16">
        <v>666</v>
      </c>
      <c r="B667" s="8" t="s">
        <v>2621</v>
      </c>
      <c r="C667" s="14" t="str">
        <f>_xlfn.CONCAT(B667&amp;" "&amp;W667&amp;X667&amp;Y667&amp;Z667)</f>
        <v>Precision Industrial Fasteners 1335</v>
      </c>
      <c r="D667" s="17">
        <v>752</v>
      </c>
      <c r="E667" s="8" t="s">
        <v>42</v>
      </c>
      <c r="F667" s="8"/>
      <c r="G667" s="23">
        <v>43333</v>
      </c>
      <c r="H667" s="23"/>
      <c r="I667" s="23"/>
      <c r="J667" s="26">
        <v>45784</v>
      </c>
      <c r="K667" s="26">
        <v>46148</v>
      </c>
      <c r="L667" s="32">
        <v>3</v>
      </c>
      <c r="M667" s="13" t="s">
        <v>2622</v>
      </c>
      <c r="N667" s="13"/>
      <c r="O667" s="19">
        <v>9911776630</v>
      </c>
      <c r="P667" s="13" t="s">
        <v>2623</v>
      </c>
      <c r="Q667" s="13" t="s">
        <v>4780</v>
      </c>
      <c r="R667" s="13" t="s">
        <v>2624</v>
      </c>
      <c r="S667" s="13" t="s">
        <v>1994</v>
      </c>
      <c r="T667" s="13">
        <v>141120</v>
      </c>
      <c r="U667" s="13" t="s">
        <v>1787</v>
      </c>
      <c r="V667" s="13" t="s">
        <v>23</v>
      </c>
      <c r="W667" s="193">
        <v>1</v>
      </c>
      <c r="X667" s="13">
        <v>3</v>
      </c>
      <c r="Y667" s="13">
        <v>3</v>
      </c>
      <c r="Z667" s="13">
        <v>5</v>
      </c>
      <c r="AA667" s="193" t="s">
        <v>4118</v>
      </c>
      <c r="AB667" s="2"/>
    </row>
    <row r="668" spans="1:28" ht="15" customHeight="1">
      <c r="A668" s="16">
        <v>667</v>
      </c>
      <c r="B668" s="8" t="s">
        <v>2625</v>
      </c>
      <c r="C668" s="14" t="str">
        <f>_xlfn.CONCAT(B668&amp;" "&amp;W668&amp;X668&amp;Y668&amp;Z668)</f>
        <v>Kriya Medical Technologies Pvt Ltd 4041</v>
      </c>
      <c r="D668" s="17">
        <v>748</v>
      </c>
      <c r="E668" s="8" t="s">
        <v>42</v>
      </c>
      <c r="F668" s="8"/>
      <c r="G668" s="23">
        <v>43339</v>
      </c>
      <c r="H668" s="23"/>
      <c r="I668" s="23"/>
      <c r="J668" s="26">
        <v>43339</v>
      </c>
      <c r="K668" s="26">
        <v>43703</v>
      </c>
      <c r="L668" s="32">
        <v>3</v>
      </c>
      <c r="M668" s="13"/>
      <c r="N668" s="13"/>
      <c r="O668" s="19"/>
      <c r="P668" s="13" t="s">
        <v>2626</v>
      </c>
      <c r="Q668" s="13" t="s">
        <v>4781</v>
      </c>
      <c r="R668" s="13"/>
      <c r="S668" s="13" t="s">
        <v>37</v>
      </c>
      <c r="T668" s="13">
        <v>600040</v>
      </c>
      <c r="U668" s="13" t="s">
        <v>38</v>
      </c>
      <c r="V668" s="13" t="s">
        <v>23</v>
      </c>
      <c r="W668" s="193">
        <v>4</v>
      </c>
      <c r="X668" s="13">
        <v>0</v>
      </c>
      <c r="Y668" s="13">
        <v>4</v>
      </c>
      <c r="Z668" s="13">
        <v>1</v>
      </c>
      <c r="AA668" s="193" t="s">
        <v>4148</v>
      </c>
      <c r="AB668" s="2"/>
    </row>
    <row r="669" spans="1:28" ht="15" customHeight="1">
      <c r="A669" s="16">
        <v>668</v>
      </c>
      <c r="B669" s="8" t="s">
        <v>2627</v>
      </c>
      <c r="C669" s="14" t="str">
        <f>_xlfn.CONCAT(B669&amp;" "&amp;W669&amp;X669&amp;Y669&amp;Z669)</f>
        <v>Vikas Industries 1162</v>
      </c>
      <c r="D669" s="17">
        <v>709</v>
      </c>
      <c r="E669" s="8" t="s">
        <v>90</v>
      </c>
      <c r="F669" s="8"/>
      <c r="G669" s="23">
        <v>43340</v>
      </c>
      <c r="H669" s="23"/>
      <c r="I669" s="23"/>
      <c r="J669" s="26">
        <v>44411</v>
      </c>
      <c r="K669" s="26">
        <v>44775</v>
      </c>
      <c r="L669" s="32">
        <v>3</v>
      </c>
      <c r="M669" s="13"/>
      <c r="N669" s="13"/>
      <c r="O669" s="19"/>
      <c r="P669" s="13" t="s">
        <v>2628</v>
      </c>
      <c r="Q669" s="13" t="s">
        <v>4782</v>
      </c>
      <c r="R669" s="13"/>
      <c r="S669" s="13" t="s">
        <v>80</v>
      </c>
      <c r="T669" s="13">
        <v>110034</v>
      </c>
      <c r="U669" s="13" t="s">
        <v>81</v>
      </c>
      <c r="V669" s="13" t="s">
        <v>23</v>
      </c>
      <c r="W669" s="193">
        <v>1</v>
      </c>
      <c r="X669" s="13">
        <v>1</v>
      </c>
      <c r="Y669" s="13">
        <v>6</v>
      </c>
      <c r="Z669" s="13">
        <v>2</v>
      </c>
      <c r="AA669" s="193" t="s">
        <v>4118</v>
      </c>
      <c r="AB669" s="2"/>
    </row>
    <row r="670" spans="1:28" ht="15" customHeight="1">
      <c r="A670" s="16">
        <v>669</v>
      </c>
      <c r="B670" s="8" t="s">
        <v>2629</v>
      </c>
      <c r="C670" s="14" t="str">
        <f>_xlfn.CONCAT(B670&amp;" "&amp;W670&amp;X670&amp;Y670&amp;Z670)</f>
        <v>Sujay Industries 8021</v>
      </c>
      <c r="D670" s="17">
        <v>755</v>
      </c>
      <c r="E670" s="8" t="s">
        <v>42</v>
      </c>
      <c r="F670" s="8"/>
      <c r="G670" s="23">
        <v>43365</v>
      </c>
      <c r="H670" s="23"/>
      <c r="I670" s="23"/>
      <c r="J670" s="26">
        <v>44182</v>
      </c>
      <c r="K670" s="26">
        <v>44546</v>
      </c>
      <c r="L670" s="32">
        <v>3</v>
      </c>
      <c r="M670" s="13" t="s">
        <v>2630</v>
      </c>
      <c r="N670" s="13" t="s">
        <v>28</v>
      </c>
      <c r="O670" s="19">
        <v>9845142590</v>
      </c>
      <c r="P670" s="13" t="s">
        <v>2631</v>
      </c>
      <c r="Q670" s="13" t="s">
        <v>4783</v>
      </c>
      <c r="R670" s="13"/>
      <c r="S670" s="13" t="s">
        <v>21</v>
      </c>
      <c r="T670" s="13">
        <v>560105</v>
      </c>
      <c r="U670" s="13" t="s">
        <v>22</v>
      </c>
      <c r="V670" s="13" t="s">
        <v>23</v>
      </c>
      <c r="W670" s="193">
        <v>8</v>
      </c>
      <c r="X670" s="13">
        <v>0</v>
      </c>
      <c r="Y670" s="13">
        <v>2</v>
      </c>
      <c r="Z670" s="13">
        <v>1</v>
      </c>
      <c r="AA670" s="193" t="s">
        <v>4118</v>
      </c>
      <c r="AB670" s="2"/>
    </row>
    <row r="671" spans="1:28" ht="15" customHeight="1">
      <c r="A671" s="16">
        <v>670</v>
      </c>
      <c r="B671" s="8" t="s">
        <v>2632</v>
      </c>
      <c r="C671" s="14" t="str">
        <f>_xlfn.CONCAT(B671&amp;" "&amp;W671&amp;X671&amp;Y671&amp;Z671)</f>
        <v>Bhavani Industries 8032</v>
      </c>
      <c r="D671" s="17">
        <v>757</v>
      </c>
      <c r="E671" s="8" t="s">
        <v>42</v>
      </c>
      <c r="F671" s="8"/>
      <c r="G671" s="23">
        <v>43367</v>
      </c>
      <c r="H671" s="23"/>
      <c r="I671" s="23"/>
      <c r="J671" s="26">
        <v>45940</v>
      </c>
      <c r="K671" s="26">
        <v>46304</v>
      </c>
      <c r="L671" s="32">
        <v>3</v>
      </c>
      <c r="M671" s="13" t="s">
        <v>2633</v>
      </c>
      <c r="N671" s="13" t="s">
        <v>28</v>
      </c>
      <c r="O671" s="19">
        <v>9611117727</v>
      </c>
      <c r="P671" s="13" t="s">
        <v>2634</v>
      </c>
      <c r="Q671" s="13" t="s">
        <v>4784</v>
      </c>
      <c r="R671" s="13" t="s">
        <v>560</v>
      </c>
      <c r="S671" s="13" t="s">
        <v>2635</v>
      </c>
      <c r="T671" s="13">
        <v>562109</v>
      </c>
      <c r="U671" s="13" t="s">
        <v>22</v>
      </c>
      <c r="V671" s="13" t="s">
        <v>23</v>
      </c>
      <c r="W671" s="193">
        <v>8</v>
      </c>
      <c r="X671" s="13">
        <v>0</v>
      </c>
      <c r="Y671" s="13">
        <v>3</v>
      </c>
      <c r="Z671" s="13">
        <v>2</v>
      </c>
      <c r="AA671" s="193" t="s">
        <v>4118</v>
      </c>
      <c r="AB671" s="2"/>
    </row>
    <row r="672" spans="1:28" ht="15" customHeight="1">
      <c r="A672" s="16">
        <v>671</v>
      </c>
      <c r="B672" s="8" t="s">
        <v>2636</v>
      </c>
      <c r="C672" s="14" t="str">
        <f>_xlfn.CONCAT(B672&amp;" "&amp;W672&amp;X672&amp;Y672&amp;Z672)</f>
        <v>Vulcan Cold Forge Pvt Ltd 1111</v>
      </c>
      <c r="D672" s="17">
        <v>756</v>
      </c>
      <c r="E672" s="8" t="s">
        <v>42</v>
      </c>
      <c r="F672" s="8"/>
      <c r="G672" s="23">
        <v>43372</v>
      </c>
      <c r="H672" s="23"/>
      <c r="I672" s="23"/>
      <c r="J672" s="26">
        <v>43372</v>
      </c>
      <c r="K672" s="26">
        <v>44102</v>
      </c>
      <c r="L672" s="32">
        <v>3</v>
      </c>
      <c r="M672" s="13" t="s">
        <v>2637</v>
      </c>
      <c r="N672" s="13" t="s">
        <v>2638</v>
      </c>
      <c r="O672" s="19">
        <v>9910005886</v>
      </c>
      <c r="P672" s="13" t="s">
        <v>2313</v>
      </c>
      <c r="Q672" s="13" t="s">
        <v>4785</v>
      </c>
      <c r="R672" s="13"/>
      <c r="S672" s="13" t="s">
        <v>428</v>
      </c>
      <c r="T672" s="13">
        <v>122051</v>
      </c>
      <c r="U672" s="13" t="s">
        <v>429</v>
      </c>
      <c r="V672" s="13" t="s">
        <v>23</v>
      </c>
      <c r="W672" s="193">
        <v>1</v>
      </c>
      <c r="X672" s="13">
        <v>1</v>
      </c>
      <c r="Y672" s="13">
        <v>1</v>
      </c>
      <c r="Z672" s="13">
        <v>1</v>
      </c>
      <c r="AA672" s="193" t="s">
        <v>4118</v>
      </c>
      <c r="AB672" s="2"/>
    </row>
    <row r="673" spans="1:28" ht="15" customHeight="1">
      <c r="A673" s="16">
        <v>672</v>
      </c>
      <c r="B673" s="8" t="s">
        <v>2639</v>
      </c>
      <c r="C673" s="14" t="str">
        <f>_xlfn.CONCAT(B673&amp;" "&amp;W673&amp;X673&amp;Y673&amp;Z673)</f>
        <v>Edge Gro Industries 1141</v>
      </c>
      <c r="D673" s="17">
        <v>747</v>
      </c>
      <c r="E673" s="8" t="s">
        <v>42</v>
      </c>
      <c r="F673" s="8"/>
      <c r="G673" s="23">
        <v>43377</v>
      </c>
      <c r="H673" s="23"/>
      <c r="I673" s="23"/>
      <c r="J673" s="26"/>
      <c r="K673" s="26"/>
      <c r="L673" s="32">
        <v>3</v>
      </c>
      <c r="M673" s="13"/>
      <c r="N673" s="13"/>
      <c r="O673" s="19" t="s">
        <v>2640</v>
      </c>
      <c r="P673" s="13" t="s">
        <v>2641</v>
      </c>
      <c r="Q673" s="13" t="s">
        <v>4786</v>
      </c>
      <c r="R673" s="13"/>
      <c r="S673" s="13" t="s">
        <v>2642</v>
      </c>
      <c r="T673" s="13">
        <v>201102</v>
      </c>
      <c r="U673" s="13" t="s">
        <v>184</v>
      </c>
      <c r="V673" s="13" t="s">
        <v>23</v>
      </c>
      <c r="W673" s="193">
        <v>1</v>
      </c>
      <c r="X673" s="13">
        <v>1</v>
      </c>
      <c r="Y673" s="13">
        <v>4</v>
      </c>
      <c r="Z673" s="13">
        <v>1</v>
      </c>
      <c r="AA673" s="193" t="s">
        <v>4118</v>
      </c>
      <c r="AB673" s="2"/>
    </row>
    <row r="674" spans="1:28" ht="15" customHeight="1">
      <c r="A674" s="16">
        <v>673</v>
      </c>
      <c r="B674" s="8" t="s">
        <v>2643</v>
      </c>
      <c r="C674" s="14" t="str">
        <f>_xlfn.CONCAT(B674&amp;" "&amp;W674&amp;X674&amp;Y674&amp;Z674)</f>
        <v>Rajshree Engineers 1161</v>
      </c>
      <c r="D674" s="17">
        <v>760</v>
      </c>
      <c r="E674" s="8" t="s">
        <v>42</v>
      </c>
      <c r="F674" s="8"/>
      <c r="G674" s="23">
        <v>43386</v>
      </c>
      <c r="H674" s="23"/>
      <c r="I674" s="23"/>
      <c r="J674" s="26">
        <v>43386</v>
      </c>
      <c r="K674" s="26">
        <v>44116</v>
      </c>
      <c r="L674" s="32">
        <v>3</v>
      </c>
      <c r="M674" s="13"/>
      <c r="N674" s="13"/>
      <c r="O674" s="19">
        <v>9312269057</v>
      </c>
      <c r="P674" s="13" t="s">
        <v>2644</v>
      </c>
      <c r="Q674" s="13" t="s">
        <v>4787</v>
      </c>
      <c r="R674" s="13" t="s">
        <v>2645</v>
      </c>
      <c r="S674" s="13" t="s">
        <v>454</v>
      </c>
      <c r="T674" s="13">
        <v>121002</v>
      </c>
      <c r="U674" s="13" t="s">
        <v>429</v>
      </c>
      <c r="V674" s="13" t="s">
        <v>23</v>
      </c>
      <c r="W674" s="193">
        <v>1</v>
      </c>
      <c r="X674" s="13">
        <v>1</v>
      </c>
      <c r="Y674" s="13">
        <v>6</v>
      </c>
      <c r="Z674" s="13">
        <v>1</v>
      </c>
      <c r="AA674" s="193" t="s">
        <v>4118</v>
      </c>
      <c r="AB674" s="2"/>
    </row>
    <row r="675" spans="1:28" ht="15" customHeight="1">
      <c r="A675" s="16">
        <v>674</v>
      </c>
      <c r="B675" s="8" t="s">
        <v>2540</v>
      </c>
      <c r="C675" s="14" t="str">
        <f>_xlfn.CONCAT(B675&amp;" "&amp;W675&amp;X675&amp;Y675&amp;Z675)</f>
        <v>Tool Grinding Technologies Inc. 8051</v>
      </c>
      <c r="D675" s="17" t="s">
        <v>2646</v>
      </c>
      <c r="E675" s="8"/>
      <c r="F675" s="8"/>
      <c r="G675" s="23">
        <v>43388</v>
      </c>
      <c r="H675" s="23"/>
      <c r="I675" s="23"/>
      <c r="J675" s="26">
        <v>43388</v>
      </c>
      <c r="K675" s="26">
        <v>43752</v>
      </c>
      <c r="L675" s="32">
        <v>3</v>
      </c>
      <c r="M675" s="13" t="s">
        <v>2542</v>
      </c>
      <c r="N675" s="13" t="s">
        <v>28</v>
      </c>
      <c r="O675" s="19">
        <v>9886126239</v>
      </c>
      <c r="P675" s="13" t="s">
        <v>1512</v>
      </c>
      <c r="Q675" s="13" t="s">
        <v>4753</v>
      </c>
      <c r="R675" s="13"/>
      <c r="S675" s="13" t="s">
        <v>21</v>
      </c>
      <c r="T675" s="13">
        <v>560058</v>
      </c>
      <c r="U675" s="13" t="s">
        <v>22</v>
      </c>
      <c r="V675" s="13" t="s">
        <v>23</v>
      </c>
      <c r="W675" s="193">
        <v>8</v>
      </c>
      <c r="X675" s="13">
        <v>0</v>
      </c>
      <c r="Y675" s="13">
        <v>5</v>
      </c>
      <c r="Z675" s="13">
        <v>1</v>
      </c>
      <c r="AA675" s="193" t="s">
        <v>4118</v>
      </c>
      <c r="AB675" s="2"/>
    </row>
    <row r="676" spans="1:28" ht="15" customHeight="1">
      <c r="A676" s="16">
        <v>675</v>
      </c>
      <c r="B676" s="8" t="s">
        <v>2647</v>
      </c>
      <c r="C676" s="14" t="str">
        <f>_xlfn.CONCAT(B676&amp;" "&amp;W676&amp;X676&amp;Y676&amp;Z676)</f>
        <v>Wirecom (India) Pvt Ltd 2113</v>
      </c>
      <c r="D676" s="17">
        <v>758</v>
      </c>
      <c r="E676" s="8" t="s">
        <v>42</v>
      </c>
      <c r="F676" s="8"/>
      <c r="G676" s="23">
        <v>43389</v>
      </c>
      <c r="H676" s="23"/>
      <c r="I676" s="23"/>
      <c r="J676" s="26">
        <v>43753</v>
      </c>
      <c r="K676" s="26">
        <v>44118</v>
      </c>
      <c r="L676" s="32">
        <v>3</v>
      </c>
      <c r="M676" s="13"/>
      <c r="N676" s="13"/>
      <c r="O676" s="19">
        <v>9320374472</v>
      </c>
      <c r="P676" s="13" t="s">
        <v>2648</v>
      </c>
      <c r="Q676" s="13" t="s">
        <v>4788</v>
      </c>
      <c r="R676" s="13" t="s">
        <v>2649</v>
      </c>
      <c r="S676" s="13" t="s">
        <v>215</v>
      </c>
      <c r="T676" s="13">
        <v>410501</v>
      </c>
      <c r="U676" s="13" t="s">
        <v>172</v>
      </c>
      <c r="V676" s="13" t="s">
        <v>23</v>
      </c>
      <c r="W676" s="193">
        <v>2</v>
      </c>
      <c r="X676" s="13">
        <v>1</v>
      </c>
      <c r="Y676" s="13">
        <v>1</v>
      </c>
      <c r="Z676" s="13">
        <v>3</v>
      </c>
      <c r="AA676" s="193" t="s">
        <v>4118</v>
      </c>
      <c r="AB676" s="2"/>
    </row>
    <row r="677" spans="1:28" ht="15" customHeight="1">
      <c r="A677" s="16">
        <v>676</v>
      </c>
      <c r="B677" s="8" t="s">
        <v>2650</v>
      </c>
      <c r="C677" s="14" t="str">
        <f>_xlfn.CONCAT(B677&amp;" "&amp;W677&amp;X677&amp;Y677&amp;Z677)</f>
        <v>Aditek 8004</v>
      </c>
      <c r="D677" s="17">
        <v>746</v>
      </c>
      <c r="E677" s="8" t="s">
        <v>42</v>
      </c>
      <c r="F677" s="8"/>
      <c r="G677" s="23">
        <v>43393</v>
      </c>
      <c r="H677" s="23"/>
      <c r="I677" s="23"/>
      <c r="J677" s="26">
        <v>45343</v>
      </c>
      <c r="K677" s="26">
        <v>45708</v>
      </c>
      <c r="L677" s="32">
        <v>3</v>
      </c>
      <c r="M677" s="13"/>
      <c r="N677" s="13"/>
      <c r="O677" s="19" t="s">
        <v>2651</v>
      </c>
      <c r="P677" s="13" t="s">
        <v>2652</v>
      </c>
      <c r="Q677" s="13" t="s">
        <v>4789</v>
      </c>
      <c r="R677" s="13"/>
      <c r="S677" s="13" t="s">
        <v>547</v>
      </c>
      <c r="T677" s="13">
        <v>416005</v>
      </c>
      <c r="U677" s="13" t="s">
        <v>172</v>
      </c>
      <c r="V677" s="13" t="s">
        <v>23</v>
      </c>
      <c r="W677" s="193">
        <v>8</v>
      </c>
      <c r="X677" s="13">
        <v>0</v>
      </c>
      <c r="Y677" s="13">
        <v>0</v>
      </c>
      <c r="Z677" s="13">
        <v>4</v>
      </c>
      <c r="AA677" s="193" t="s">
        <v>4118</v>
      </c>
      <c r="AB677" s="2"/>
    </row>
    <row r="678" spans="1:28" ht="15" customHeight="1">
      <c r="A678" s="16">
        <v>677</v>
      </c>
      <c r="B678" s="8" t="s">
        <v>2653</v>
      </c>
      <c r="C678" s="14" t="str">
        <f>_xlfn.CONCAT(B678&amp;" "&amp;W678&amp;X678&amp;Y678&amp;Z678)</f>
        <v>MSSL Tooling FZE 0000</v>
      </c>
      <c r="D678" s="17">
        <v>712</v>
      </c>
      <c r="E678" s="8" t="s">
        <v>90</v>
      </c>
      <c r="F678" s="8"/>
      <c r="G678" s="23">
        <v>43393</v>
      </c>
      <c r="H678" s="23"/>
      <c r="I678" s="23"/>
      <c r="J678" s="26">
        <v>44378</v>
      </c>
      <c r="K678" s="26">
        <v>44742</v>
      </c>
      <c r="L678" s="32">
        <v>3</v>
      </c>
      <c r="M678" s="13"/>
      <c r="N678" s="13"/>
      <c r="O678" s="19"/>
      <c r="P678" s="13" t="s">
        <v>2654</v>
      </c>
      <c r="Q678" s="13" t="s">
        <v>4790</v>
      </c>
      <c r="R678" s="13" t="s">
        <v>2655</v>
      </c>
      <c r="S678" s="13" t="s">
        <v>2656</v>
      </c>
      <c r="T678" s="13"/>
      <c r="U678" s="13" t="s">
        <v>574</v>
      </c>
      <c r="V678" s="13" t="s">
        <v>2657</v>
      </c>
      <c r="W678" s="193">
        <v>0</v>
      </c>
      <c r="X678" s="13">
        <v>0</v>
      </c>
      <c r="Y678" s="13">
        <v>0</v>
      </c>
      <c r="Z678" s="13">
        <v>0</v>
      </c>
      <c r="AA678" s="193">
        <v>0</v>
      </c>
      <c r="AB678" s="2"/>
    </row>
    <row r="679" spans="1:28" ht="15" customHeight="1">
      <c r="A679" s="16">
        <v>678</v>
      </c>
      <c r="B679" s="8" t="s">
        <v>2658</v>
      </c>
      <c r="C679" s="14" t="str">
        <f>_xlfn.CONCAT(B679&amp;" "&amp;W679&amp;X679&amp;Y679&amp;Z679)</f>
        <v>Shri Sai Tools 8031</v>
      </c>
      <c r="D679" s="17">
        <v>764</v>
      </c>
      <c r="E679" s="8" t="s">
        <v>42</v>
      </c>
      <c r="F679" s="8"/>
      <c r="G679" s="23">
        <v>43404</v>
      </c>
      <c r="H679" s="23"/>
      <c r="I679" s="23"/>
      <c r="J679" s="26">
        <v>43404</v>
      </c>
      <c r="K679" s="26">
        <v>43768</v>
      </c>
      <c r="L679" s="32">
        <v>3</v>
      </c>
      <c r="M679" s="13" t="s">
        <v>2659</v>
      </c>
      <c r="N679" s="13" t="s">
        <v>151</v>
      </c>
      <c r="O679" s="19">
        <v>9886001670</v>
      </c>
      <c r="P679" s="13" t="s">
        <v>2660</v>
      </c>
      <c r="Q679" s="13" t="s">
        <v>4791</v>
      </c>
      <c r="R679" s="13" t="s">
        <v>2661</v>
      </c>
      <c r="S679" s="13" t="s">
        <v>21</v>
      </c>
      <c r="T679" s="13">
        <v>560076</v>
      </c>
      <c r="U679" s="13" t="s">
        <v>22</v>
      </c>
      <c r="V679" s="13" t="s">
        <v>23</v>
      </c>
      <c r="W679" s="193">
        <v>8</v>
      </c>
      <c r="X679" s="13">
        <v>0</v>
      </c>
      <c r="Y679" s="13">
        <v>3</v>
      </c>
      <c r="Z679" s="13">
        <v>1</v>
      </c>
      <c r="AA679" s="193" t="s">
        <v>4118</v>
      </c>
      <c r="AB679" s="2"/>
    </row>
    <row r="680" spans="1:28" ht="15" customHeight="1">
      <c r="A680" s="16">
        <v>679</v>
      </c>
      <c r="B680" s="8" t="s">
        <v>2662</v>
      </c>
      <c r="C680" s="14" t="str">
        <f>_xlfn.CONCAT(B680&amp;" "&amp;W680&amp;X680&amp;Y680&amp;Z680)</f>
        <v>Dhawan Engineers Pvt Ltd 1111</v>
      </c>
      <c r="D680" s="17">
        <v>711</v>
      </c>
      <c r="E680" s="8" t="s">
        <v>90</v>
      </c>
      <c r="F680" s="8"/>
      <c r="G680" s="23">
        <v>43407</v>
      </c>
      <c r="H680" s="23"/>
      <c r="I680" s="23"/>
      <c r="J680" s="26">
        <v>44529</v>
      </c>
      <c r="K680" s="26">
        <v>44893</v>
      </c>
      <c r="L680" s="32">
        <v>3</v>
      </c>
      <c r="M680" s="13" t="s">
        <v>2663</v>
      </c>
      <c r="N680" s="13"/>
      <c r="O680" s="19" t="s">
        <v>2664</v>
      </c>
      <c r="P680" s="13" t="s">
        <v>2313</v>
      </c>
      <c r="Q680" s="13" t="s">
        <v>4792</v>
      </c>
      <c r="R680" s="13"/>
      <c r="S680" s="13" t="s">
        <v>428</v>
      </c>
      <c r="T680" s="13">
        <v>122050</v>
      </c>
      <c r="U680" s="13" t="s">
        <v>429</v>
      </c>
      <c r="V680" s="13" t="s">
        <v>23</v>
      </c>
      <c r="W680" s="193">
        <v>1</v>
      </c>
      <c r="X680" s="13">
        <v>1</v>
      </c>
      <c r="Y680" s="13">
        <v>1</v>
      </c>
      <c r="Z680" s="13">
        <v>1</v>
      </c>
      <c r="AA680" s="193" t="s">
        <v>4118</v>
      </c>
      <c r="AB680" s="2"/>
    </row>
    <row r="681" spans="1:28" ht="15" customHeight="1">
      <c r="A681" s="16">
        <v>680</v>
      </c>
      <c r="B681" s="8" t="s">
        <v>2665</v>
      </c>
      <c r="C681" s="14" t="str">
        <f>_xlfn.CONCAT(B681&amp;" "&amp;W681&amp;X681&amp;Y681&amp;Z681)</f>
        <v>Shiv Om Brass Industries 5401</v>
      </c>
      <c r="D681" s="17">
        <v>759</v>
      </c>
      <c r="E681" s="8" t="s">
        <v>42</v>
      </c>
      <c r="F681" s="8"/>
      <c r="G681" s="23">
        <v>43409</v>
      </c>
      <c r="H681" s="23"/>
      <c r="I681" s="23"/>
      <c r="J681" s="26">
        <v>45594</v>
      </c>
      <c r="K681" s="26">
        <v>45958</v>
      </c>
      <c r="L681" s="32">
        <v>3</v>
      </c>
      <c r="M681" s="13" t="s">
        <v>2666</v>
      </c>
      <c r="N681" s="13" t="s">
        <v>151</v>
      </c>
      <c r="O681" s="19">
        <v>9825210890</v>
      </c>
      <c r="P681" s="13" t="s">
        <v>2667</v>
      </c>
      <c r="Q681" s="13" t="s">
        <v>4793</v>
      </c>
      <c r="R681" s="13" t="s">
        <v>2668</v>
      </c>
      <c r="S681" s="13" t="s">
        <v>571</v>
      </c>
      <c r="T681" s="13">
        <v>361004</v>
      </c>
      <c r="U681" s="13" t="s">
        <v>144</v>
      </c>
      <c r="V681" s="13" t="s">
        <v>23</v>
      </c>
      <c r="W681" s="193">
        <v>5</v>
      </c>
      <c r="X681" s="13">
        <v>4</v>
      </c>
      <c r="Y681" s="13">
        <v>0</v>
      </c>
      <c r="Z681" s="13">
        <v>1</v>
      </c>
      <c r="AA681" s="193" t="s">
        <v>4137</v>
      </c>
      <c r="AB681" s="2"/>
    </row>
    <row r="682" spans="1:28" ht="15" customHeight="1">
      <c r="A682" s="16">
        <v>681</v>
      </c>
      <c r="B682" s="8" t="s">
        <v>2665</v>
      </c>
      <c r="C682" s="14" t="str">
        <f>_xlfn.CONCAT(B682&amp;" "&amp;W682&amp;X682&amp;Y682&amp;Z682)</f>
        <v>Shiv Om Brass Industries 5401</v>
      </c>
      <c r="D682" s="17">
        <v>761</v>
      </c>
      <c r="E682" s="8" t="s">
        <v>42</v>
      </c>
      <c r="F682" s="8"/>
      <c r="G682" s="23">
        <v>43409</v>
      </c>
      <c r="H682" s="23"/>
      <c r="I682" s="23"/>
      <c r="J682" s="26">
        <v>44144</v>
      </c>
      <c r="K682" s="26">
        <v>44508</v>
      </c>
      <c r="L682" s="32">
        <v>3</v>
      </c>
      <c r="M682" s="13" t="s">
        <v>2666</v>
      </c>
      <c r="N682" s="13" t="s">
        <v>151</v>
      </c>
      <c r="O682" s="19">
        <v>9825210890</v>
      </c>
      <c r="P682" s="13" t="s">
        <v>2667</v>
      </c>
      <c r="Q682" s="13" t="s">
        <v>4793</v>
      </c>
      <c r="R682" s="13" t="s">
        <v>2668</v>
      </c>
      <c r="S682" s="13" t="s">
        <v>571</v>
      </c>
      <c r="T682" s="13">
        <v>361004</v>
      </c>
      <c r="U682" s="13" t="s">
        <v>144</v>
      </c>
      <c r="V682" s="13" t="s">
        <v>23</v>
      </c>
      <c r="W682" s="193">
        <v>5</v>
      </c>
      <c r="X682" s="13">
        <v>4</v>
      </c>
      <c r="Y682" s="13">
        <v>0</v>
      </c>
      <c r="Z682" s="13">
        <v>1</v>
      </c>
      <c r="AA682" s="193" t="s">
        <v>4137</v>
      </c>
      <c r="AB682" s="2"/>
    </row>
    <row r="683" spans="1:28" ht="15" customHeight="1">
      <c r="A683" s="16">
        <v>682</v>
      </c>
      <c r="B683" s="8" t="s">
        <v>2665</v>
      </c>
      <c r="C683" s="14" t="str">
        <f>_xlfn.CONCAT(B683&amp;" "&amp;W683&amp;X683&amp;Y683&amp;Z683)</f>
        <v>Shiv Om Brass Industries 5401</v>
      </c>
      <c r="D683" s="17">
        <v>762</v>
      </c>
      <c r="E683" s="8" t="s">
        <v>42</v>
      </c>
      <c r="F683" s="8"/>
      <c r="G683" s="23">
        <v>43409</v>
      </c>
      <c r="H683" s="23"/>
      <c r="I683" s="23"/>
      <c r="J683" s="26">
        <v>44144</v>
      </c>
      <c r="K683" s="26">
        <v>44508</v>
      </c>
      <c r="L683" s="32">
        <v>3</v>
      </c>
      <c r="M683" s="13" t="s">
        <v>2666</v>
      </c>
      <c r="N683" s="13" t="s">
        <v>151</v>
      </c>
      <c r="O683" s="19">
        <v>9825210890</v>
      </c>
      <c r="P683" s="13" t="s">
        <v>2667</v>
      </c>
      <c r="Q683" s="13" t="s">
        <v>4793</v>
      </c>
      <c r="R683" s="13" t="s">
        <v>2668</v>
      </c>
      <c r="S683" s="13" t="s">
        <v>571</v>
      </c>
      <c r="T683" s="13">
        <v>361004</v>
      </c>
      <c r="U683" s="13" t="s">
        <v>144</v>
      </c>
      <c r="V683" s="13" t="s">
        <v>23</v>
      </c>
      <c r="W683" s="193">
        <v>5</v>
      </c>
      <c r="X683" s="13">
        <v>4</v>
      </c>
      <c r="Y683" s="13">
        <v>0</v>
      </c>
      <c r="Z683" s="13">
        <v>1</v>
      </c>
      <c r="AA683" s="193" t="s">
        <v>4137</v>
      </c>
      <c r="AB683" s="2"/>
    </row>
    <row r="684" spans="1:28" ht="15" customHeight="1">
      <c r="A684" s="16">
        <v>683</v>
      </c>
      <c r="B684" s="8" t="s">
        <v>2665</v>
      </c>
      <c r="C684" s="14" t="str">
        <f>_xlfn.CONCAT(B684&amp;" "&amp;W684&amp;X684&amp;Y684&amp;Z684)</f>
        <v>Shiv Om Brass Industries 5401</v>
      </c>
      <c r="D684" s="17">
        <v>763</v>
      </c>
      <c r="E684" s="8" t="s">
        <v>42</v>
      </c>
      <c r="F684" s="8"/>
      <c r="G684" s="23">
        <v>43409</v>
      </c>
      <c r="H684" s="23"/>
      <c r="I684" s="23"/>
      <c r="J684" s="26">
        <v>44144</v>
      </c>
      <c r="K684" s="26">
        <v>44508</v>
      </c>
      <c r="L684" s="32">
        <v>3</v>
      </c>
      <c r="M684" s="13" t="s">
        <v>2666</v>
      </c>
      <c r="N684" s="13" t="s">
        <v>151</v>
      </c>
      <c r="O684" s="19">
        <v>9825210890</v>
      </c>
      <c r="P684" s="13" t="s">
        <v>2667</v>
      </c>
      <c r="Q684" s="13" t="s">
        <v>4793</v>
      </c>
      <c r="R684" s="13" t="s">
        <v>2668</v>
      </c>
      <c r="S684" s="13" t="s">
        <v>571</v>
      </c>
      <c r="T684" s="13">
        <v>361004</v>
      </c>
      <c r="U684" s="13" t="s">
        <v>144</v>
      </c>
      <c r="V684" s="13" t="s">
        <v>23</v>
      </c>
      <c r="W684" s="193">
        <v>5</v>
      </c>
      <c r="X684" s="13">
        <v>4</v>
      </c>
      <c r="Y684" s="13">
        <v>0</v>
      </c>
      <c r="Z684" s="13">
        <v>1</v>
      </c>
      <c r="AA684" s="193" t="s">
        <v>4137</v>
      </c>
      <c r="AB684" s="2"/>
    </row>
    <row r="685" spans="1:28" ht="15" customHeight="1">
      <c r="A685" s="16">
        <v>684</v>
      </c>
      <c r="B685" s="8" t="s">
        <v>2669</v>
      </c>
      <c r="C685" s="14" t="str">
        <f>_xlfn.CONCAT(B685&amp;" "&amp;W685&amp;X685&amp;Y685&amp;Z685)</f>
        <v>Vishwakarma Institute of Technology 2441</v>
      </c>
      <c r="D685" s="17">
        <v>765</v>
      </c>
      <c r="E685" s="8" t="s">
        <v>42</v>
      </c>
      <c r="F685" s="8"/>
      <c r="G685" s="23">
        <v>43420</v>
      </c>
      <c r="H685" s="23"/>
      <c r="I685" s="23"/>
      <c r="J685" s="26">
        <v>43420</v>
      </c>
      <c r="K685" s="26">
        <v>43784</v>
      </c>
      <c r="L685" s="32">
        <v>3</v>
      </c>
      <c r="M685" s="13"/>
      <c r="N685" s="13"/>
      <c r="O685" s="19" t="s">
        <v>2670</v>
      </c>
      <c r="P685" s="13" t="s">
        <v>2671</v>
      </c>
      <c r="Q685" s="13" t="s">
        <v>4794</v>
      </c>
      <c r="R685" s="13"/>
      <c r="S685" s="13" t="s">
        <v>215</v>
      </c>
      <c r="T685" s="13">
        <v>411037</v>
      </c>
      <c r="U685" s="13" t="s">
        <v>172</v>
      </c>
      <c r="V685" s="13" t="s">
        <v>23</v>
      </c>
      <c r="W685" s="193">
        <v>2</v>
      </c>
      <c r="X685" s="13">
        <v>4</v>
      </c>
      <c r="Y685" s="13">
        <v>4</v>
      </c>
      <c r="Z685" s="13">
        <v>1</v>
      </c>
      <c r="AA685" s="193" t="s">
        <v>4151</v>
      </c>
      <c r="AB685" s="2"/>
    </row>
    <row r="686" spans="1:28" ht="15" customHeight="1">
      <c r="A686" s="16">
        <v>685</v>
      </c>
      <c r="B686" s="8" t="s">
        <v>2672</v>
      </c>
      <c r="C686" s="14" t="str">
        <f>_xlfn.CONCAT(B686&amp;" "&amp;W686&amp;X686&amp;Y686&amp;Z686)</f>
        <v>Hivi Precision Pvt Ltd (Vijaya Auto Products) 8021</v>
      </c>
      <c r="D686" s="17">
        <v>751</v>
      </c>
      <c r="E686" s="8" t="s">
        <v>42</v>
      </c>
      <c r="F686" s="8"/>
      <c r="G686" s="23">
        <v>43427</v>
      </c>
      <c r="H686" s="23"/>
      <c r="I686" s="23"/>
      <c r="J686" s="26">
        <v>44454</v>
      </c>
      <c r="K686" s="26">
        <v>44818</v>
      </c>
      <c r="L686" s="32">
        <v>3</v>
      </c>
      <c r="M686" s="13" t="s">
        <v>2673</v>
      </c>
      <c r="N686" s="13" t="s">
        <v>28</v>
      </c>
      <c r="O686" s="19">
        <v>9886767891</v>
      </c>
      <c r="P686" s="13" t="s">
        <v>2674</v>
      </c>
      <c r="Q686" s="13" t="s">
        <v>4795</v>
      </c>
      <c r="R686" s="13" t="s">
        <v>2360</v>
      </c>
      <c r="S686" s="13" t="s">
        <v>21</v>
      </c>
      <c r="T686" s="13">
        <v>560105</v>
      </c>
      <c r="U686" s="13" t="s">
        <v>22</v>
      </c>
      <c r="V686" s="13" t="s">
        <v>23</v>
      </c>
      <c r="W686" s="193">
        <v>8</v>
      </c>
      <c r="X686" s="13">
        <v>0</v>
      </c>
      <c r="Y686" s="13">
        <v>2</v>
      </c>
      <c r="Z686" s="13">
        <v>1</v>
      </c>
      <c r="AA686" s="193" t="s">
        <v>4118</v>
      </c>
      <c r="AB686" s="2"/>
    </row>
    <row r="687" spans="1:28" ht="15" customHeight="1">
      <c r="A687" s="16">
        <v>686</v>
      </c>
      <c r="B687" s="8" t="s">
        <v>2675</v>
      </c>
      <c r="C687" s="14" t="str">
        <f>_xlfn.CONCAT(B687&amp;" "&amp;W687&amp;X687&amp;Y687&amp;Z687)</f>
        <v>Intessence Solutions Pvt Ltd 8051</v>
      </c>
      <c r="D687" s="17">
        <v>769</v>
      </c>
      <c r="E687" s="8" t="s">
        <v>42</v>
      </c>
      <c r="F687" s="8"/>
      <c r="G687" s="23">
        <v>43440</v>
      </c>
      <c r="H687" s="23"/>
      <c r="I687" s="23"/>
      <c r="J687" s="26">
        <v>45867</v>
      </c>
      <c r="K687" s="26">
        <v>46231</v>
      </c>
      <c r="L687" s="32">
        <v>3</v>
      </c>
      <c r="M687" s="13" t="s">
        <v>2676</v>
      </c>
      <c r="N687" s="13" t="s">
        <v>28</v>
      </c>
      <c r="O687" s="19">
        <v>738111084</v>
      </c>
      <c r="P687" s="13" t="s">
        <v>2677</v>
      </c>
      <c r="Q687" s="13" t="s">
        <v>4796</v>
      </c>
      <c r="R687" s="13" t="s">
        <v>1512</v>
      </c>
      <c r="S687" s="13" t="s">
        <v>21</v>
      </c>
      <c r="T687" s="13">
        <v>560058</v>
      </c>
      <c r="U687" s="13" t="s">
        <v>22</v>
      </c>
      <c r="V687" s="13" t="s">
        <v>23</v>
      </c>
      <c r="W687" s="193">
        <v>8</v>
      </c>
      <c r="X687" s="13">
        <v>0</v>
      </c>
      <c r="Y687" s="13">
        <v>5</v>
      </c>
      <c r="Z687" s="13">
        <v>1</v>
      </c>
      <c r="AA687" s="193" t="s">
        <v>4118</v>
      </c>
      <c r="AB687" s="2"/>
    </row>
    <row r="688" spans="1:28" ht="15" customHeight="1">
      <c r="A688" s="16">
        <v>687</v>
      </c>
      <c r="B688" s="8" t="s">
        <v>2678</v>
      </c>
      <c r="C688" s="14" t="str">
        <f>_xlfn.CONCAT(B688&amp;" "&amp;W688&amp;X688&amp;Y688&amp;Z688)</f>
        <v>Vardhaman Pressure Diecastings 8021</v>
      </c>
      <c r="D688" s="17">
        <v>715</v>
      </c>
      <c r="E688" s="8" t="s">
        <v>90</v>
      </c>
      <c r="F688" s="8"/>
      <c r="G688" s="23">
        <v>43440</v>
      </c>
      <c r="H688" s="23"/>
      <c r="I688" s="23"/>
      <c r="J688" s="26">
        <v>43442</v>
      </c>
      <c r="K688" s="26">
        <v>43806</v>
      </c>
      <c r="L688" s="32">
        <v>3</v>
      </c>
      <c r="M688" s="13" t="s">
        <v>2679</v>
      </c>
      <c r="N688" s="13" t="s">
        <v>2680</v>
      </c>
      <c r="O688" s="19">
        <v>8056673717</v>
      </c>
      <c r="P688" s="13" t="s">
        <v>2681</v>
      </c>
      <c r="Q688" s="13" t="s">
        <v>4797</v>
      </c>
      <c r="R688" s="13" t="s">
        <v>2682</v>
      </c>
      <c r="S688" s="13" t="s">
        <v>21</v>
      </c>
      <c r="T688" s="13">
        <v>560099</v>
      </c>
      <c r="U688" s="13" t="s">
        <v>22</v>
      </c>
      <c r="V688" s="13" t="s">
        <v>23</v>
      </c>
      <c r="W688" s="193">
        <v>8</v>
      </c>
      <c r="X688" s="13">
        <v>0</v>
      </c>
      <c r="Y688" s="13">
        <v>2</v>
      </c>
      <c r="Z688" s="13">
        <v>1</v>
      </c>
      <c r="AA688" s="193" t="s">
        <v>4118</v>
      </c>
      <c r="AB688" s="2"/>
    </row>
    <row r="689" spans="1:28" ht="15" customHeight="1">
      <c r="A689" s="16">
        <v>688</v>
      </c>
      <c r="B689" s="8" t="s">
        <v>2683</v>
      </c>
      <c r="C689" s="14" t="str">
        <f>_xlfn.CONCAT(B689&amp;" "&amp;W689&amp;X689&amp;Y689&amp;Z689)</f>
        <v>PVP Techno 4021</v>
      </c>
      <c r="D689" s="17">
        <v>767</v>
      </c>
      <c r="E689" s="8" t="s">
        <v>42</v>
      </c>
      <c r="F689" s="8"/>
      <c r="G689" s="23">
        <v>43443</v>
      </c>
      <c r="H689" s="23"/>
      <c r="I689" s="23"/>
      <c r="J689" s="26">
        <v>43443</v>
      </c>
      <c r="K689" s="26">
        <v>43807</v>
      </c>
      <c r="L689" s="32">
        <v>3</v>
      </c>
      <c r="M689" s="13"/>
      <c r="N689" s="13"/>
      <c r="O689" s="19"/>
      <c r="P689" s="13" t="s">
        <v>2684</v>
      </c>
      <c r="Q689" s="13" t="s">
        <v>4798</v>
      </c>
      <c r="R689" s="13" t="s">
        <v>2685</v>
      </c>
      <c r="S689" s="13" t="s">
        <v>37</v>
      </c>
      <c r="T689" s="13">
        <v>600096</v>
      </c>
      <c r="U689" s="13" t="s">
        <v>38</v>
      </c>
      <c r="V689" s="13" t="s">
        <v>23</v>
      </c>
      <c r="W689" s="193">
        <v>4</v>
      </c>
      <c r="X689" s="13">
        <v>0</v>
      </c>
      <c r="Y689" s="13">
        <v>2</v>
      </c>
      <c r="Z689" s="13">
        <v>1</v>
      </c>
      <c r="AA689" s="193" t="s">
        <v>4148</v>
      </c>
      <c r="AB689" s="2"/>
    </row>
    <row r="690" spans="1:28" ht="15" customHeight="1">
      <c r="A690" s="16">
        <v>689</v>
      </c>
      <c r="B690" s="8" t="s">
        <v>2686</v>
      </c>
      <c r="C690" s="14" t="str">
        <f>_xlfn.CONCAT(B690&amp;" "&amp;W690&amp;X690&amp;Y690&amp;Z690)</f>
        <v>Rialto Enterprises Pvt Ltd 4021</v>
      </c>
      <c r="D690" s="17">
        <v>713</v>
      </c>
      <c r="E690" s="8" t="s">
        <v>90</v>
      </c>
      <c r="F690" s="8"/>
      <c r="G690" s="23">
        <v>43443</v>
      </c>
      <c r="H690" s="23"/>
      <c r="I690" s="23"/>
      <c r="J690" s="26">
        <v>43453</v>
      </c>
      <c r="K690" s="26">
        <v>43817</v>
      </c>
      <c r="L690" s="32">
        <v>3</v>
      </c>
      <c r="M690" s="13"/>
      <c r="N690" s="13"/>
      <c r="O690" s="19">
        <v>7358385953</v>
      </c>
      <c r="P690" s="13" t="s">
        <v>2687</v>
      </c>
      <c r="Q690" s="13" t="s">
        <v>4799</v>
      </c>
      <c r="R690" s="13"/>
      <c r="S690" s="13" t="s">
        <v>37</v>
      </c>
      <c r="T690" s="13">
        <v>600127</v>
      </c>
      <c r="U690" s="13" t="s">
        <v>38</v>
      </c>
      <c r="V690" s="13" t="s">
        <v>23</v>
      </c>
      <c r="W690" s="193">
        <v>4</v>
      </c>
      <c r="X690" s="13">
        <v>0</v>
      </c>
      <c r="Y690" s="13">
        <v>2</v>
      </c>
      <c r="Z690" s="13">
        <v>1</v>
      </c>
      <c r="AA690" s="193" t="s">
        <v>4148</v>
      </c>
      <c r="AB690" s="2"/>
    </row>
    <row r="691" spans="1:28" ht="15" customHeight="1">
      <c r="A691" s="16">
        <v>690</v>
      </c>
      <c r="B691" s="8" t="s">
        <v>2688</v>
      </c>
      <c r="C691" s="14" t="str">
        <f>_xlfn.CONCAT(B691&amp;" "&amp;W691&amp;X691&amp;Y691&amp;Z691)</f>
        <v>Aisin Automotives Haryana Pvt Ltd 5011</v>
      </c>
      <c r="D691" s="17">
        <v>710</v>
      </c>
      <c r="E691" s="8" t="s">
        <v>90</v>
      </c>
      <c r="F691" s="8"/>
      <c r="G691" s="23">
        <v>43451</v>
      </c>
      <c r="H691" s="23"/>
      <c r="I691" s="23"/>
      <c r="J691" s="26">
        <v>43451</v>
      </c>
      <c r="K691" s="26">
        <v>43815</v>
      </c>
      <c r="L691" s="32">
        <v>3</v>
      </c>
      <c r="M691" s="13"/>
      <c r="N691" s="13"/>
      <c r="O691" s="19" t="s">
        <v>2689</v>
      </c>
      <c r="P691" s="13" t="s">
        <v>2690</v>
      </c>
      <c r="Q691" s="13" t="s">
        <v>4800</v>
      </c>
      <c r="R691" s="13" t="s">
        <v>2691</v>
      </c>
      <c r="S691" s="13" t="s">
        <v>143</v>
      </c>
      <c r="T691" s="13">
        <v>382130</v>
      </c>
      <c r="U691" s="13" t="s">
        <v>144</v>
      </c>
      <c r="V691" s="13" t="s">
        <v>23</v>
      </c>
      <c r="W691" s="193">
        <v>5</v>
      </c>
      <c r="X691" s="13">
        <v>0</v>
      </c>
      <c r="Y691" s="13">
        <v>1</v>
      </c>
      <c r="Z691" s="13">
        <v>1</v>
      </c>
      <c r="AA691" s="193" t="s">
        <v>4118</v>
      </c>
      <c r="AB691" s="2"/>
    </row>
    <row r="692" spans="1:28" ht="15" customHeight="1">
      <c r="A692" s="16">
        <v>691</v>
      </c>
      <c r="B692" s="8" t="s">
        <v>2692</v>
      </c>
      <c r="C692" s="14" t="str">
        <f>_xlfn.CONCAT(B692&amp;" "&amp;W692&amp;X692&amp;Y692&amp;Z692)</f>
        <v>Natesan Synchrocones Pvt Ltd 4031</v>
      </c>
      <c r="D692" s="17">
        <v>714</v>
      </c>
      <c r="E692" s="8" t="s">
        <v>90</v>
      </c>
      <c r="F692" s="8"/>
      <c r="G692" s="23">
        <v>43457</v>
      </c>
      <c r="H692" s="23"/>
      <c r="I692" s="23"/>
      <c r="J692" s="26">
        <v>44618</v>
      </c>
      <c r="K692" s="26">
        <v>44982</v>
      </c>
      <c r="L692" s="32">
        <v>3</v>
      </c>
      <c r="M692" s="13" t="s">
        <v>2693</v>
      </c>
      <c r="N692" s="13"/>
      <c r="O692" s="19" t="s">
        <v>2694</v>
      </c>
      <c r="P692" s="13" t="s">
        <v>2534</v>
      </c>
      <c r="Q692" s="13" t="s">
        <v>4801</v>
      </c>
      <c r="R692" s="13"/>
      <c r="S692" s="13" t="s">
        <v>2503</v>
      </c>
      <c r="T692" s="13"/>
      <c r="U692" s="13" t="s">
        <v>38</v>
      </c>
      <c r="V692" s="13" t="s">
        <v>23</v>
      </c>
      <c r="W692" s="193">
        <v>4</v>
      </c>
      <c r="X692" s="13">
        <v>0</v>
      </c>
      <c r="Y692" s="13">
        <v>3</v>
      </c>
      <c r="Z692" s="13">
        <v>1</v>
      </c>
      <c r="AA692" s="193" t="s">
        <v>4148</v>
      </c>
      <c r="AB692" s="2"/>
    </row>
    <row r="693" spans="1:28" ht="15" customHeight="1">
      <c r="A693" s="16">
        <v>692</v>
      </c>
      <c r="B693" s="8" t="s">
        <v>2695</v>
      </c>
      <c r="C693" s="14" t="str">
        <f>_xlfn.CONCAT(B693&amp;" "&amp;W693&amp;X693&amp;Y693&amp;Z693)</f>
        <v>Eta Aerospace Pvt Ltd (Pams Engg) 8033</v>
      </c>
      <c r="D693" s="17">
        <v>716</v>
      </c>
      <c r="E693" s="8" t="s">
        <v>90</v>
      </c>
      <c r="F693" s="8"/>
      <c r="G693" s="23">
        <v>43462</v>
      </c>
      <c r="H693" s="23"/>
      <c r="I693" s="23"/>
      <c r="J693" s="26">
        <v>44454</v>
      </c>
      <c r="K693" s="26">
        <v>44818</v>
      </c>
      <c r="L693" s="32">
        <v>3</v>
      </c>
      <c r="M693" s="13" t="s">
        <v>2696</v>
      </c>
      <c r="N693" s="13" t="s">
        <v>2697</v>
      </c>
      <c r="O693" s="19">
        <v>9481907322</v>
      </c>
      <c r="P693" s="13" t="s">
        <v>2698</v>
      </c>
      <c r="Q693" s="13" t="s">
        <v>4802</v>
      </c>
      <c r="R693" s="13"/>
      <c r="S693" s="13" t="s">
        <v>275</v>
      </c>
      <c r="T693" s="13">
        <v>570018</v>
      </c>
      <c r="U693" s="13" t="s">
        <v>22</v>
      </c>
      <c r="V693" s="13" t="s">
        <v>23</v>
      </c>
      <c r="W693" s="193">
        <v>8</v>
      </c>
      <c r="X693" s="13">
        <v>0</v>
      </c>
      <c r="Y693" s="13">
        <v>3</v>
      </c>
      <c r="Z693" s="13">
        <v>3</v>
      </c>
      <c r="AA693" s="193" t="s">
        <v>4118</v>
      </c>
      <c r="AB693" s="2"/>
    </row>
    <row r="694" spans="1:28" ht="15" customHeight="1">
      <c r="A694" s="16">
        <v>693</v>
      </c>
      <c r="B694" s="8" t="s">
        <v>2699</v>
      </c>
      <c r="C694" s="14" t="str">
        <f>_xlfn.CONCAT(B694&amp;" "&amp;W694&amp;X694&amp;Y694&amp;Z694)</f>
        <v>Saideep Moulding Industries 2441</v>
      </c>
      <c r="D694" s="17">
        <v>772</v>
      </c>
      <c r="E694" s="8" t="s">
        <v>2082</v>
      </c>
      <c r="F694" s="8"/>
      <c r="G694" s="26">
        <v>43463</v>
      </c>
      <c r="H694" s="26"/>
      <c r="I694" s="26"/>
      <c r="J694" s="26">
        <v>44568</v>
      </c>
      <c r="K694" s="26">
        <v>44932</v>
      </c>
      <c r="L694" s="32">
        <v>3</v>
      </c>
      <c r="M694" s="13" t="s">
        <v>2700</v>
      </c>
      <c r="N694" s="13" t="s">
        <v>71</v>
      </c>
      <c r="O694" s="19">
        <v>7028009595</v>
      </c>
      <c r="P694" s="13" t="s">
        <v>2701</v>
      </c>
      <c r="Q694" s="13" t="s">
        <v>4803</v>
      </c>
      <c r="R694" s="13" t="s">
        <v>2702</v>
      </c>
      <c r="S694" s="13" t="s">
        <v>215</v>
      </c>
      <c r="T694" s="13">
        <v>412220</v>
      </c>
      <c r="U694" s="13" t="s">
        <v>172</v>
      </c>
      <c r="V694" s="13" t="s">
        <v>23</v>
      </c>
      <c r="W694" s="193">
        <v>2</v>
      </c>
      <c r="X694" s="13">
        <v>4</v>
      </c>
      <c r="Y694" s="13">
        <v>4</v>
      </c>
      <c r="Z694" s="13">
        <v>1</v>
      </c>
      <c r="AA694" s="193" t="s">
        <v>4151</v>
      </c>
      <c r="AB694" s="2"/>
    </row>
    <row r="695" spans="1:28" ht="15" customHeight="1">
      <c r="A695" s="16">
        <v>694</v>
      </c>
      <c r="B695" s="8" t="s">
        <v>2703</v>
      </c>
      <c r="C695" s="14" t="str">
        <f>_xlfn.CONCAT(B695&amp;" "&amp;W695&amp;X695&amp;Y695&amp;Z695)</f>
        <v>Igarashi Motors India Ltd 4023</v>
      </c>
      <c r="D695" s="17">
        <v>773</v>
      </c>
      <c r="E695" s="8" t="s">
        <v>2082</v>
      </c>
      <c r="F695" s="8"/>
      <c r="G695" s="26">
        <v>43471</v>
      </c>
      <c r="H695" s="26"/>
      <c r="I695" s="26"/>
      <c r="J695" s="26">
        <v>44585</v>
      </c>
      <c r="K695" s="26">
        <v>44949</v>
      </c>
      <c r="L695" s="32">
        <v>3</v>
      </c>
      <c r="M695" s="13"/>
      <c r="N695" s="13"/>
      <c r="O695" s="19"/>
      <c r="P695" s="13" t="s">
        <v>79</v>
      </c>
      <c r="Q695" s="13" t="s">
        <v>4804</v>
      </c>
      <c r="R695" s="13" t="s">
        <v>1603</v>
      </c>
      <c r="S695" s="13" t="s">
        <v>37</v>
      </c>
      <c r="T695" s="13">
        <v>600045</v>
      </c>
      <c r="U695" s="13" t="s">
        <v>38</v>
      </c>
      <c r="V695" s="13" t="s">
        <v>23</v>
      </c>
      <c r="W695" s="193">
        <v>4</v>
      </c>
      <c r="X695" s="13">
        <v>0</v>
      </c>
      <c r="Y695" s="13">
        <v>2</v>
      </c>
      <c r="Z695" s="13">
        <v>3</v>
      </c>
      <c r="AA695" s="193" t="s">
        <v>4148</v>
      </c>
      <c r="AB695" s="2"/>
    </row>
    <row r="696" spans="1:28" ht="15" customHeight="1">
      <c r="A696" s="16">
        <v>695</v>
      </c>
      <c r="B696" s="8" t="s">
        <v>2704</v>
      </c>
      <c r="C696" s="14" t="str">
        <f>_xlfn.CONCAT(B696&amp;" "&amp;W696&amp;X696&amp;Y696&amp;Z696)</f>
        <v>Magellan Aerospace India Pvt Ltd 8071</v>
      </c>
      <c r="D696" s="17">
        <v>770</v>
      </c>
      <c r="E696" s="8" t="s">
        <v>2082</v>
      </c>
      <c r="F696" s="8"/>
      <c r="G696" s="23">
        <v>43475</v>
      </c>
      <c r="H696" s="23"/>
      <c r="I696" s="23"/>
      <c r="J696" s="26">
        <v>43871</v>
      </c>
      <c r="K696" s="26">
        <v>44236</v>
      </c>
      <c r="L696" s="32">
        <v>3</v>
      </c>
      <c r="M696" s="13" t="s">
        <v>2705</v>
      </c>
      <c r="N696" s="13"/>
      <c r="O696" s="19">
        <v>7899388885</v>
      </c>
      <c r="P696" s="13" t="s">
        <v>2706</v>
      </c>
      <c r="Q696" s="13" t="s">
        <v>4805</v>
      </c>
      <c r="R696" s="13" t="s">
        <v>2707</v>
      </c>
      <c r="S696" s="13" t="s">
        <v>21</v>
      </c>
      <c r="T696" s="13">
        <v>562110</v>
      </c>
      <c r="U696" s="13" t="s">
        <v>22</v>
      </c>
      <c r="V696" s="13" t="s">
        <v>23</v>
      </c>
      <c r="W696" s="193">
        <v>8</v>
      </c>
      <c r="X696" s="13">
        <v>0</v>
      </c>
      <c r="Y696" s="13">
        <v>7</v>
      </c>
      <c r="Z696" s="13">
        <v>1</v>
      </c>
      <c r="AA696" s="193" t="s">
        <v>4118</v>
      </c>
      <c r="AB696" s="2"/>
    </row>
    <row r="697" spans="1:28" ht="15" customHeight="1">
      <c r="A697" s="16">
        <v>696</v>
      </c>
      <c r="B697" s="8" t="s">
        <v>2708</v>
      </c>
      <c r="C697" s="14" t="str">
        <f>_xlfn.CONCAT(B697&amp;" "&amp;W697&amp;X697&amp;Y697&amp;Z697)</f>
        <v>Accumax Lab Devices Pvt Ltd 5021</v>
      </c>
      <c r="D697" s="17">
        <v>768</v>
      </c>
      <c r="E697" s="8" t="s">
        <v>42</v>
      </c>
      <c r="F697" s="8"/>
      <c r="G697" s="23">
        <v>43477</v>
      </c>
      <c r="H697" s="23"/>
      <c r="I697" s="23"/>
      <c r="J697" s="26">
        <v>43477</v>
      </c>
      <c r="K697" s="26">
        <v>43841</v>
      </c>
      <c r="L697" s="32">
        <v>3</v>
      </c>
      <c r="M697" s="13" t="s">
        <v>2709</v>
      </c>
      <c r="N697" s="13" t="s">
        <v>2710</v>
      </c>
      <c r="O697" s="19">
        <v>9624040387</v>
      </c>
      <c r="P697" s="13" t="s">
        <v>2711</v>
      </c>
      <c r="Q697" s="13" t="s">
        <v>4806</v>
      </c>
      <c r="R697" s="13" t="s">
        <v>2712</v>
      </c>
      <c r="S697" s="13" t="s">
        <v>1172</v>
      </c>
      <c r="T697" s="13">
        <v>382721</v>
      </c>
      <c r="U697" s="13" t="s">
        <v>144</v>
      </c>
      <c r="V697" s="13" t="s">
        <v>23</v>
      </c>
      <c r="W697" s="193">
        <v>5</v>
      </c>
      <c r="X697" s="13">
        <v>0</v>
      </c>
      <c r="Y697" s="13">
        <v>2</v>
      </c>
      <c r="Z697" s="13">
        <v>1</v>
      </c>
      <c r="AA697" s="193" t="s">
        <v>4118</v>
      </c>
      <c r="AB697" s="2"/>
    </row>
    <row r="698" spans="1:28" ht="15" customHeight="1">
      <c r="A698" s="16">
        <v>697</v>
      </c>
      <c r="B698" s="8" t="s">
        <v>2714</v>
      </c>
      <c r="C698" s="14" t="str">
        <f>_xlfn.CONCAT(B698&amp;" "&amp;W698&amp;X698&amp;Y698&amp;Z698)</f>
        <v>Ametek Instrumentts India Pvt Ltd 8081</v>
      </c>
      <c r="D698" s="17">
        <v>774</v>
      </c>
      <c r="E698" s="8" t="s">
        <v>2082</v>
      </c>
      <c r="F698" s="8"/>
      <c r="G698" s="26">
        <v>43481</v>
      </c>
      <c r="H698" s="26"/>
      <c r="I698" s="26"/>
      <c r="J698" s="26">
        <v>44649</v>
      </c>
      <c r="K698" s="26">
        <v>45013</v>
      </c>
      <c r="L698" s="32">
        <v>3</v>
      </c>
      <c r="M698" s="13" t="s">
        <v>2715</v>
      </c>
      <c r="N698" s="13"/>
      <c r="O698" s="19">
        <v>9886794423</v>
      </c>
      <c r="P698" s="13" t="s">
        <v>2716</v>
      </c>
      <c r="Q698" s="13" t="s">
        <v>4807</v>
      </c>
      <c r="R698" s="13" t="s">
        <v>2717</v>
      </c>
      <c r="S698" s="13" t="s">
        <v>21</v>
      </c>
      <c r="T698" s="13">
        <v>560066</v>
      </c>
      <c r="U698" s="13" t="s">
        <v>22</v>
      </c>
      <c r="V698" s="13" t="s">
        <v>23</v>
      </c>
      <c r="W698" s="193">
        <v>8</v>
      </c>
      <c r="X698" s="13">
        <v>0</v>
      </c>
      <c r="Y698" s="13">
        <v>8</v>
      </c>
      <c r="Z698" s="13">
        <v>1</v>
      </c>
      <c r="AA698" s="193" t="s">
        <v>4118</v>
      </c>
      <c r="AB698" s="2"/>
    </row>
    <row r="699" spans="1:28" ht="15" customHeight="1">
      <c r="A699" s="16">
        <v>698</v>
      </c>
      <c r="B699" s="8" t="s">
        <v>2718</v>
      </c>
      <c r="C699" s="14" t="str">
        <f>_xlfn.CONCAT(B699&amp;" "&amp;W699&amp;X699&amp;Y699&amp;Z699)</f>
        <v>Schilthorn Precision Engg Pvt Ltd 5021</v>
      </c>
      <c r="D699" s="17">
        <v>783</v>
      </c>
      <c r="E699" s="8" t="s">
        <v>42</v>
      </c>
      <c r="F699" s="8"/>
      <c r="G699" s="26">
        <v>43486</v>
      </c>
      <c r="H699" s="26"/>
      <c r="I699" s="26"/>
      <c r="J699" s="26">
        <v>43486</v>
      </c>
      <c r="K699" s="26">
        <v>44216</v>
      </c>
      <c r="L699" s="32">
        <v>3</v>
      </c>
      <c r="M699" s="13" t="s">
        <v>2719</v>
      </c>
      <c r="N699" s="13"/>
      <c r="O699" s="19">
        <v>9904103738</v>
      </c>
      <c r="P699" s="13" t="s">
        <v>2720</v>
      </c>
      <c r="Q699" s="13" t="s">
        <v>4808</v>
      </c>
      <c r="R699" s="13" t="s">
        <v>2721</v>
      </c>
      <c r="S699" s="13" t="s">
        <v>1172</v>
      </c>
      <c r="T699" s="13">
        <v>382729</v>
      </c>
      <c r="U699" s="13" t="s">
        <v>144</v>
      </c>
      <c r="V699" s="13" t="s">
        <v>23</v>
      </c>
      <c r="W699" s="193">
        <v>5</v>
      </c>
      <c r="X699" s="13">
        <v>0</v>
      </c>
      <c r="Y699" s="13">
        <v>2</v>
      </c>
      <c r="Z699" s="13">
        <v>1</v>
      </c>
      <c r="AA699" s="193" t="s">
        <v>4118</v>
      </c>
      <c r="AB699" s="2"/>
    </row>
    <row r="700" spans="1:28" ht="15" customHeight="1">
      <c r="A700" s="16">
        <v>699</v>
      </c>
      <c r="B700" s="8" t="s">
        <v>2722</v>
      </c>
      <c r="C700" s="14" t="str">
        <f>_xlfn.CONCAT(B700&amp;" "&amp;W700&amp;X700&amp;Y700&amp;Z700)</f>
        <v>FIEM Industries Limited 1114</v>
      </c>
      <c r="D700" s="17">
        <v>786</v>
      </c>
      <c r="E700" s="8" t="s">
        <v>42</v>
      </c>
      <c r="F700" s="8"/>
      <c r="G700" s="26">
        <v>43494</v>
      </c>
      <c r="H700" s="26"/>
      <c r="I700" s="26"/>
      <c r="J700" s="26">
        <v>44275</v>
      </c>
      <c r="K700" s="26">
        <v>44639</v>
      </c>
      <c r="L700" s="32">
        <v>3</v>
      </c>
      <c r="M700" s="13" t="s">
        <v>2723</v>
      </c>
      <c r="N700" s="13"/>
      <c r="O700" s="19" t="s">
        <v>2724</v>
      </c>
      <c r="P700" s="13" t="s">
        <v>2725</v>
      </c>
      <c r="Q700" s="13" t="s">
        <v>4809</v>
      </c>
      <c r="R700" s="13"/>
      <c r="S700" s="13" t="s">
        <v>1404</v>
      </c>
      <c r="T700" s="13">
        <v>301707</v>
      </c>
      <c r="U700" s="13" t="s">
        <v>74</v>
      </c>
      <c r="V700" s="13" t="s">
        <v>23</v>
      </c>
      <c r="W700" s="193">
        <v>1</v>
      </c>
      <c r="X700" s="13">
        <v>1</v>
      </c>
      <c r="Y700" s="13">
        <v>1</v>
      </c>
      <c r="Z700" s="13">
        <v>4</v>
      </c>
      <c r="AA700" s="193" t="s">
        <v>4118</v>
      </c>
      <c r="AB700" s="2"/>
    </row>
    <row r="701" spans="1:28" ht="15" customHeight="1">
      <c r="A701" s="16">
        <v>700</v>
      </c>
      <c r="B701" s="8" t="s">
        <v>2726</v>
      </c>
      <c r="C701" s="14" t="str">
        <f>_xlfn.CONCAT(B701&amp;" "&amp;W701&amp;X701&amp;Y701&amp;Z701)</f>
        <v>Shigan Quantum Technologies Pvt Ltd 1111</v>
      </c>
      <c r="D701" s="17">
        <v>782</v>
      </c>
      <c r="E701" s="8" t="s">
        <v>42</v>
      </c>
      <c r="F701" s="8"/>
      <c r="G701" s="26">
        <v>43498</v>
      </c>
      <c r="H701" s="26"/>
      <c r="I701" s="26"/>
      <c r="J701" s="26">
        <v>43498</v>
      </c>
      <c r="K701" s="26">
        <v>44228</v>
      </c>
      <c r="L701" s="32">
        <v>3</v>
      </c>
      <c r="M701" s="13" t="s">
        <v>2727</v>
      </c>
      <c r="N701" s="13"/>
      <c r="O701" s="19">
        <v>9813981239</v>
      </c>
      <c r="P701" s="13" t="s">
        <v>2728</v>
      </c>
      <c r="Q701" s="13" t="s">
        <v>4810</v>
      </c>
      <c r="R701" s="13"/>
      <c r="S701" s="13" t="s">
        <v>2599</v>
      </c>
      <c r="T701" s="13">
        <v>122505</v>
      </c>
      <c r="U701" s="13" t="s">
        <v>429</v>
      </c>
      <c r="V701" s="13" t="s">
        <v>23</v>
      </c>
      <c r="W701" s="193">
        <v>1</v>
      </c>
      <c r="X701" s="13">
        <v>1</v>
      </c>
      <c r="Y701" s="13">
        <v>1</v>
      </c>
      <c r="Z701" s="13">
        <v>1</v>
      </c>
      <c r="AA701" s="193" t="s">
        <v>4118</v>
      </c>
      <c r="AB701" s="2"/>
    </row>
    <row r="702" spans="1:28" ht="15" customHeight="1">
      <c r="A702" s="16">
        <v>701</v>
      </c>
      <c r="B702" s="8" t="s">
        <v>2729</v>
      </c>
      <c r="C702" s="14" t="str">
        <f>_xlfn.CONCAT(B702&amp;" "&amp;W702&amp;X702&amp;Y702&amp;Z702)</f>
        <v>Makar Tech 4131</v>
      </c>
      <c r="D702" s="17">
        <v>718</v>
      </c>
      <c r="E702" s="8" t="s">
        <v>90</v>
      </c>
      <c r="F702" s="8"/>
      <c r="G702" s="26">
        <v>43500</v>
      </c>
      <c r="H702" s="26"/>
      <c r="I702" s="26"/>
      <c r="J702" s="26">
        <v>43500</v>
      </c>
      <c r="K702" s="26">
        <v>43864</v>
      </c>
      <c r="L702" s="32">
        <v>3</v>
      </c>
      <c r="M702" s="13" t="s">
        <v>2730</v>
      </c>
      <c r="N702" s="13"/>
      <c r="O702" s="19" t="s">
        <v>2731</v>
      </c>
      <c r="P702" s="13" t="s">
        <v>2732</v>
      </c>
      <c r="Q702" s="13" t="s">
        <v>4811</v>
      </c>
      <c r="R702" s="13"/>
      <c r="S702" s="13" t="s">
        <v>101</v>
      </c>
      <c r="T702" s="13">
        <v>641105</v>
      </c>
      <c r="U702" s="13" t="s">
        <v>38</v>
      </c>
      <c r="V702" s="13" t="s">
        <v>23</v>
      </c>
      <c r="W702" s="193">
        <v>4</v>
      </c>
      <c r="X702" s="13">
        <v>1</v>
      </c>
      <c r="Y702" s="13">
        <v>3</v>
      </c>
      <c r="Z702" s="13">
        <v>1</v>
      </c>
      <c r="AA702" s="193" t="s">
        <v>4148</v>
      </c>
      <c r="AB702" s="2"/>
    </row>
    <row r="703" spans="1:28" ht="15" customHeight="1">
      <c r="A703" s="16">
        <v>702</v>
      </c>
      <c r="B703" s="8" t="s">
        <v>2733</v>
      </c>
      <c r="C703" s="14" t="str">
        <f>_xlfn.CONCAT(B703&amp;" "&amp;W703&amp;X703&amp;Y703&amp;Z703)</f>
        <v>Decon India Plastics Pvt Ltd 2421</v>
      </c>
      <c r="D703" s="17">
        <v>775</v>
      </c>
      <c r="E703" s="8" t="s">
        <v>2082</v>
      </c>
      <c r="F703" s="8"/>
      <c r="G703" s="26">
        <v>43509</v>
      </c>
      <c r="H703" s="26"/>
      <c r="I703" s="26"/>
      <c r="J703" s="26">
        <v>43509</v>
      </c>
      <c r="K703" s="26">
        <v>44604</v>
      </c>
      <c r="L703" s="32">
        <v>3</v>
      </c>
      <c r="M703" s="13" t="s">
        <v>2734</v>
      </c>
      <c r="N703" s="13" t="s">
        <v>2735</v>
      </c>
      <c r="O703" s="19">
        <v>8378960015</v>
      </c>
      <c r="P703" s="13" t="s">
        <v>2736</v>
      </c>
      <c r="Q703" s="13" t="s">
        <v>4812</v>
      </c>
      <c r="R703" s="13" t="s">
        <v>480</v>
      </c>
      <c r="S703" s="13" t="s">
        <v>215</v>
      </c>
      <c r="T703" s="13">
        <v>410501</v>
      </c>
      <c r="U703" s="13" t="s">
        <v>172</v>
      </c>
      <c r="V703" s="13" t="s">
        <v>23</v>
      </c>
      <c r="W703" s="193">
        <v>2</v>
      </c>
      <c r="X703" s="13">
        <v>4</v>
      </c>
      <c r="Y703" s="13">
        <v>2</v>
      </c>
      <c r="Z703" s="13">
        <v>1</v>
      </c>
      <c r="AA703" s="193" t="s">
        <v>4151</v>
      </c>
      <c r="AB703" s="2"/>
    </row>
    <row r="704" spans="1:28" ht="15" customHeight="1">
      <c r="A704" s="16">
        <v>703</v>
      </c>
      <c r="B704" s="8" t="s">
        <v>2066</v>
      </c>
      <c r="C704" s="14" t="str">
        <f>_xlfn.CONCAT(B704&amp;" "&amp;W704&amp;X704&amp;Y704&amp;Z704)</f>
        <v>Panasonic Life Solns India Pvt Ltd (Anchor Electricals Pvt Ltd) 1042</v>
      </c>
      <c r="D704" s="17">
        <v>766</v>
      </c>
      <c r="E704" s="8" t="s">
        <v>42</v>
      </c>
      <c r="F704" s="8"/>
      <c r="G704" s="23">
        <v>43509</v>
      </c>
      <c r="H704" s="23"/>
      <c r="I704" s="23"/>
      <c r="J704" s="26">
        <v>45817</v>
      </c>
      <c r="K704" s="26">
        <v>46181</v>
      </c>
      <c r="L704" s="32">
        <v>3</v>
      </c>
      <c r="M704" s="13" t="s">
        <v>2737</v>
      </c>
      <c r="N704" s="13"/>
      <c r="O704" s="19" t="s">
        <v>2738</v>
      </c>
      <c r="P704" s="13" t="s">
        <v>833</v>
      </c>
      <c r="Q704" s="13" t="s">
        <v>4813</v>
      </c>
      <c r="R704" s="13" t="s">
        <v>834</v>
      </c>
      <c r="S704" s="13" t="s">
        <v>835</v>
      </c>
      <c r="T704" s="13">
        <v>249403</v>
      </c>
      <c r="U704" s="13" t="s">
        <v>836</v>
      </c>
      <c r="V704" s="13" t="s">
        <v>23</v>
      </c>
      <c r="W704" s="193">
        <v>1</v>
      </c>
      <c r="X704" s="13">
        <v>0</v>
      </c>
      <c r="Y704" s="13">
        <v>4</v>
      </c>
      <c r="Z704" s="13">
        <v>2</v>
      </c>
      <c r="AA704" s="193" t="s">
        <v>4118</v>
      </c>
      <c r="AB704" s="2"/>
    </row>
    <row r="705" spans="1:28" ht="15" customHeight="1">
      <c r="A705" s="16">
        <v>704</v>
      </c>
      <c r="B705" s="8" t="s">
        <v>2739</v>
      </c>
      <c r="C705" s="14" t="str">
        <f>_xlfn.CONCAT(B705&amp;" "&amp;W705&amp;X705&amp;Y705&amp;Z705)</f>
        <v>Magellan Aerospace (Tumkur) Pvt Ltd (Triveni Aeronautics Pvt Ltd) 8052</v>
      </c>
      <c r="D705" s="17">
        <v>776</v>
      </c>
      <c r="E705" s="8" t="s">
        <v>2082</v>
      </c>
      <c r="F705" s="8"/>
      <c r="G705" s="23">
        <v>43875</v>
      </c>
      <c r="H705" s="23"/>
      <c r="I705" s="23"/>
      <c r="J705" s="26">
        <v>44581</v>
      </c>
      <c r="K705" s="26">
        <v>44945</v>
      </c>
      <c r="L705" s="32">
        <v>3</v>
      </c>
      <c r="M705" s="13" t="s">
        <v>2740</v>
      </c>
      <c r="N705" s="13" t="s">
        <v>1161</v>
      </c>
      <c r="O705" s="19">
        <v>7022276716</v>
      </c>
      <c r="P705" s="13" t="s">
        <v>2267</v>
      </c>
      <c r="Q705" s="13" t="s">
        <v>4814</v>
      </c>
      <c r="R705" s="13"/>
      <c r="S705" s="13" t="s">
        <v>1120</v>
      </c>
      <c r="T705" s="13">
        <v>572106</v>
      </c>
      <c r="U705" s="13" t="s">
        <v>22</v>
      </c>
      <c r="V705" s="13" t="s">
        <v>23</v>
      </c>
      <c r="W705" s="193">
        <v>8</v>
      </c>
      <c r="X705" s="13">
        <v>0</v>
      </c>
      <c r="Y705" s="13">
        <v>5</v>
      </c>
      <c r="Z705" s="13">
        <v>2</v>
      </c>
      <c r="AA705" s="193" t="s">
        <v>4118</v>
      </c>
      <c r="AB705" s="2"/>
    </row>
    <row r="706" spans="1:28" ht="15" customHeight="1">
      <c r="A706" s="16">
        <v>705</v>
      </c>
      <c r="B706" s="8" t="s">
        <v>2741</v>
      </c>
      <c r="C706" s="14" t="str">
        <f>_xlfn.CONCAT(B706&amp;" "&amp;W706&amp;X706&amp;Y706&amp;Z706)</f>
        <v>Standex Electronics India Pvt Ltd 4031</v>
      </c>
      <c r="D706" s="17">
        <v>787</v>
      </c>
      <c r="E706" s="8" t="s">
        <v>42</v>
      </c>
      <c r="F706" s="8"/>
      <c r="G706" s="23">
        <v>43516</v>
      </c>
      <c r="H706" s="23"/>
      <c r="I706" s="23"/>
      <c r="J706" s="23">
        <v>43516</v>
      </c>
      <c r="K706" s="26">
        <v>43880</v>
      </c>
      <c r="L706" s="32">
        <v>3</v>
      </c>
      <c r="M706" s="13" t="s">
        <v>2742</v>
      </c>
      <c r="N706" s="13"/>
      <c r="O706" s="19" t="s">
        <v>2743</v>
      </c>
      <c r="P706" s="13" t="s">
        <v>2744</v>
      </c>
      <c r="Q706" s="13" t="s">
        <v>4815</v>
      </c>
      <c r="R706" s="13" t="s">
        <v>2534</v>
      </c>
      <c r="S706" s="13" t="s">
        <v>354</v>
      </c>
      <c r="T706" s="13">
        <v>631604</v>
      </c>
      <c r="U706" s="13" t="s">
        <v>38</v>
      </c>
      <c r="V706" s="8" t="s">
        <v>23</v>
      </c>
      <c r="W706" s="193">
        <v>4</v>
      </c>
      <c r="X706" s="8">
        <v>0</v>
      </c>
      <c r="Y706" s="8">
        <v>3</v>
      </c>
      <c r="Z706" s="8">
        <v>1</v>
      </c>
      <c r="AA706" s="193" t="s">
        <v>4148</v>
      </c>
      <c r="AB706" s="2"/>
    </row>
    <row r="707" spans="1:28" ht="15" customHeight="1">
      <c r="A707" s="16">
        <v>706</v>
      </c>
      <c r="B707" s="8" t="s">
        <v>2745</v>
      </c>
      <c r="C707" s="14" t="str">
        <f>_xlfn.CONCAT(B707&amp;" "&amp;W707&amp;X707&amp;Y707&amp;Z707)</f>
        <v>S and P Enterprises 4031</v>
      </c>
      <c r="D707" s="17">
        <v>717</v>
      </c>
      <c r="E707" s="8" t="s">
        <v>90</v>
      </c>
      <c r="F707" s="8"/>
      <c r="G707" s="23">
        <v>43538</v>
      </c>
      <c r="H707" s="23"/>
      <c r="I707" s="23"/>
      <c r="J707" s="26">
        <v>43973</v>
      </c>
      <c r="K707" s="26">
        <v>44337</v>
      </c>
      <c r="L707" s="32">
        <v>3</v>
      </c>
      <c r="M707" s="13"/>
      <c r="N707" s="13"/>
      <c r="O707" s="19" t="s">
        <v>2746</v>
      </c>
      <c r="P707" s="13" t="s">
        <v>2747</v>
      </c>
      <c r="Q707" s="13" t="s">
        <v>4816</v>
      </c>
      <c r="R707" s="13" t="s">
        <v>2748</v>
      </c>
      <c r="S707" s="13" t="s">
        <v>354</v>
      </c>
      <c r="T707" s="13" t="s">
        <v>2749</v>
      </c>
      <c r="U707" s="13" t="s">
        <v>38</v>
      </c>
      <c r="V707" s="8" t="s">
        <v>23</v>
      </c>
      <c r="W707" s="193">
        <v>4</v>
      </c>
      <c r="X707" s="8">
        <v>0</v>
      </c>
      <c r="Y707" s="8">
        <v>3</v>
      </c>
      <c r="Z707" s="8">
        <v>1</v>
      </c>
      <c r="AA707" s="193" t="s">
        <v>4148</v>
      </c>
      <c r="AB707" s="2"/>
    </row>
    <row r="708" spans="1:28" ht="15" customHeight="1">
      <c r="A708" s="16">
        <v>707</v>
      </c>
      <c r="B708" s="8" t="s">
        <v>2139</v>
      </c>
      <c r="C708" s="14" t="str">
        <f>_xlfn.CONCAT(B708&amp;" "&amp;W708&amp;X708&amp;Y708&amp;Z708)</f>
        <v>Terminal Technologies P Ltd 2113</v>
      </c>
      <c r="D708" s="17">
        <v>799</v>
      </c>
      <c r="E708" s="8" t="s">
        <v>42</v>
      </c>
      <c r="F708" s="8"/>
      <c r="G708" s="26">
        <v>43542</v>
      </c>
      <c r="H708" s="26"/>
      <c r="I708" s="26"/>
      <c r="J708" s="26">
        <v>44548</v>
      </c>
      <c r="K708" s="26">
        <v>44912</v>
      </c>
      <c r="L708" s="32">
        <v>3</v>
      </c>
      <c r="M708" s="13"/>
      <c r="N708" s="13"/>
      <c r="O708" s="19"/>
      <c r="P708" s="13" t="s">
        <v>2141</v>
      </c>
      <c r="Q708" s="13" t="s">
        <v>4817</v>
      </c>
      <c r="R708" s="13" t="s">
        <v>2557</v>
      </c>
      <c r="S708" s="13" t="s">
        <v>178</v>
      </c>
      <c r="T708" s="13">
        <v>401208</v>
      </c>
      <c r="U708" s="13" t="s">
        <v>172</v>
      </c>
      <c r="V708" s="8" t="s">
        <v>23</v>
      </c>
      <c r="W708" s="193">
        <v>2</v>
      </c>
      <c r="X708" s="8">
        <v>1</v>
      </c>
      <c r="Y708" s="8">
        <v>1</v>
      </c>
      <c r="Z708" s="8">
        <v>3</v>
      </c>
      <c r="AA708" s="193" t="s">
        <v>4118</v>
      </c>
      <c r="AB708" s="2"/>
    </row>
    <row r="709" spans="1:28" ht="15" customHeight="1">
      <c r="A709" s="16">
        <v>708</v>
      </c>
      <c r="B709" s="8" t="s">
        <v>2750</v>
      </c>
      <c r="C709" s="14" t="str">
        <f>_xlfn.CONCAT(B709&amp;" "&amp;W709&amp;X709&amp;Y709&amp;Z709)</f>
        <v>A.G. Industries 8013</v>
      </c>
      <c r="D709" s="17">
        <v>800</v>
      </c>
      <c r="E709" s="8" t="s">
        <v>42</v>
      </c>
      <c r="F709" s="8"/>
      <c r="G709" s="23">
        <v>43545</v>
      </c>
      <c r="H709" s="23"/>
      <c r="I709" s="23"/>
      <c r="J709" s="26">
        <v>44363</v>
      </c>
      <c r="K709" s="26">
        <v>44727</v>
      </c>
      <c r="L709" s="32">
        <v>3</v>
      </c>
      <c r="M709" s="13" t="s">
        <v>2751</v>
      </c>
      <c r="N709" s="13" t="s">
        <v>254</v>
      </c>
      <c r="O709" s="19">
        <v>9886748330</v>
      </c>
      <c r="P709" s="13" t="s">
        <v>2752</v>
      </c>
      <c r="Q709" s="13" t="s">
        <v>4818</v>
      </c>
      <c r="R709" s="13" t="s">
        <v>2753</v>
      </c>
      <c r="S709" s="13" t="s">
        <v>21</v>
      </c>
      <c r="T709" s="13">
        <v>560027</v>
      </c>
      <c r="U709" s="13" t="s">
        <v>22</v>
      </c>
      <c r="V709" s="8" t="s">
        <v>23</v>
      </c>
      <c r="W709" s="193">
        <v>8</v>
      </c>
      <c r="X709" s="8">
        <v>0</v>
      </c>
      <c r="Y709" s="8">
        <v>1</v>
      </c>
      <c r="Z709" s="8">
        <v>3</v>
      </c>
      <c r="AA709" s="193" t="s">
        <v>4118</v>
      </c>
      <c r="AB709" s="2"/>
    </row>
    <row r="710" spans="1:28" ht="15" customHeight="1">
      <c r="A710" s="16">
        <v>709</v>
      </c>
      <c r="B710" s="8" t="s">
        <v>2754</v>
      </c>
      <c r="C710" s="14" t="str">
        <f>_xlfn.CONCAT(B710&amp;" "&amp;W710&amp;X710&amp;Y710&amp;Z710)</f>
        <v>Motherson Techno Tools Limited 1151</v>
      </c>
      <c r="D710" s="17">
        <v>801</v>
      </c>
      <c r="E710" s="8" t="s">
        <v>42</v>
      </c>
      <c r="F710" s="8"/>
      <c r="G710" s="26">
        <v>43551</v>
      </c>
      <c r="H710" s="26"/>
      <c r="I710" s="26"/>
      <c r="J710" s="26">
        <v>44378</v>
      </c>
      <c r="K710" s="26">
        <v>44742</v>
      </c>
      <c r="L710" s="32">
        <v>3</v>
      </c>
      <c r="M710" s="13"/>
      <c r="N710" s="13"/>
      <c r="O710" s="19" t="s">
        <v>2755</v>
      </c>
      <c r="P710" s="13" t="s">
        <v>2756</v>
      </c>
      <c r="Q710" s="13" t="s">
        <v>4819</v>
      </c>
      <c r="R710" s="13"/>
      <c r="S710" s="13" t="s">
        <v>185</v>
      </c>
      <c r="T710" s="13">
        <v>201301</v>
      </c>
      <c r="U710" s="13" t="s">
        <v>184</v>
      </c>
      <c r="V710" s="8" t="s">
        <v>23</v>
      </c>
      <c r="W710" s="193">
        <v>1</v>
      </c>
      <c r="X710" s="8">
        <v>1</v>
      </c>
      <c r="Y710" s="8">
        <v>5</v>
      </c>
      <c r="Z710" s="8">
        <v>1</v>
      </c>
      <c r="AA710" s="193" t="s">
        <v>4118</v>
      </c>
      <c r="AB710" s="2"/>
    </row>
    <row r="711" spans="1:28" ht="15" customHeight="1">
      <c r="A711" s="16">
        <v>710</v>
      </c>
      <c r="B711" s="8" t="s">
        <v>2757</v>
      </c>
      <c r="C711" s="14" t="str">
        <f>_xlfn.CONCAT(B711&amp;" "&amp;W711&amp;X711&amp;Y711&amp;Z711)</f>
        <v>Varroc Engg Limited 2421</v>
      </c>
      <c r="D711" s="17">
        <v>779</v>
      </c>
      <c r="E711" s="8" t="s">
        <v>2082</v>
      </c>
      <c r="F711" s="8"/>
      <c r="G711" s="26">
        <v>43560</v>
      </c>
      <c r="H711" s="26"/>
      <c r="I711" s="26"/>
      <c r="J711" s="26">
        <v>43560</v>
      </c>
      <c r="K711" s="26">
        <v>44290</v>
      </c>
      <c r="L711" s="32">
        <v>3</v>
      </c>
      <c r="M711" s="13"/>
      <c r="N711" s="13"/>
      <c r="O711" s="19" t="s">
        <v>2758</v>
      </c>
      <c r="P711" s="13" t="s">
        <v>2759</v>
      </c>
      <c r="Q711" s="13" t="s">
        <v>4820</v>
      </c>
      <c r="R711" s="13" t="s">
        <v>2760</v>
      </c>
      <c r="S711" s="13" t="s">
        <v>215</v>
      </c>
      <c r="T711" s="13">
        <v>411033</v>
      </c>
      <c r="U711" s="13" t="s">
        <v>172</v>
      </c>
      <c r="V711" s="8" t="s">
        <v>23</v>
      </c>
      <c r="W711" s="193">
        <v>2</v>
      </c>
      <c r="X711" s="8">
        <v>4</v>
      </c>
      <c r="Y711" s="8">
        <v>2</v>
      </c>
      <c r="Z711" s="8">
        <v>1</v>
      </c>
      <c r="AA711" s="193" t="s">
        <v>4151</v>
      </c>
      <c r="AB711" s="2"/>
    </row>
    <row r="712" spans="1:28" ht="15" customHeight="1">
      <c r="A712" s="16">
        <v>711</v>
      </c>
      <c r="B712" s="8" t="s">
        <v>2449</v>
      </c>
      <c r="C712" s="14" t="str">
        <f>_xlfn.CONCAT(B712&amp;" "&amp;W712&amp;X712&amp;Y712&amp;Z712)</f>
        <v xml:space="preserve">Mindarika Pvt Ltd </v>
      </c>
      <c r="D712" s="17">
        <v>785</v>
      </c>
      <c r="E712" s="8" t="s">
        <v>42</v>
      </c>
      <c r="F712" s="8"/>
      <c r="G712" s="23">
        <v>43560</v>
      </c>
      <c r="H712" s="23"/>
      <c r="I712" s="23"/>
      <c r="J712" s="26">
        <v>44322</v>
      </c>
      <c r="K712" s="26">
        <v>44686</v>
      </c>
      <c r="L712" s="32">
        <v>3</v>
      </c>
      <c r="M712" s="13"/>
      <c r="N712" s="13"/>
      <c r="O712" s="19"/>
      <c r="P712" s="13" t="s">
        <v>2424</v>
      </c>
      <c r="Q712" s="13" t="s">
        <v>4821</v>
      </c>
      <c r="R712" s="13"/>
      <c r="S712" s="13" t="s">
        <v>215</v>
      </c>
      <c r="T712" s="13">
        <v>410501</v>
      </c>
      <c r="U712" s="13" t="s">
        <v>172</v>
      </c>
      <c r="V712" s="8" t="s">
        <v>23</v>
      </c>
      <c r="W712" s="193"/>
      <c r="X712" s="8"/>
      <c r="Y712" s="8"/>
      <c r="Z712" s="8"/>
      <c r="AA712" s="193" t="s">
        <v>4151</v>
      </c>
      <c r="AB712" s="2"/>
    </row>
    <row r="713" spans="1:28" ht="15" customHeight="1">
      <c r="A713" s="16">
        <v>712</v>
      </c>
      <c r="B713" s="8" t="s">
        <v>2761</v>
      </c>
      <c r="C713" s="14" t="str">
        <f>_xlfn.CONCAT(B713&amp;" "&amp;W713&amp;X713&amp;Y713&amp;Z713)</f>
        <v>Byraveshwara Engg Enterprises 8041</v>
      </c>
      <c r="D713" s="17">
        <v>784</v>
      </c>
      <c r="E713" s="8" t="s">
        <v>42</v>
      </c>
      <c r="F713" s="8"/>
      <c r="G713" s="23">
        <v>43568</v>
      </c>
      <c r="H713" s="23"/>
      <c r="I713" s="23"/>
      <c r="J713" s="26">
        <v>44380</v>
      </c>
      <c r="K713" s="26">
        <v>44744</v>
      </c>
      <c r="L713" s="32">
        <v>3</v>
      </c>
      <c r="M713" s="13" t="s">
        <v>2304</v>
      </c>
      <c r="N713" s="13"/>
      <c r="O713" s="19" t="s">
        <v>2762</v>
      </c>
      <c r="P713" s="13" t="s">
        <v>2763</v>
      </c>
      <c r="Q713" s="13" t="s">
        <v>4822</v>
      </c>
      <c r="R713" s="13" t="s">
        <v>2764</v>
      </c>
      <c r="S713" s="13" t="s">
        <v>21</v>
      </c>
      <c r="T713" s="13">
        <v>560091</v>
      </c>
      <c r="U713" s="13" t="s">
        <v>22</v>
      </c>
      <c r="V713" s="8" t="s">
        <v>23</v>
      </c>
      <c r="W713" s="193">
        <v>8</v>
      </c>
      <c r="X713" s="8">
        <v>0</v>
      </c>
      <c r="Y713" s="8">
        <v>4</v>
      </c>
      <c r="Z713" s="8">
        <v>1</v>
      </c>
      <c r="AA713" s="193" t="s">
        <v>4118</v>
      </c>
      <c r="AB713" s="2"/>
    </row>
    <row r="714" spans="1:28" ht="15" customHeight="1">
      <c r="A714" s="16">
        <v>713</v>
      </c>
      <c r="B714" s="8" t="s">
        <v>2765</v>
      </c>
      <c r="C714" s="14" t="str">
        <f>_xlfn.CONCAT(B714&amp;" "&amp;W714&amp;X714&amp;Y714&amp;Z714)</f>
        <v>Naresh Rubber Udyog 1161</v>
      </c>
      <c r="D714" s="17">
        <v>802</v>
      </c>
      <c r="E714" s="8" t="s">
        <v>42</v>
      </c>
      <c r="F714" s="8"/>
      <c r="G714" s="26">
        <v>43568</v>
      </c>
      <c r="H714" s="26"/>
      <c r="I714" s="26"/>
      <c r="J714" s="26">
        <v>45327</v>
      </c>
      <c r="K714" s="26">
        <v>45692</v>
      </c>
      <c r="L714" s="32">
        <v>3</v>
      </c>
      <c r="M714" s="13"/>
      <c r="N714" s="13"/>
      <c r="O714" s="19" t="s">
        <v>2766</v>
      </c>
      <c r="P714" s="13" t="s">
        <v>2375</v>
      </c>
      <c r="Q714" s="13" t="s">
        <v>4823</v>
      </c>
      <c r="R714" s="13"/>
      <c r="S714" s="13" t="s">
        <v>454</v>
      </c>
      <c r="T714" s="13">
        <v>121001</v>
      </c>
      <c r="U714" s="13" t="s">
        <v>429</v>
      </c>
      <c r="V714" s="8" t="s">
        <v>23</v>
      </c>
      <c r="W714" s="193">
        <v>1</v>
      </c>
      <c r="X714" s="8">
        <v>1</v>
      </c>
      <c r="Y714" s="8">
        <v>6</v>
      </c>
      <c r="Z714" s="8">
        <v>1</v>
      </c>
      <c r="AA714" s="193" t="s">
        <v>4118</v>
      </c>
      <c r="AB714" s="2"/>
    </row>
    <row r="715" spans="1:28" ht="15" customHeight="1">
      <c r="A715" s="16">
        <v>714</v>
      </c>
      <c r="B715" s="8" t="s">
        <v>2768</v>
      </c>
      <c r="C715" s="14" t="str">
        <f>_xlfn.CONCAT(B715&amp;" "&amp;W715&amp;X715&amp;Y715&amp;Z715)</f>
        <v>Microtech Polymers 8054</v>
      </c>
      <c r="D715" s="17">
        <v>720</v>
      </c>
      <c r="E715" s="8" t="s">
        <v>90</v>
      </c>
      <c r="F715" s="8"/>
      <c r="G715" s="23">
        <v>43581</v>
      </c>
      <c r="H715" s="23"/>
      <c r="I715" s="23"/>
      <c r="J715" s="26">
        <v>44630</v>
      </c>
      <c r="K715" s="26">
        <v>44994</v>
      </c>
      <c r="L715" s="32">
        <v>3</v>
      </c>
      <c r="M715" s="13" t="s">
        <v>2769</v>
      </c>
      <c r="N715" s="13"/>
      <c r="O715" s="19"/>
      <c r="P715" s="13" t="s">
        <v>2770</v>
      </c>
      <c r="Q715" s="13" t="s">
        <v>4824</v>
      </c>
      <c r="R715" s="13" t="s">
        <v>2771</v>
      </c>
      <c r="S715" s="13" t="s">
        <v>101</v>
      </c>
      <c r="T715" s="13">
        <v>641006</v>
      </c>
      <c r="U715" s="13" t="s">
        <v>38</v>
      </c>
      <c r="V715" s="8" t="s">
        <v>23</v>
      </c>
      <c r="W715" s="193">
        <v>8</v>
      </c>
      <c r="X715" s="8">
        <v>0</v>
      </c>
      <c r="Y715" s="8">
        <v>5</v>
      </c>
      <c r="Z715" s="8">
        <v>4</v>
      </c>
      <c r="AA715" s="193" t="s">
        <v>4118</v>
      </c>
      <c r="AB715" s="2"/>
    </row>
    <row r="716" spans="1:28" ht="15" customHeight="1">
      <c r="A716" s="16">
        <v>715</v>
      </c>
      <c r="B716" s="8" t="s">
        <v>2772</v>
      </c>
      <c r="C716" s="14" t="str">
        <f>_xlfn.CONCAT(B716&amp;" "&amp;W716&amp;X716&amp;Y716&amp;Z716)</f>
        <v>Yagachi Technologies Pvt Ltd 8053</v>
      </c>
      <c r="D716" s="17">
        <v>803</v>
      </c>
      <c r="E716" s="8" t="s">
        <v>42</v>
      </c>
      <c r="F716" s="8"/>
      <c r="G716" s="23">
        <v>43592</v>
      </c>
      <c r="H716" s="23"/>
      <c r="I716" s="23"/>
      <c r="J716" s="26">
        <v>44394</v>
      </c>
      <c r="K716" s="26">
        <v>44758</v>
      </c>
      <c r="L716" s="32">
        <v>3</v>
      </c>
      <c r="M716" s="13"/>
      <c r="N716" s="13"/>
      <c r="O716" s="19" t="s">
        <v>2773</v>
      </c>
      <c r="P716" s="13" t="s">
        <v>2774</v>
      </c>
      <c r="Q716" s="13" t="s">
        <v>4825</v>
      </c>
      <c r="R716" s="13" t="s">
        <v>2775</v>
      </c>
      <c r="S716" s="13" t="s">
        <v>2776</v>
      </c>
      <c r="T716" s="13">
        <v>573217</v>
      </c>
      <c r="U716" s="13" t="s">
        <v>22</v>
      </c>
      <c r="V716" s="8" t="s">
        <v>23</v>
      </c>
      <c r="W716" s="193">
        <v>8</v>
      </c>
      <c r="X716" s="8">
        <v>0</v>
      </c>
      <c r="Y716" s="8">
        <v>5</v>
      </c>
      <c r="Z716" s="8">
        <v>3</v>
      </c>
      <c r="AA716" s="193" t="s">
        <v>4118</v>
      </c>
      <c r="AB716" s="2"/>
    </row>
    <row r="717" spans="1:28" ht="15" customHeight="1">
      <c r="A717" s="16">
        <v>716</v>
      </c>
      <c r="B717" s="8" t="s">
        <v>2139</v>
      </c>
      <c r="C717" s="14" t="str">
        <f>_xlfn.CONCAT(B717&amp;" "&amp;W717&amp;X717&amp;Y717&amp;Z717)</f>
        <v>Terminal Technologies P Ltd 2421</v>
      </c>
      <c r="D717" s="17">
        <v>805</v>
      </c>
      <c r="E717" s="8" t="s">
        <v>42</v>
      </c>
      <c r="F717" s="8"/>
      <c r="G717" s="26">
        <v>43595</v>
      </c>
      <c r="H717" s="26"/>
      <c r="I717" s="26"/>
      <c r="J717" s="26">
        <v>45837</v>
      </c>
      <c r="K717" s="26">
        <v>46201</v>
      </c>
      <c r="L717" s="32">
        <v>3</v>
      </c>
      <c r="M717" s="13"/>
      <c r="N717" s="13"/>
      <c r="O717" s="19" t="s">
        <v>2777</v>
      </c>
      <c r="P717" s="13" t="s">
        <v>2778</v>
      </c>
      <c r="Q717" s="13" t="s">
        <v>4826</v>
      </c>
      <c r="R717" s="13" t="s">
        <v>480</v>
      </c>
      <c r="S717" s="13" t="s">
        <v>215</v>
      </c>
      <c r="T717" s="13">
        <v>410501</v>
      </c>
      <c r="U717" s="13" t="s">
        <v>172</v>
      </c>
      <c r="V717" s="8" t="s">
        <v>23</v>
      </c>
      <c r="W717" s="193">
        <v>2</v>
      </c>
      <c r="X717" s="8">
        <v>4</v>
      </c>
      <c r="Y717" s="8">
        <v>2</v>
      </c>
      <c r="Z717" s="8">
        <v>1</v>
      </c>
      <c r="AA717" s="193" t="s">
        <v>4151</v>
      </c>
      <c r="AB717" s="2"/>
    </row>
    <row r="718" spans="1:28" ht="15" customHeight="1">
      <c r="A718" s="16">
        <v>717</v>
      </c>
      <c r="B718" s="8" t="s">
        <v>2779</v>
      </c>
      <c r="C718" s="14" t="str">
        <f>_xlfn.CONCAT(B718&amp;" "&amp;W718&amp;X718&amp;Y718&amp;Z718)</f>
        <v>Micro Form Automation 4131</v>
      </c>
      <c r="D718" s="17">
        <v>835</v>
      </c>
      <c r="E718" s="8" t="s">
        <v>90</v>
      </c>
      <c r="F718" s="8"/>
      <c r="G718" s="26">
        <v>43598</v>
      </c>
      <c r="H718" s="26"/>
      <c r="I718" s="26"/>
      <c r="J718" s="26">
        <v>43598</v>
      </c>
      <c r="K718" s="26">
        <v>43963</v>
      </c>
      <c r="L718" s="32">
        <v>3</v>
      </c>
      <c r="M718" s="13" t="s">
        <v>2780</v>
      </c>
      <c r="N718" s="13" t="s">
        <v>254</v>
      </c>
      <c r="O718" s="19" t="s">
        <v>2781</v>
      </c>
      <c r="P718" s="13" t="s">
        <v>2782</v>
      </c>
      <c r="Q718" s="13" t="s">
        <v>4827</v>
      </c>
      <c r="R718" s="13"/>
      <c r="S718" s="13" t="s">
        <v>101</v>
      </c>
      <c r="T718" s="13">
        <v>641029</v>
      </c>
      <c r="U718" s="13" t="s">
        <v>38</v>
      </c>
      <c r="V718" s="8" t="s">
        <v>23</v>
      </c>
      <c r="W718" s="193">
        <v>4</v>
      </c>
      <c r="X718" s="8">
        <v>1</v>
      </c>
      <c r="Y718" s="8">
        <v>3</v>
      </c>
      <c r="Z718" s="8">
        <v>1</v>
      </c>
      <c r="AA718" s="193" t="s">
        <v>4148</v>
      </c>
      <c r="AB718" s="2"/>
    </row>
    <row r="719" spans="1:28" ht="15" customHeight="1">
      <c r="A719" s="16">
        <v>718</v>
      </c>
      <c r="B719" s="8" t="s">
        <v>2783</v>
      </c>
      <c r="C719" s="14" t="str">
        <f>_xlfn.CONCAT(B719&amp;" "&amp;W719&amp;X719&amp;Y719&amp;Z719)</f>
        <v>Oleo Buffers India Pvt Ltd 8081</v>
      </c>
      <c r="D719" s="17">
        <v>836</v>
      </c>
      <c r="E719" s="8" t="s">
        <v>90</v>
      </c>
      <c r="F719" s="8"/>
      <c r="G719" s="26">
        <v>43598</v>
      </c>
      <c r="H719" s="26"/>
      <c r="I719" s="26"/>
      <c r="J719" s="26">
        <v>43598</v>
      </c>
      <c r="K719" s="26">
        <v>43963</v>
      </c>
      <c r="L719" s="32">
        <v>3</v>
      </c>
      <c r="M719" s="13" t="s">
        <v>2784</v>
      </c>
      <c r="N719" s="13"/>
      <c r="O719" s="19" t="s">
        <v>2785</v>
      </c>
      <c r="P719" s="13" t="s">
        <v>2786</v>
      </c>
      <c r="Q719" s="13" t="s">
        <v>4828</v>
      </c>
      <c r="R719" s="13" t="s">
        <v>2787</v>
      </c>
      <c r="S719" s="13" t="s">
        <v>21</v>
      </c>
      <c r="T719" s="13">
        <v>562149</v>
      </c>
      <c r="U719" s="13" t="s">
        <v>22</v>
      </c>
      <c r="V719" s="8" t="s">
        <v>23</v>
      </c>
      <c r="W719" s="193">
        <v>8</v>
      </c>
      <c r="X719" s="8">
        <v>0</v>
      </c>
      <c r="Y719" s="8">
        <v>8</v>
      </c>
      <c r="Z719" s="8">
        <v>1</v>
      </c>
      <c r="AA719" s="193" t="s">
        <v>4118</v>
      </c>
      <c r="AB719" s="2"/>
    </row>
    <row r="720" spans="1:28" ht="15" customHeight="1">
      <c r="A720" s="16">
        <v>719</v>
      </c>
      <c r="B720" s="8" t="s">
        <v>2788</v>
      </c>
      <c r="C720" s="14" t="str">
        <f>_xlfn.CONCAT(B720&amp;" "&amp;W720&amp;X720&amp;Y720&amp;Z720)</f>
        <v>MC Industrial Tools 8021</v>
      </c>
      <c r="D720" s="17">
        <v>804</v>
      </c>
      <c r="E720" s="8" t="s">
        <v>42</v>
      </c>
      <c r="F720" s="8"/>
      <c r="G720" s="26">
        <v>43605</v>
      </c>
      <c r="H720" s="26"/>
      <c r="I720" s="26"/>
      <c r="J720" s="26">
        <v>43605</v>
      </c>
      <c r="K720" s="26">
        <v>43970</v>
      </c>
      <c r="L720" s="32">
        <v>3</v>
      </c>
      <c r="M720" s="13" t="s">
        <v>2789</v>
      </c>
      <c r="N720" s="13"/>
      <c r="O720" s="19">
        <v>9980581151</v>
      </c>
      <c r="P720" s="13" t="s">
        <v>2790</v>
      </c>
      <c r="Q720" s="13" t="s">
        <v>4829</v>
      </c>
      <c r="R720" s="13" t="s">
        <v>2791</v>
      </c>
      <c r="S720" s="13" t="s">
        <v>21</v>
      </c>
      <c r="T720" s="13">
        <v>560105</v>
      </c>
      <c r="U720" s="13" t="s">
        <v>22</v>
      </c>
      <c r="V720" s="8" t="s">
        <v>23</v>
      </c>
      <c r="W720" s="193">
        <v>8</v>
      </c>
      <c r="X720" s="8">
        <v>0</v>
      </c>
      <c r="Y720" s="8">
        <v>2</v>
      </c>
      <c r="Z720" s="8">
        <v>1</v>
      </c>
      <c r="AA720" s="193" t="s">
        <v>4118</v>
      </c>
      <c r="AB720" s="2"/>
    </row>
    <row r="721" spans="1:28" ht="15" customHeight="1">
      <c r="A721" s="16">
        <v>720</v>
      </c>
      <c r="B721" s="8" t="s">
        <v>2792</v>
      </c>
      <c r="C721" s="14" t="str">
        <f>_xlfn.CONCAT(B721&amp;" "&amp;W721&amp;X721&amp;Y721&amp;Z721)</f>
        <v>Mitsuba India Pvt Ltd (Mitsuba Sical India Pvt Ltd) 4052</v>
      </c>
      <c r="D721" s="17">
        <v>834</v>
      </c>
      <c r="E721" s="8" t="s">
        <v>90</v>
      </c>
      <c r="F721" s="8"/>
      <c r="G721" s="26">
        <v>43605</v>
      </c>
      <c r="H721" s="26"/>
      <c r="I721" s="26"/>
      <c r="J721" s="26">
        <v>44323</v>
      </c>
      <c r="K721" s="26">
        <v>44687</v>
      </c>
      <c r="L721" s="32">
        <v>3</v>
      </c>
      <c r="M721" s="13" t="s">
        <v>2793</v>
      </c>
      <c r="N721" s="13"/>
      <c r="O721" s="19" t="s">
        <v>2794</v>
      </c>
      <c r="P721" s="13" t="s">
        <v>2795</v>
      </c>
      <c r="Q721" s="13" t="s">
        <v>4830</v>
      </c>
      <c r="R721" s="13"/>
      <c r="S721" s="13" t="s">
        <v>37</v>
      </c>
      <c r="T721" s="13">
        <v>601201</v>
      </c>
      <c r="U721" s="13" t="s">
        <v>38</v>
      </c>
      <c r="V721" s="8" t="s">
        <v>23</v>
      </c>
      <c r="W721" s="193">
        <v>4</v>
      </c>
      <c r="X721" s="8">
        <v>0</v>
      </c>
      <c r="Y721" s="8">
        <v>5</v>
      </c>
      <c r="Z721" s="8">
        <v>2</v>
      </c>
      <c r="AA721" s="193" t="s">
        <v>4148</v>
      </c>
      <c r="AB721" s="2"/>
    </row>
    <row r="722" spans="1:28" ht="15" customHeight="1">
      <c r="A722" s="16">
        <v>721</v>
      </c>
      <c r="B722" s="8" t="s">
        <v>2796</v>
      </c>
      <c r="C722" s="14" t="str">
        <f>_xlfn.CONCAT(B722&amp;" "&amp;W722&amp;X722&amp;Y722&amp;Z722)</f>
        <v>ABI Showatech (India) Limited 4033</v>
      </c>
      <c r="D722" s="17">
        <v>806</v>
      </c>
      <c r="E722" s="8" t="s">
        <v>42</v>
      </c>
      <c r="F722" s="8"/>
      <c r="G722" s="26">
        <v>43605</v>
      </c>
      <c r="H722" s="26"/>
      <c r="I722" s="26"/>
      <c r="J722" s="26">
        <v>44334</v>
      </c>
      <c r="K722" s="26">
        <v>44729</v>
      </c>
      <c r="L722" s="32">
        <v>3</v>
      </c>
      <c r="M722" s="13" t="s">
        <v>2797</v>
      </c>
      <c r="N722" s="13" t="s">
        <v>2798</v>
      </c>
      <c r="O722" s="19" t="s">
        <v>2799</v>
      </c>
      <c r="P722" s="13" t="s">
        <v>2800</v>
      </c>
      <c r="Q722" s="13" t="s">
        <v>4831</v>
      </c>
      <c r="R722" s="13"/>
      <c r="S722" s="13" t="s">
        <v>878</v>
      </c>
      <c r="T722" s="13">
        <v>632505</v>
      </c>
      <c r="U722" s="13" t="s">
        <v>38</v>
      </c>
      <c r="V722" s="8" t="s">
        <v>23</v>
      </c>
      <c r="W722" s="193">
        <v>4</v>
      </c>
      <c r="X722" s="8">
        <v>0</v>
      </c>
      <c r="Y722" s="8">
        <v>3</v>
      </c>
      <c r="Z722" s="8">
        <v>3</v>
      </c>
      <c r="AA722" s="193" t="s">
        <v>4148</v>
      </c>
      <c r="AB722" s="2"/>
    </row>
    <row r="723" spans="1:28" ht="15" customHeight="1">
      <c r="A723" s="16">
        <v>722</v>
      </c>
      <c r="B723" s="8" t="s">
        <v>2801</v>
      </c>
      <c r="C723" s="14" t="str">
        <f>_xlfn.CONCAT(B723&amp;" "&amp;W723&amp;X723&amp;Y723&amp;Z723)</f>
        <v>PLANSEE India High Performance Materials Pvt Ltd 8033</v>
      </c>
      <c r="D723" s="17">
        <v>824</v>
      </c>
      <c r="E723" s="8" t="s">
        <v>42</v>
      </c>
      <c r="F723" s="8"/>
      <c r="G723" s="23">
        <v>43609</v>
      </c>
      <c r="H723" s="23"/>
      <c r="I723" s="23"/>
      <c r="J723" s="24">
        <v>45871</v>
      </c>
      <c r="K723" s="24">
        <v>46235</v>
      </c>
      <c r="L723" s="32">
        <v>3</v>
      </c>
      <c r="M723" s="13"/>
      <c r="N723" s="13"/>
      <c r="O723" s="19" t="s">
        <v>2802</v>
      </c>
      <c r="P723" s="13" t="s">
        <v>2803</v>
      </c>
      <c r="Q723" s="13" t="s">
        <v>4832</v>
      </c>
      <c r="R723" s="13"/>
      <c r="S723" s="13" t="s">
        <v>275</v>
      </c>
      <c r="T723" s="13">
        <v>570016</v>
      </c>
      <c r="U723" s="13" t="s">
        <v>22</v>
      </c>
      <c r="V723" s="8" t="s">
        <v>23</v>
      </c>
      <c r="W723" s="193">
        <v>8</v>
      </c>
      <c r="X723" s="8">
        <v>0</v>
      </c>
      <c r="Y723" s="8">
        <v>3</v>
      </c>
      <c r="Z723" s="8">
        <v>3</v>
      </c>
      <c r="AA723" s="193" t="s">
        <v>4118</v>
      </c>
      <c r="AB723" s="2"/>
    </row>
    <row r="724" spans="1:28" ht="15" customHeight="1">
      <c r="A724" s="16">
        <v>723</v>
      </c>
      <c r="B724" s="8" t="s">
        <v>2804</v>
      </c>
      <c r="C724" s="14" t="str">
        <f>_xlfn.CONCAT(B724&amp;" "&amp;W724&amp;X724&amp;Y724&amp;Z724)</f>
        <v>Mando Automotive India Pvt Ltd 4031</v>
      </c>
      <c r="D724" s="17">
        <v>833</v>
      </c>
      <c r="E724" s="8" t="s">
        <v>90</v>
      </c>
      <c r="F724" s="8"/>
      <c r="G724" s="26">
        <v>43610</v>
      </c>
      <c r="H724" s="26"/>
      <c r="I724" s="26"/>
      <c r="J724" s="26">
        <v>44364</v>
      </c>
      <c r="K724" s="26">
        <v>44728</v>
      </c>
      <c r="L724" s="32">
        <v>3</v>
      </c>
      <c r="M724" s="13"/>
      <c r="N724" s="13"/>
      <c r="O724" s="19"/>
      <c r="P724" s="13" t="s">
        <v>2805</v>
      </c>
      <c r="Q724" s="13" t="s">
        <v>4833</v>
      </c>
      <c r="R724" s="13" t="s">
        <v>2806</v>
      </c>
      <c r="S724" s="13" t="s">
        <v>353</v>
      </c>
      <c r="T724" s="13">
        <v>602105</v>
      </c>
      <c r="U724" s="13" t="s">
        <v>38</v>
      </c>
      <c r="V724" s="8" t="s">
        <v>23</v>
      </c>
      <c r="W724" s="193">
        <v>4</v>
      </c>
      <c r="X724" s="8">
        <v>0</v>
      </c>
      <c r="Y724" s="8">
        <v>3</v>
      </c>
      <c r="Z724" s="8">
        <v>1</v>
      </c>
      <c r="AA724" s="193" t="s">
        <v>4148</v>
      </c>
      <c r="AB724" s="2"/>
    </row>
    <row r="725" spans="1:28" ht="15" customHeight="1">
      <c r="A725" s="16">
        <v>724</v>
      </c>
      <c r="B725" s="8" t="s">
        <v>2807</v>
      </c>
      <c r="C725" s="14" t="str">
        <f>_xlfn.CONCAT(B725&amp;" "&amp;W725&amp;X725&amp;Y725&amp;Z725)</f>
        <v>Romsons Scientific &amp; Surgical Industries Pvt ltd 1154</v>
      </c>
      <c r="D725" s="17">
        <v>808</v>
      </c>
      <c r="E725" s="8" t="s">
        <v>1310</v>
      </c>
      <c r="F725" s="8"/>
      <c r="G725" s="23">
        <v>43613</v>
      </c>
      <c r="H725" s="23"/>
      <c r="I725" s="23"/>
      <c r="J725" s="26">
        <v>43613</v>
      </c>
      <c r="K725" s="26">
        <v>44343</v>
      </c>
      <c r="L725" s="32">
        <v>3</v>
      </c>
      <c r="M725" s="13"/>
      <c r="N725" s="13"/>
      <c r="O725" s="19" t="s">
        <v>2808</v>
      </c>
      <c r="P725" s="13" t="s">
        <v>932</v>
      </c>
      <c r="Q725" s="13" t="s">
        <v>4834</v>
      </c>
      <c r="R725" s="13"/>
      <c r="S725" s="13" t="s">
        <v>933</v>
      </c>
      <c r="T725" s="13">
        <v>282006</v>
      </c>
      <c r="U725" s="13" t="s">
        <v>184</v>
      </c>
      <c r="V725" s="8" t="s">
        <v>23</v>
      </c>
      <c r="W725" s="193">
        <v>1</v>
      </c>
      <c r="X725" s="8">
        <v>1</v>
      </c>
      <c r="Y725" s="8">
        <v>5</v>
      </c>
      <c r="Z725" s="8">
        <v>4</v>
      </c>
      <c r="AA725" s="193" t="s">
        <v>4118</v>
      </c>
      <c r="AB725" s="2"/>
    </row>
    <row r="726" spans="1:28" ht="15" customHeight="1">
      <c r="A726" s="16">
        <v>725</v>
      </c>
      <c r="B726" s="8" t="s">
        <v>2809</v>
      </c>
      <c r="C726" s="14" t="str">
        <f>_xlfn.CONCAT(B726&amp;" "&amp;W726&amp;X726&amp;Y726&amp;Z726)</f>
        <v>DAN Plastics 8033</v>
      </c>
      <c r="D726" s="17">
        <v>809</v>
      </c>
      <c r="E726" s="8" t="s">
        <v>42</v>
      </c>
      <c r="F726" s="8"/>
      <c r="G726" s="26">
        <v>43620</v>
      </c>
      <c r="H726" s="26"/>
      <c r="I726" s="26"/>
      <c r="J726" s="26">
        <v>44245</v>
      </c>
      <c r="K726" s="26">
        <v>44609</v>
      </c>
      <c r="L726" s="32">
        <v>3</v>
      </c>
      <c r="M726" s="13" t="s">
        <v>2810</v>
      </c>
      <c r="N726" s="13" t="s">
        <v>254</v>
      </c>
      <c r="O726" s="19" t="s">
        <v>2811</v>
      </c>
      <c r="P726" s="13" t="s">
        <v>2812</v>
      </c>
      <c r="Q726" s="13" t="s">
        <v>4835</v>
      </c>
      <c r="R726" s="13" t="s">
        <v>2813</v>
      </c>
      <c r="S726" s="13" t="s">
        <v>275</v>
      </c>
      <c r="T726" s="13">
        <v>571130</v>
      </c>
      <c r="U726" s="13" t="s">
        <v>22</v>
      </c>
      <c r="V726" s="8" t="s">
        <v>23</v>
      </c>
      <c r="W726" s="193">
        <v>8</v>
      </c>
      <c r="X726" s="8">
        <v>0</v>
      </c>
      <c r="Y726" s="8">
        <v>3</v>
      </c>
      <c r="Z726" s="8">
        <v>3</v>
      </c>
      <c r="AA726" s="193" t="s">
        <v>4118</v>
      </c>
      <c r="AB726" s="2"/>
    </row>
    <row r="727" spans="1:28" ht="15" customHeight="1">
      <c r="A727" s="16">
        <v>726</v>
      </c>
      <c r="B727" s="8" t="s">
        <v>2809</v>
      </c>
      <c r="C727" s="14" t="str">
        <f>_xlfn.CONCAT(B727&amp;" "&amp;W727&amp;X727&amp;Y727&amp;Z727)</f>
        <v>DAN Plastics 8033</v>
      </c>
      <c r="D727" s="17">
        <v>810</v>
      </c>
      <c r="E727" s="8" t="s">
        <v>42</v>
      </c>
      <c r="F727" s="8"/>
      <c r="G727" s="26">
        <v>43620</v>
      </c>
      <c r="H727" s="26"/>
      <c r="I727" s="26"/>
      <c r="J727" s="26">
        <v>45939</v>
      </c>
      <c r="K727" s="26">
        <v>46303</v>
      </c>
      <c r="L727" s="32">
        <v>3</v>
      </c>
      <c r="M727" s="13" t="s">
        <v>2810</v>
      </c>
      <c r="N727" s="13" t="s">
        <v>254</v>
      </c>
      <c r="O727" s="19" t="s">
        <v>2811</v>
      </c>
      <c r="P727" s="13" t="s">
        <v>2812</v>
      </c>
      <c r="Q727" s="13" t="s">
        <v>4835</v>
      </c>
      <c r="R727" s="13" t="s">
        <v>2813</v>
      </c>
      <c r="S727" s="13" t="s">
        <v>275</v>
      </c>
      <c r="T727" s="13">
        <v>571130</v>
      </c>
      <c r="U727" s="13" t="s">
        <v>22</v>
      </c>
      <c r="V727" s="8" t="s">
        <v>23</v>
      </c>
      <c r="W727" s="193">
        <v>8</v>
      </c>
      <c r="X727" s="8">
        <v>0</v>
      </c>
      <c r="Y727" s="8">
        <v>3</v>
      </c>
      <c r="Z727" s="8">
        <v>3</v>
      </c>
      <c r="AA727" s="193" t="s">
        <v>4118</v>
      </c>
      <c r="AB727" s="2"/>
    </row>
    <row r="728" spans="1:28" ht="15" customHeight="1">
      <c r="A728" s="16">
        <v>727</v>
      </c>
      <c r="B728" s="8" t="s">
        <v>2814</v>
      </c>
      <c r="C728" s="14" t="str">
        <f>_xlfn.CONCAT(B728&amp;" "&amp;W728&amp;X728&amp;Y728&amp;Z728)</f>
        <v>Excel Plast 4161</v>
      </c>
      <c r="D728" s="17">
        <v>832</v>
      </c>
      <c r="E728" s="8" t="s">
        <v>90</v>
      </c>
      <c r="F728" s="8"/>
      <c r="G728" s="23">
        <v>43620</v>
      </c>
      <c r="H728" s="23"/>
      <c r="I728" s="23"/>
      <c r="J728" s="26">
        <v>44475</v>
      </c>
      <c r="K728" s="26">
        <v>44839</v>
      </c>
      <c r="L728" s="32">
        <v>3</v>
      </c>
      <c r="M728" s="13"/>
      <c r="N728" s="13"/>
      <c r="O728" s="19" t="s">
        <v>2815</v>
      </c>
      <c r="P728" s="13" t="s">
        <v>2816</v>
      </c>
      <c r="Q728" s="13" t="s">
        <v>4836</v>
      </c>
      <c r="R728" s="13" t="s">
        <v>448</v>
      </c>
      <c r="S728" s="13" t="s">
        <v>101</v>
      </c>
      <c r="T728" s="13">
        <v>641006</v>
      </c>
      <c r="U728" s="13" t="s">
        <v>38</v>
      </c>
      <c r="V728" s="8" t="s">
        <v>23</v>
      </c>
      <c r="W728" s="193">
        <v>4</v>
      </c>
      <c r="X728" s="8">
        <v>1</v>
      </c>
      <c r="Y728" s="8">
        <v>6</v>
      </c>
      <c r="Z728" s="8">
        <v>1</v>
      </c>
      <c r="AA728" s="193" t="s">
        <v>4148</v>
      </c>
      <c r="AB728" s="2"/>
    </row>
    <row r="729" spans="1:28" ht="15" customHeight="1">
      <c r="A729" s="16">
        <v>728</v>
      </c>
      <c r="B729" s="8" t="s">
        <v>2817</v>
      </c>
      <c r="C729" s="14" t="str">
        <f>_xlfn.CONCAT(B729&amp;" "&amp;W729&amp;X729&amp;Y729&amp;Z729)</f>
        <v>Continental Tools &amp; Components 1161</v>
      </c>
      <c r="D729" s="17">
        <v>797</v>
      </c>
      <c r="E729" s="8" t="s">
        <v>42</v>
      </c>
      <c r="F729" s="8"/>
      <c r="G729" s="26">
        <v>43622</v>
      </c>
      <c r="H729" s="26"/>
      <c r="I729" s="26"/>
      <c r="J729" s="26">
        <v>43622</v>
      </c>
      <c r="K729" s="26">
        <v>44352</v>
      </c>
      <c r="L729" s="32">
        <v>3</v>
      </c>
      <c r="M729" s="13"/>
      <c r="N729" s="13"/>
      <c r="O729" s="19" t="s">
        <v>2818</v>
      </c>
      <c r="P729" s="13" t="s">
        <v>1812</v>
      </c>
      <c r="Q729" s="13" t="s">
        <v>4837</v>
      </c>
      <c r="R729" s="13" t="s">
        <v>2819</v>
      </c>
      <c r="S729" s="13" t="s">
        <v>454</v>
      </c>
      <c r="T729" s="13">
        <v>121006</v>
      </c>
      <c r="U729" s="13" t="s">
        <v>429</v>
      </c>
      <c r="V729" s="8" t="s">
        <v>23</v>
      </c>
      <c r="W729" s="193">
        <v>1</v>
      </c>
      <c r="X729" s="8">
        <v>1</v>
      </c>
      <c r="Y729" s="8">
        <v>6</v>
      </c>
      <c r="Z729" s="8">
        <v>1</v>
      </c>
      <c r="AA729" s="193" t="s">
        <v>4118</v>
      </c>
      <c r="AB729" s="2"/>
    </row>
    <row r="730" spans="1:28" ht="15" customHeight="1">
      <c r="A730" s="16">
        <v>729</v>
      </c>
      <c r="B730" s="8" t="s">
        <v>2820</v>
      </c>
      <c r="C730" s="14" t="str">
        <f>_xlfn.CONCAT(B730&amp;" "&amp;W730&amp;X730&amp;Y730&amp;Z730)</f>
        <v>J L Multitech (J.L Engg Industries) 8041</v>
      </c>
      <c r="D730" s="17">
        <v>798</v>
      </c>
      <c r="E730" s="23" t="s">
        <v>42</v>
      </c>
      <c r="F730" s="23"/>
      <c r="G730" s="26">
        <v>43628</v>
      </c>
      <c r="H730" s="26"/>
      <c r="I730" s="26"/>
      <c r="J730" s="26">
        <v>43628</v>
      </c>
      <c r="K730" s="26">
        <v>43993</v>
      </c>
      <c r="L730" s="32">
        <v>3</v>
      </c>
      <c r="M730" s="13" t="s">
        <v>2821</v>
      </c>
      <c r="N730" s="13"/>
      <c r="O730" s="19">
        <v>9591012495</v>
      </c>
      <c r="P730" s="13" t="s">
        <v>2822</v>
      </c>
      <c r="Q730" s="13" t="s">
        <v>4838</v>
      </c>
      <c r="R730" s="13" t="s">
        <v>2764</v>
      </c>
      <c r="S730" s="13" t="s">
        <v>21</v>
      </c>
      <c r="T730" s="13">
        <v>560091</v>
      </c>
      <c r="U730" s="13" t="s">
        <v>22</v>
      </c>
      <c r="V730" s="8" t="s">
        <v>23</v>
      </c>
      <c r="W730" s="193">
        <v>8</v>
      </c>
      <c r="X730" s="8">
        <v>0</v>
      </c>
      <c r="Y730" s="8">
        <v>4</v>
      </c>
      <c r="Z730" s="8">
        <v>1</v>
      </c>
      <c r="AA730" s="193" t="s">
        <v>4118</v>
      </c>
      <c r="AB730" s="2"/>
    </row>
    <row r="731" spans="1:28" ht="15" customHeight="1">
      <c r="A731" s="16">
        <v>730</v>
      </c>
      <c r="B731" s="8" t="s">
        <v>2823</v>
      </c>
      <c r="C731" s="14" t="str">
        <f>_xlfn.CONCAT(B731&amp;" "&amp;W731&amp;X731&amp;Y731&amp;Z731)</f>
        <v>JJG Aero Pvt Ltd (J.J. Glasstronics Pvt Ltd) 8011</v>
      </c>
      <c r="D731" s="17">
        <v>796</v>
      </c>
      <c r="E731" s="8">
        <v>2015</v>
      </c>
      <c r="F731" s="8"/>
      <c r="G731" s="26">
        <v>43640</v>
      </c>
      <c r="H731" s="26"/>
      <c r="I731" s="26"/>
      <c r="J731" s="26">
        <v>43640</v>
      </c>
      <c r="K731" s="26">
        <v>44035</v>
      </c>
      <c r="L731" s="32">
        <v>3</v>
      </c>
      <c r="M731" s="13"/>
      <c r="N731" s="13"/>
      <c r="O731" s="19" t="s">
        <v>2824</v>
      </c>
      <c r="P731" s="13" t="s">
        <v>2267</v>
      </c>
      <c r="Q731" s="13" t="s">
        <v>4839</v>
      </c>
      <c r="R731" s="13" t="s">
        <v>2825</v>
      </c>
      <c r="S731" s="13" t="s">
        <v>21</v>
      </c>
      <c r="T731" s="13">
        <v>560100</v>
      </c>
      <c r="U731" s="13" t="s">
        <v>22</v>
      </c>
      <c r="V731" s="8" t="s">
        <v>23</v>
      </c>
      <c r="W731" s="193">
        <v>8</v>
      </c>
      <c r="X731" s="8">
        <v>0</v>
      </c>
      <c r="Y731" s="8">
        <v>1</v>
      </c>
      <c r="Z731" s="8">
        <v>1</v>
      </c>
      <c r="AA731" s="193" t="s">
        <v>4118</v>
      </c>
      <c r="AB731" s="2"/>
    </row>
    <row r="732" spans="1:28" ht="15" customHeight="1">
      <c r="A732" s="16">
        <v>731</v>
      </c>
      <c r="B732" s="8" t="s">
        <v>2540</v>
      </c>
      <c r="C732" s="14" t="str">
        <f>_xlfn.CONCAT(B732&amp;" "&amp;W732&amp;X732&amp;Y732&amp;Z732)</f>
        <v>Tool Grinding Technologies Inc. 8051</v>
      </c>
      <c r="D732" s="17" t="s">
        <v>2826</v>
      </c>
      <c r="E732" s="8"/>
      <c r="F732" s="8"/>
      <c r="G732" s="26">
        <v>43652</v>
      </c>
      <c r="H732" s="26"/>
      <c r="I732" s="26"/>
      <c r="J732" s="26">
        <v>43652</v>
      </c>
      <c r="K732" s="26">
        <v>44017</v>
      </c>
      <c r="L732" s="32">
        <v>3</v>
      </c>
      <c r="M732" s="13" t="s">
        <v>2542</v>
      </c>
      <c r="N732" s="13" t="s">
        <v>28</v>
      </c>
      <c r="O732" s="19"/>
      <c r="P732" s="13" t="s">
        <v>2543</v>
      </c>
      <c r="Q732" s="13" t="s">
        <v>4840</v>
      </c>
      <c r="R732" s="13" t="s">
        <v>1512</v>
      </c>
      <c r="S732" s="13" t="s">
        <v>21</v>
      </c>
      <c r="T732" s="13">
        <v>560058</v>
      </c>
      <c r="U732" s="13" t="s">
        <v>22</v>
      </c>
      <c r="V732" s="8" t="s">
        <v>23</v>
      </c>
      <c r="W732" s="193">
        <v>8</v>
      </c>
      <c r="X732" s="8">
        <v>0</v>
      </c>
      <c r="Y732" s="8">
        <v>5</v>
      </c>
      <c r="Z732" s="8">
        <v>1</v>
      </c>
      <c r="AA732" s="193" t="s">
        <v>4118</v>
      </c>
      <c r="AB732" s="2"/>
    </row>
    <row r="733" spans="1:28" ht="15" customHeight="1">
      <c r="A733" s="16">
        <v>732</v>
      </c>
      <c r="B733" s="8" t="s">
        <v>2827</v>
      </c>
      <c r="C733" s="14" t="str">
        <f>_xlfn.CONCAT(B733&amp;" "&amp;W733&amp;X733&amp;Y733&amp;Z733)</f>
        <v>SBCT Industries LLP 8061</v>
      </c>
      <c r="D733" s="17">
        <v>719</v>
      </c>
      <c r="E733" s="8" t="s">
        <v>90</v>
      </c>
      <c r="F733" s="8"/>
      <c r="G733" s="26">
        <v>43652</v>
      </c>
      <c r="H733" s="26"/>
      <c r="I733" s="26"/>
      <c r="J733" s="26">
        <v>44392</v>
      </c>
      <c r="K733" s="26">
        <v>44756</v>
      </c>
      <c r="L733" s="32">
        <v>3</v>
      </c>
      <c r="M733" s="13" t="s">
        <v>2828</v>
      </c>
      <c r="N733" s="13"/>
      <c r="O733" s="19" t="s">
        <v>2829</v>
      </c>
      <c r="P733" s="13" t="s">
        <v>2830</v>
      </c>
      <c r="Q733" s="13" t="s">
        <v>4841</v>
      </c>
      <c r="R733" s="13" t="s">
        <v>2365</v>
      </c>
      <c r="S733" s="13" t="s">
        <v>21</v>
      </c>
      <c r="T733" s="13">
        <v>560100</v>
      </c>
      <c r="U733" s="13" t="s">
        <v>22</v>
      </c>
      <c r="V733" s="8" t="s">
        <v>23</v>
      </c>
      <c r="W733" s="193">
        <v>8</v>
      </c>
      <c r="X733" s="8">
        <v>0</v>
      </c>
      <c r="Y733" s="8">
        <v>6</v>
      </c>
      <c r="Z733" s="8">
        <v>1</v>
      </c>
      <c r="AA733" s="193" t="s">
        <v>4118</v>
      </c>
      <c r="AB733" s="2"/>
    </row>
    <row r="734" spans="1:28" s="229" customFormat="1" ht="15" customHeight="1">
      <c r="A734" s="16">
        <v>733</v>
      </c>
      <c r="B734" s="14" t="s">
        <v>2408</v>
      </c>
      <c r="C734" s="14" t="str">
        <f>_xlfn.CONCAT(B734&amp;" "&amp;W734&amp;X734&amp;Y734&amp;Z734)</f>
        <v>Omni Matrix Pvt Ltd 8061</v>
      </c>
      <c r="D734" s="16">
        <v>817</v>
      </c>
      <c r="E734" s="14" t="s">
        <v>42</v>
      </c>
      <c r="F734" s="14"/>
      <c r="G734" s="24">
        <v>43669</v>
      </c>
      <c r="H734" s="24"/>
      <c r="I734" s="24"/>
      <c r="J734" s="24">
        <v>45896</v>
      </c>
      <c r="K734" s="24">
        <v>46260</v>
      </c>
      <c r="L734" s="32">
        <v>3</v>
      </c>
      <c r="M734" s="13" t="s">
        <v>2831</v>
      </c>
      <c r="N734" s="13"/>
      <c r="O734" s="19"/>
      <c r="P734" s="13" t="s">
        <v>2267</v>
      </c>
      <c r="Q734" s="13" t="s">
        <v>4842</v>
      </c>
      <c r="R734" s="13" t="s">
        <v>749</v>
      </c>
      <c r="S734" s="13" t="s">
        <v>21</v>
      </c>
      <c r="T734" s="13">
        <v>561203</v>
      </c>
      <c r="U734" s="13" t="s">
        <v>22</v>
      </c>
      <c r="V734" s="8" t="s">
        <v>23</v>
      </c>
      <c r="W734" s="193">
        <v>8</v>
      </c>
      <c r="X734" s="8">
        <v>0</v>
      </c>
      <c r="Y734" s="8">
        <v>6</v>
      </c>
      <c r="Z734" s="8">
        <v>1</v>
      </c>
      <c r="AA734" s="193" t="s">
        <v>4118</v>
      </c>
      <c r="AB734" s="222"/>
    </row>
    <row r="735" spans="1:28" s="229" customFormat="1" ht="15" customHeight="1">
      <c r="A735" s="16">
        <v>734</v>
      </c>
      <c r="B735" s="14" t="s">
        <v>2832</v>
      </c>
      <c r="C735" s="14" t="str">
        <f>_xlfn.CONCAT(B735&amp;" "&amp;W735&amp;X735&amp;Y735&amp;Z735)</f>
        <v>Java Auto Components 1152</v>
      </c>
      <c r="D735" s="16">
        <v>813</v>
      </c>
      <c r="E735" s="9" t="s">
        <v>42</v>
      </c>
      <c r="F735" s="9"/>
      <c r="G735" s="24">
        <v>43678</v>
      </c>
      <c r="H735" s="24"/>
      <c r="I735" s="24"/>
      <c r="J735" s="24">
        <v>44419</v>
      </c>
      <c r="K735" s="24">
        <v>44783</v>
      </c>
      <c r="L735" s="32">
        <v>3</v>
      </c>
      <c r="M735" s="13" t="s">
        <v>2833</v>
      </c>
      <c r="N735" s="13" t="s">
        <v>71</v>
      </c>
      <c r="O735" s="19" t="s">
        <v>2834</v>
      </c>
      <c r="P735" s="13" t="s">
        <v>2835</v>
      </c>
      <c r="Q735" s="13" t="s">
        <v>4843</v>
      </c>
      <c r="R735" s="13"/>
      <c r="S735" s="13" t="s">
        <v>2836</v>
      </c>
      <c r="T735" s="13">
        <v>201306</v>
      </c>
      <c r="U735" s="13" t="s">
        <v>184</v>
      </c>
      <c r="V735" s="8" t="s">
        <v>23</v>
      </c>
      <c r="W735" s="193">
        <v>1</v>
      </c>
      <c r="X735" s="8">
        <v>1</v>
      </c>
      <c r="Y735" s="8">
        <v>5</v>
      </c>
      <c r="Z735" s="8">
        <v>2</v>
      </c>
      <c r="AA735" s="193" t="s">
        <v>4118</v>
      </c>
      <c r="AB735" s="222"/>
    </row>
    <row r="736" spans="1:28" s="229" customFormat="1" ht="15" customHeight="1">
      <c r="A736" s="16">
        <v>735</v>
      </c>
      <c r="B736" s="14" t="s">
        <v>2837</v>
      </c>
      <c r="C736" s="14" t="str">
        <f>_xlfn.CONCAT(B736&amp;" "&amp;W736&amp;X736&amp;Y736&amp;Z736)</f>
        <v>Crest Metal Engg LLP 5401</v>
      </c>
      <c r="D736" s="16">
        <v>807</v>
      </c>
      <c r="E736" s="9" t="s">
        <v>42</v>
      </c>
      <c r="F736" s="9"/>
      <c r="G736" s="24">
        <v>43683</v>
      </c>
      <c r="H736" s="24"/>
      <c r="I736" s="24"/>
      <c r="J736" s="24">
        <v>44367</v>
      </c>
      <c r="K736" s="24">
        <v>44731</v>
      </c>
      <c r="L736" s="32">
        <v>3</v>
      </c>
      <c r="M736" s="13" t="s">
        <v>2838</v>
      </c>
      <c r="N736" s="13"/>
      <c r="O736" s="19">
        <v>8104084718</v>
      </c>
      <c r="P736" s="13" t="s">
        <v>2839</v>
      </c>
      <c r="Q736" s="13" t="s">
        <v>4844</v>
      </c>
      <c r="R736" s="13" t="s">
        <v>570</v>
      </c>
      <c r="S736" s="13" t="s">
        <v>571</v>
      </c>
      <c r="T736" s="13">
        <v>361004</v>
      </c>
      <c r="U736" s="13" t="s">
        <v>144</v>
      </c>
      <c r="V736" s="8" t="s">
        <v>23</v>
      </c>
      <c r="W736" s="193">
        <v>5</v>
      </c>
      <c r="X736" s="8">
        <v>4</v>
      </c>
      <c r="Y736" s="8">
        <v>0</v>
      </c>
      <c r="Z736" s="8">
        <v>1</v>
      </c>
      <c r="AA736" s="193" t="s">
        <v>4137</v>
      </c>
      <c r="AB736" s="222"/>
    </row>
    <row r="737" spans="1:28" s="229" customFormat="1" ht="15" customHeight="1">
      <c r="A737" s="16">
        <v>736</v>
      </c>
      <c r="B737" s="14" t="s">
        <v>986</v>
      </c>
      <c r="C737" s="14" t="str">
        <f>_xlfn.CONCAT(B737&amp;" "&amp;W737&amp;X737&amp;Y737&amp;Z737)</f>
        <v>Aurolab 4101</v>
      </c>
      <c r="D737" s="16">
        <v>815</v>
      </c>
      <c r="E737" s="9" t="s">
        <v>42</v>
      </c>
      <c r="F737" s="9"/>
      <c r="G737" s="24">
        <v>43685</v>
      </c>
      <c r="H737" s="24"/>
      <c r="I737" s="24"/>
      <c r="J737" s="24">
        <v>44163</v>
      </c>
      <c r="K737" s="24">
        <v>44527</v>
      </c>
      <c r="L737" s="32">
        <v>3</v>
      </c>
      <c r="M737" s="13" t="s">
        <v>2840</v>
      </c>
      <c r="N737" s="13"/>
      <c r="O737" s="19"/>
      <c r="P737" s="13" t="s">
        <v>990</v>
      </c>
      <c r="Q737" s="13" t="s">
        <v>4845</v>
      </c>
      <c r="R737" s="13"/>
      <c r="S737" s="13" t="s">
        <v>894</v>
      </c>
      <c r="T737" s="13">
        <v>625020</v>
      </c>
      <c r="U737" s="13" t="s">
        <v>38</v>
      </c>
      <c r="V737" s="8" t="s">
        <v>23</v>
      </c>
      <c r="W737" s="193">
        <v>4</v>
      </c>
      <c r="X737" s="8">
        <v>1</v>
      </c>
      <c r="Y737" s="8">
        <v>0</v>
      </c>
      <c r="Z737" s="8">
        <v>1</v>
      </c>
      <c r="AA737" s="193" t="s">
        <v>4148</v>
      </c>
      <c r="AB737" s="222"/>
    </row>
    <row r="738" spans="1:28" s="229" customFormat="1" ht="15" customHeight="1">
      <c r="A738" s="16">
        <v>737</v>
      </c>
      <c r="B738" s="14" t="s">
        <v>2842</v>
      </c>
      <c r="C738" s="14" t="str">
        <f>_xlfn.CONCAT(B738&amp;" "&amp;W738&amp;X738&amp;Y738&amp;Z738)</f>
        <v>Romson Group Pvt Ltd (Romson Scientific &amp; Surgical Industries Pvt Ltd) 1154</v>
      </c>
      <c r="D738" s="16">
        <v>808</v>
      </c>
      <c r="E738" s="9" t="s">
        <v>42</v>
      </c>
      <c r="F738" s="9"/>
      <c r="G738" s="24">
        <v>43685</v>
      </c>
      <c r="H738" s="24"/>
      <c r="I738" s="24"/>
      <c r="J738" s="24">
        <v>44423</v>
      </c>
      <c r="K738" s="24">
        <v>44787</v>
      </c>
      <c r="L738" s="32">
        <v>3</v>
      </c>
      <c r="M738" s="13"/>
      <c r="N738" s="13"/>
      <c r="O738" s="19" t="s">
        <v>2843</v>
      </c>
      <c r="P738" s="13" t="s">
        <v>932</v>
      </c>
      <c r="Q738" s="13" t="s">
        <v>4846</v>
      </c>
      <c r="R738" s="13"/>
      <c r="S738" s="13" t="s">
        <v>933</v>
      </c>
      <c r="T738" s="13">
        <v>282006</v>
      </c>
      <c r="U738" s="13" t="s">
        <v>184</v>
      </c>
      <c r="V738" s="8" t="s">
        <v>23</v>
      </c>
      <c r="W738" s="193">
        <v>1</v>
      </c>
      <c r="X738" s="8">
        <v>1</v>
      </c>
      <c r="Y738" s="8">
        <v>5</v>
      </c>
      <c r="Z738" s="8">
        <v>4</v>
      </c>
      <c r="AA738" s="193" t="s">
        <v>4118</v>
      </c>
      <c r="AB738" s="222"/>
    </row>
    <row r="739" spans="1:28" s="229" customFormat="1" ht="15" customHeight="1">
      <c r="A739" s="16">
        <v>738</v>
      </c>
      <c r="B739" s="14" t="s">
        <v>2844</v>
      </c>
      <c r="C739" s="14" t="str">
        <f>_xlfn.CONCAT(B739&amp;" "&amp;W739&amp;X739&amp;Y739&amp;Z739)</f>
        <v>VG Engg 8021</v>
      </c>
      <c r="D739" s="16">
        <v>820</v>
      </c>
      <c r="E739" s="9" t="s">
        <v>42</v>
      </c>
      <c r="F739" s="9"/>
      <c r="G739" s="24">
        <v>43687</v>
      </c>
      <c r="H739" s="24"/>
      <c r="I739" s="24"/>
      <c r="J739" s="24">
        <v>44534</v>
      </c>
      <c r="K739" s="24">
        <v>44898</v>
      </c>
      <c r="L739" s="32">
        <v>3</v>
      </c>
      <c r="M739" s="13" t="s">
        <v>2845</v>
      </c>
      <c r="N739" s="13"/>
      <c r="O739" s="19">
        <v>9901942588</v>
      </c>
      <c r="P739" s="13" t="s">
        <v>2846</v>
      </c>
      <c r="Q739" s="13" t="s">
        <v>4847</v>
      </c>
      <c r="R739" s="13" t="s">
        <v>2847</v>
      </c>
      <c r="S739" s="13" t="s">
        <v>21</v>
      </c>
      <c r="T739" s="13">
        <v>560105</v>
      </c>
      <c r="U739" s="13" t="s">
        <v>22</v>
      </c>
      <c r="V739" s="8" t="s">
        <v>23</v>
      </c>
      <c r="W739" s="193">
        <v>8</v>
      </c>
      <c r="X739" s="8">
        <v>0</v>
      </c>
      <c r="Y739" s="8">
        <v>2</v>
      </c>
      <c r="Z739" s="8">
        <v>1</v>
      </c>
      <c r="AA739" s="193" t="s">
        <v>4118</v>
      </c>
      <c r="AB739" s="222"/>
    </row>
    <row r="740" spans="1:28" s="229" customFormat="1" ht="15" customHeight="1">
      <c r="A740" s="16">
        <v>739</v>
      </c>
      <c r="B740" s="14" t="s">
        <v>2842</v>
      </c>
      <c r="C740" s="14" t="str">
        <f>_xlfn.CONCAT(B740&amp;" "&amp;W740&amp;X740&amp;Y740&amp;Z740)</f>
        <v>Romson Group Pvt Ltd (Romson Scientific &amp; Surgical Industries Pvt Ltd) 1154</v>
      </c>
      <c r="D740" s="16">
        <v>822</v>
      </c>
      <c r="E740" s="9" t="s">
        <v>42</v>
      </c>
      <c r="F740" s="9"/>
      <c r="G740" s="24">
        <v>43685</v>
      </c>
      <c r="H740" s="24"/>
      <c r="I740" s="24"/>
      <c r="J740" s="24">
        <v>44423</v>
      </c>
      <c r="K740" s="24">
        <v>44787</v>
      </c>
      <c r="L740" s="32">
        <v>3</v>
      </c>
      <c r="M740" s="13"/>
      <c r="N740" s="13"/>
      <c r="O740" s="19" t="s">
        <v>2848</v>
      </c>
      <c r="P740" s="13" t="s">
        <v>932</v>
      </c>
      <c r="Q740" s="13" t="s">
        <v>4846</v>
      </c>
      <c r="R740" s="13"/>
      <c r="S740" s="13" t="s">
        <v>933</v>
      </c>
      <c r="T740" s="13">
        <v>282006</v>
      </c>
      <c r="U740" s="13" t="s">
        <v>184</v>
      </c>
      <c r="V740" s="8" t="s">
        <v>23</v>
      </c>
      <c r="W740" s="193">
        <v>1</v>
      </c>
      <c r="X740" s="8">
        <v>1</v>
      </c>
      <c r="Y740" s="8">
        <v>5</v>
      </c>
      <c r="Z740" s="8">
        <v>4</v>
      </c>
      <c r="AA740" s="193" t="s">
        <v>4118</v>
      </c>
      <c r="AB740" s="222"/>
    </row>
    <row r="741" spans="1:28" s="229" customFormat="1" ht="15" customHeight="1">
      <c r="A741" s="16">
        <v>740</v>
      </c>
      <c r="B741" s="14" t="s">
        <v>2849</v>
      </c>
      <c r="C741" s="14" t="str">
        <f>_xlfn.CONCAT(B741&amp;" "&amp;W741&amp;X741&amp;Y741&amp;Z741)</f>
        <v>Max Tools Industries 5301</v>
      </c>
      <c r="D741" s="16">
        <v>818</v>
      </c>
      <c r="E741" s="9" t="s">
        <v>42</v>
      </c>
      <c r="F741" s="9"/>
      <c r="G741" s="24">
        <v>43690</v>
      </c>
      <c r="H741" s="24"/>
      <c r="I741" s="24"/>
      <c r="J741" s="24">
        <v>43690</v>
      </c>
      <c r="K741" s="24">
        <v>44055</v>
      </c>
      <c r="L741" s="32">
        <v>3</v>
      </c>
      <c r="M741" s="13" t="s">
        <v>2850</v>
      </c>
      <c r="N741" s="13"/>
      <c r="O741" s="19" t="s">
        <v>2851</v>
      </c>
      <c r="P741" s="13" t="s">
        <v>2852</v>
      </c>
      <c r="Q741" s="13" t="s">
        <v>4848</v>
      </c>
      <c r="R741" s="13" t="s">
        <v>2853</v>
      </c>
      <c r="S741" s="13" t="s">
        <v>1131</v>
      </c>
      <c r="T741" s="13">
        <v>360024</v>
      </c>
      <c r="U741" s="13" t="s">
        <v>144</v>
      </c>
      <c r="V741" s="8" t="s">
        <v>23</v>
      </c>
      <c r="W741" s="193">
        <v>5</v>
      </c>
      <c r="X741" s="8">
        <v>3</v>
      </c>
      <c r="Y741" s="8">
        <v>0</v>
      </c>
      <c r="Z741" s="8">
        <v>1</v>
      </c>
      <c r="AA741" s="193" t="s">
        <v>4135</v>
      </c>
      <c r="AB741" s="222"/>
    </row>
    <row r="742" spans="1:28" s="229" customFormat="1" ht="15" customHeight="1">
      <c r="A742" s="16">
        <v>741</v>
      </c>
      <c r="B742" s="14" t="s">
        <v>2854</v>
      </c>
      <c r="C742" s="14" t="str">
        <f>_xlfn.CONCAT(B742&amp;" "&amp;W742&amp;X742&amp;Y742&amp;Z742)</f>
        <v>Spectrum Electrical Industries Ltd 2010</v>
      </c>
      <c r="D742" s="16">
        <v>825</v>
      </c>
      <c r="E742" s="9" t="s">
        <v>42</v>
      </c>
      <c r="F742" s="9"/>
      <c r="G742" s="24">
        <v>43691</v>
      </c>
      <c r="H742" s="24"/>
      <c r="I742" s="24"/>
      <c r="J742" s="24">
        <v>44258</v>
      </c>
      <c r="K742" s="24">
        <v>44987</v>
      </c>
      <c r="L742" s="32">
        <v>3</v>
      </c>
      <c r="M742" s="13" t="s">
        <v>2855</v>
      </c>
      <c r="N742" s="13"/>
      <c r="O742" s="19"/>
      <c r="P742" s="13"/>
      <c r="Q742" s="13" t="s">
        <v>4849</v>
      </c>
      <c r="R742" s="13"/>
      <c r="S742" s="13" t="s">
        <v>1410</v>
      </c>
      <c r="T742" s="13">
        <v>425003</v>
      </c>
      <c r="U742" s="13" t="s">
        <v>172</v>
      </c>
      <c r="V742" s="8" t="s">
        <v>23</v>
      </c>
      <c r="W742" s="193">
        <v>2</v>
      </c>
      <c r="X742" s="8">
        <v>0</v>
      </c>
      <c r="Y742" s="8">
        <v>1</v>
      </c>
      <c r="Z742" s="8">
        <v>0</v>
      </c>
      <c r="AA742" s="193" t="s">
        <v>4118</v>
      </c>
      <c r="AB742" s="222"/>
    </row>
    <row r="743" spans="1:28" s="229" customFormat="1" ht="15" customHeight="1">
      <c r="A743" s="16">
        <v>742</v>
      </c>
      <c r="B743" s="14" t="s">
        <v>2856</v>
      </c>
      <c r="C743" s="14" t="str">
        <f>_xlfn.CONCAT(B743&amp;" "&amp;W743&amp;X743&amp;Y743&amp;Z743)</f>
        <v>Shree Industries 2411</v>
      </c>
      <c r="D743" s="16">
        <v>821</v>
      </c>
      <c r="E743" s="9" t="s">
        <v>42</v>
      </c>
      <c r="F743" s="9"/>
      <c r="G743" s="24">
        <v>43694</v>
      </c>
      <c r="H743" s="24"/>
      <c r="I743" s="24"/>
      <c r="J743" s="24">
        <v>43694</v>
      </c>
      <c r="K743" s="24">
        <v>44059</v>
      </c>
      <c r="L743" s="32">
        <v>3</v>
      </c>
      <c r="M743" s="13"/>
      <c r="N743" s="13"/>
      <c r="O743" s="19"/>
      <c r="P743" s="13" t="s">
        <v>2857</v>
      </c>
      <c r="Q743" s="13" t="s">
        <v>4850</v>
      </c>
      <c r="R743" s="13" t="s">
        <v>214</v>
      </c>
      <c r="S743" s="13" t="s">
        <v>215</v>
      </c>
      <c r="T743" s="13">
        <v>411026</v>
      </c>
      <c r="U743" s="13" t="s">
        <v>172</v>
      </c>
      <c r="V743" s="8" t="s">
        <v>23</v>
      </c>
      <c r="W743" s="193">
        <v>2</v>
      </c>
      <c r="X743" s="8">
        <v>4</v>
      </c>
      <c r="Y743" s="8">
        <v>1</v>
      </c>
      <c r="Z743" s="8">
        <v>1</v>
      </c>
      <c r="AA743" s="193" t="s">
        <v>4150</v>
      </c>
      <c r="AB743" s="222"/>
    </row>
    <row r="744" spans="1:28" s="229" customFormat="1" ht="15" customHeight="1">
      <c r="A744" s="16">
        <v>743</v>
      </c>
      <c r="B744" s="14" t="s">
        <v>2858</v>
      </c>
      <c r="C744" s="14" t="str">
        <f>_xlfn.CONCAT(B744&amp;" "&amp;W744&amp;X744&amp;Y744&amp;Z744)</f>
        <v>Amphenol Interconnect India Pvt Ltd 2411</v>
      </c>
      <c r="D744" s="16">
        <v>816</v>
      </c>
      <c r="E744" s="9" t="s">
        <v>42</v>
      </c>
      <c r="F744" s="9"/>
      <c r="G744" s="24">
        <v>43717</v>
      </c>
      <c r="H744" s="24"/>
      <c r="I744" s="24"/>
      <c r="J744" s="24">
        <v>44446</v>
      </c>
      <c r="K744" s="24">
        <v>45175</v>
      </c>
      <c r="L744" s="32">
        <v>3</v>
      </c>
      <c r="M744" s="13"/>
      <c r="N744" s="13"/>
      <c r="O744" s="19" t="s">
        <v>2859</v>
      </c>
      <c r="P744" s="13" t="s">
        <v>2860</v>
      </c>
      <c r="Q744" s="13" t="s">
        <v>4851</v>
      </c>
      <c r="R744" s="13" t="s">
        <v>2861</v>
      </c>
      <c r="S744" s="13" t="s">
        <v>215</v>
      </c>
      <c r="T744" s="13">
        <v>411026</v>
      </c>
      <c r="U744" s="13" t="s">
        <v>172</v>
      </c>
      <c r="V744" s="8" t="s">
        <v>23</v>
      </c>
      <c r="W744" s="193">
        <v>2</v>
      </c>
      <c r="X744" s="8">
        <v>4</v>
      </c>
      <c r="Y744" s="8">
        <v>1</v>
      </c>
      <c r="Z744" s="8">
        <v>1</v>
      </c>
      <c r="AA744" s="193" t="s">
        <v>4150</v>
      </c>
      <c r="AB744" s="222"/>
    </row>
    <row r="745" spans="1:28" s="229" customFormat="1" ht="15" customHeight="1">
      <c r="A745" s="16">
        <v>744</v>
      </c>
      <c r="B745" s="14" t="s">
        <v>2862</v>
      </c>
      <c r="C745" s="14" t="str">
        <f>_xlfn.CONCAT(B745&amp;" "&amp;W745&amp;X745&amp;Y745&amp;Z745)</f>
        <v>Ideal Sheet Metal Stampings &amp; Pressings Pvt Ltd 2431</v>
      </c>
      <c r="D745" s="16">
        <v>829</v>
      </c>
      <c r="E745" s="9" t="s">
        <v>42</v>
      </c>
      <c r="F745" s="9"/>
      <c r="G745" s="24">
        <v>43724</v>
      </c>
      <c r="H745" s="24"/>
      <c r="I745" s="24"/>
      <c r="J745" s="24">
        <v>43724</v>
      </c>
      <c r="K745" s="24">
        <v>44089</v>
      </c>
      <c r="L745" s="32">
        <v>3</v>
      </c>
      <c r="M745" s="13" t="s">
        <v>2863</v>
      </c>
      <c r="N745" s="13"/>
      <c r="O745" s="19" t="s">
        <v>2864</v>
      </c>
      <c r="P745" s="13" t="s">
        <v>1812</v>
      </c>
      <c r="Q745" s="13" t="s">
        <v>4852</v>
      </c>
      <c r="R745" s="13" t="s">
        <v>2865</v>
      </c>
      <c r="S745" s="13" t="s">
        <v>143</v>
      </c>
      <c r="T745" s="13">
        <v>382445</v>
      </c>
      <c r="U745" s="13" t="s">
        <v>144</v>
      </c>
      <c r="V745" s="8" t="s">
        <v>23</v>
      </c>
      <c r="W745" s="193">
        <v>2</v>
      </c>
      <c r="X745" s="8">
        <v>4</v>
      </c>
      <c r="Y745" s="8">
        <v>3</v>
      </c>
      <c r="Z745" s="8">
        <v>1</v>
      </c>
      <c r="AA745" s="193" t="s">
        <v>4151</v>
      </c>
      <c r="AB745" s="222"/>
    </row>
    <row r="746" spans="1:28" s="229" customFormat="1" ht="15" customHeight="1">
      <c r="A746" s="16">
        <v>745</v>
      </c>
      <c r="B746" s="14" t="s">
        <v>2866</v>
      </c>
      <c r="C746" s="14" t="str">
        <f>_xlfn.CONCAT(B746&amp;" "&amp;W746&amp;X746&amp;Y746&amp;Z746)</f>
        <v>AceInotec Manufacturing Pvt Ltd 8051</v>
      </c>
      <c r="D746" s="16">
        <v>826</v>
      </c>
      <c r="E746" s="9" t="s">
        <v>42</v>
      </c>
      <c r="F746" s="9"/>
      <c r="G746" s="24">
        <v>43728</v>
      </c>
      <c r="H746" s="24"/>
      <c r="I746" s="24"/>
      <c r="J746" s="24">
        <v>44103</v>
      </c>
      <c r="K746" s="24">
        <v>44467</v>
      </c>
      <c r="L746" s="32">
        <v>3</v>
      </c>
      <c r="M746" s="13" t="s">
        <v>2867</v>
      </c>
      <c r="N746" s="13" t="s">
        <v>1161</v>
      </c>
      <c r="O746" s="19" t="s">
        <v>2868</v>
      </c>
      <c r="P746" s="13" t="s">
        <v>2196</v>
      </c>
      <c r="Q746" s="13" t="s">
        <v>4853</v>
      </c>
      <c r="R746" s="13" t="s">
        <v>1512</v>
      </c>
      <c r="S746" s="13" t="s">
        <v>21</v>
      </c>
      <c r="T746" s="13">
        <v>560058</v>
      </c>
      <c r="U746" s="13" t="s">
        <v>22</v>
      </c>
      <c r="V746" s="8" t="s">
        <v>23</v>
      </c>
      <c r="W746" s="193">
        <v>8</v>
      </c>
      <c r="X746" s="8">
        <v>0</v>
      </c>
      <c r="Y746" s="8">
        <v>5</v>
      </c>
      <c r="Z746" s="8">
        <v>1</v>
      </c>
      <c r="AA746" s="193" t="s">
        <v>4118</v>
      </c>
      <c r="AB746" s="222"/>
    </row>
    <row r="747" spans="1:28" s="229" customFormat="1" ht="15" customHeight="1">
      <c r="A747" s="16">
        <v>746</v>
      </c>
      <c r="B747" s="14" t="s">
        <v>2869</v>
      </c>
      <c r="C747" s="14" t="str">
        <f>_xlfn.CONCAT(B747&amp;" "&amp;W747&amp;X747&amp;Y747&amp;Z747)</f>
        <v>Larsen &amp; Toubro Limited (Electrical &amp; Automation) 5112</v>
      </c>
      <c r="D747" s="16">
        <v>841</v>
      </c>
      <c r="E747" s="9" t="s">
        <v>90</v>
      </c>
      <c r="F747" s="9"/>
      <c r="G747" s="24">
        <v>43732</v>
      </c>
      <c r="H747" s="24"/>
      <c r="I747" s="24"/>
      <c r="J747" s="24">
        <v>43732</v>
      </c>
      <c r="K747" s="24">
        <v>44462</v>
      </c>
      <c r="L747" s="32">
        <v>3</v>
      </c>
      <c r="M747" s="13" t="s">
        <v>2870</v>
      </c>
      <c r="N747" s="13"/>
      <c r="O747" s="19" t="s">
        <v>2871</v>
      </c>
      <c r="P747" s="13" t="s">
        <v>2428</v>
      </c>
      <c r="Q747" s="13" t="s">
        <v>4854</v>
      </c>
      <c r="R747" s="13" t="s">
        <v>2872</v>
      </c>
      <c r="S747" s="13" t="s">
        <v>1545</v>
      </c>
      <c r="T747" s="13">
        <v>390019</v>
      </c>
      <c r="U747" s="13" t="s">
        <v>144</v>
      </c>
      <c r="V747" s="8" t="s">
        <v>23</v>
      </c>
      <c r="W747" s="193">
        <v>5</v>
      </c>
      <c r="X747" s="8">
        <v>1</v>
      </c>
      <c r="Y747" s="8">
        <v>1</v>
      </c>
      <c r="Z747" s="8">
        <v>2</v>
      </c>
      <c r="AA747" s="193" t="s">
        <v>4118</v>
      </c>
      <c r="AB747" s="222"/>
    </row>
    <row r="748" spans="1:28" s="229" customFormat="1" ht="15" customHeight="1">
      <c r="A748" s="16">
        <v>747</v>
      </c>
      <c r="B748" s="14" t="s">
        <v>2873</v>
      </c>
      <c r="C748" s="14" t="str">
        <f>_xlfn.CONCAT(B748&amp;" "&amp;W748&amp;X748&amp;Y748&amp;Z748)</f>
        <v>JBJ Technologies Ltd 1152</v>
      </c>
      <c r="D748" s="16">
        <v>812</v>
      </c>
      <c r="E748" s="9" t="s">
        <v>42</v>
      </c>
      <c r="F748" s="9"/>
      <c r="G748" s="24">
        <v>43732</v>
      </c>
      <c r="H748" s="24"/>
      <c r="I748" s="24"/>
      <c r="J748" s="24">
        <v>43732</v>
      </c>
      <c r="K748" s="24">
        <v>44827</v>
      </c>
      <c r="L748" s="32">
        <v>3</v>
      </c>
      <c r="M748" s="13" t="s">
        <v>2874</v>
      </c>
      <c r="N748" s="13"/>
      <c r="O748" s="19" t="s">
        <v>2875</v>
      </c>
      <c r="P748" s="13" t="s">
        <v>2835</v>
      </c>
      <c r="Q748" s="13" t="s">
        <v>4855</v>
      </c>
      <c r="R748" s="13"/>
      <c r="S748" s="13" t="s">
        <v>2836</v>
      </c>
      <c r="T748" s="13">
        <v>201306</v>
      </c>
      <c r="U748" s="13" t="s">
        <v>184</v>
      </c>
      <c r="V748" s="8" t="s">
        <v>23</v>
      </c>
      <c r="W748" s="193">
        <v>1</v>
      </c>
      <c r="X748" s="8">
        <v>1</v>
      </c>
      <c r="Y748" s="8">
        <v>5</v>
      </c>
      <c r="Z748" s="8">
        <v>2</v>
      </c>
      <c r="AA748" s="193" t="s">
        <v>4118</v>
      </c>
      <c r="AB748" s="222"/>
    </row>
    <row r="749" spans="1:28" s="229" customFormat="1" ht="15" customHeight="1">
      <c r="A749" s="16">
        <v>748</v>
      </c>
      <c r="B749" s="14" t="s">
        <v>2873</v>
      </c>
      <c r="C749" s="14" t="str">
        <f>_xlfn.CONCAT(B749&amp;" "&amp;W749&amp;X749&amp;Y749&amp;Z749)</f>
        <v>JBJ Technologies Ltd 1152</v>
      </c>
      <c r="D749" s="16">
        <v>781</v>
      </c>
      <c r="E749" s="9" t="s">
        <v>2082</v>
      </c>
      <c r="F749" s="9"/>
      <c r="G749" s="24">
        <v>43732</v>
      </c>
      <c r="H749" s="24"/>
      <c r="I749" s="24"/>
      <c r="J749" s="24">
        <v>43732</v>
      </c>
      <c r="K749" s="24">
        <v>44827</v>
      </c>
      <c r="L749" s="32">
        <v>3</v>
      </c>
      <c r="M749" s="13" t="s">
        <v>2874</v>
      </c>
      <c r="N749" s="13"/>
      <c r="O749" s="19" t="s">
        <v>2875</v>
      </c>
      <c r="P749" s="13" t="s">
        <v>2835</v>
      </c>
      <c r="Q749" s="13" t="s">
        <v>4855</v>
      </c>
      <c r="R749" s="13"/>
      <c r="S749" s="13" t="s">
        <v>2836</v>
      </c>
      <c r="T749" s="13">
        <v>201306</v>
      </c>
      <c r="U749" s="13" t="s">
        <v>184</v>
      </c>
      <c r="V749" s="8" t="s">
        <v>23</v>
      </c>
      <c r="W749" s="193">
        <v>1</v>
      </c>
      <c r="X749" s="8">
        <v>1</v>
      </c>
      <c r="Y749" s="8">
        <v>5</v>
      </c>
      <c r="Z749" s="8">
        <v>2</v>
      </c>
      <c r="AA749" s="193" t="s">
        <v>4118</v>
      </c>
      <c r="AB749" s="222"/>
    </row>
    <row r="750" spans="1:28" s="229" customFormat="1" ht="15" customHeight="1">
      <c r="A750" s="16">
        <v>749</v>
      </c>
      <c r="B750" s="14" t="s">
        <v>2876</v>
      </c>
      <c r="C750" s="14" t="str">
        <f>_xlfn.CONCAT(B750&amp;" "&amp;W750&amp;X750&amp;Y750&amp;Z750)</f>
        <v>ABDOS Labtech Pvt Ltd 1042</v>
      </c>
      <c r="D750" s="16">
        <v>814</v>
      </c>
      <c r="E750" s="9" t="s">
        <v>42</v>
      </c>
      <c r="F750" s="9"/>
      <c r="G750" s="24">
        <v>43732</v>
      </c>
      <c r="H750" s="24"/>
      <c r="I750" s="24"/>
      <c r="J750" s="24">
        <v>43732</v>
      </c>
      <c r="K750" s="24">
        <v>44462</v>
      </c>
      <c r="L750" s="32">
        <v>3</v>
      </c>
      <c r="M750" s="13" t="s">
        <v>2877</v>
      </c>
      <c r="N750" s="13"/>
      <c r="O750" s="19" t="s">
        <v>2878</v>
      </c>
      <c r="P750" s="13" t="s">
        <v>2879</v>
      </c>
      <c r="Q750" s="13" t="s">
        <v>4856</v>
      </c>
      <c r="R750" s="13" t="s">
        <v>2880</v>
      </c>
      <c r="S750" s="13" t="s">
        <v>2881</v>
      </c>
      <c r="T750" s="13">
        <v>247667</v>
      </c>
      <c r="U750" s="13" t="s">
        <v>836</v>
      </c>
      <c r="V750" s="8" t="s">
        <v>23</v>
      </c>
      <c r="W750" s="193">
        <v>1</v>
      </c>
      <c r="X750" s="8">
        <v>0</v>
      </c>
      <c r="Y750" s="8">
        <v>4</v>
      </c>
      <c r="Z750" s="8">
        <v>2</v>
      </c>
      <c r="AA750" s="193" t="s">
        <v>4118</v>
      </c>
      <c r="AB750" s="222"/>
    </row>
    <row r="751" spans="1:28" s="229" customFormat="1" ht="15" customHeight="1">
      <c r="A751" s="16">
        <v>750</v>
      </c>
      <c r="B751" s="14" t="s">
        <v>2882</v>
      </c>
      <c r="C751" s="14" t="str">
        <f>_xlfn.CONCAT(B751&amp;" "&amp;W751&amp;X751&amp;Y751&amp;Z751)</f>
        <v>Smith Industrial Corporation Pvt Ltd 1141</v>
      </c>
      <c r="D751" s="16">
        <v>831</v>
      </c>
      <c r="E751" s="9" t="s">
        <v>42</v>
      </c>
      <c r="F751" s="9"/>
      <c r="G751" s="24">
        <v>43743</v>
      </c>
      <c r="H751" s="24"/>
      <c r="I751" s="24"/>
      <c r="J751" s="24">
        <v>43743</v>
      </c>
      <c r="K751" s="24">
        <v>44838</v>
      </c>
      <c r="L751" s="32">
        <v>3</v>
      </c>
      <c r="M751" s="13" t="s">
        <v>2883</v>
      </c>
      <c r="N751" s="13"/>
      <c r="O751" s="19">
        <v>9810378204</v>
      </c>
      <c r="P751" s="13" t="s">
        <v>2884</v>
      </c>
      <c r="Q751" s="13" t="s">
        <v>4857</v>
      </c>
      <c r="R751" s="13" t="s">
        <v>2885</v>
      </c>
      <c r="S751" s="13" t="s">
        <v>2886</v>
      </c>
      <c r="T751" s="13">
        <v>201007</v>
      </c>
      <c r="U751" s="13" t="s">
        <v>184</v>
      </c>
      <c r="V751" s="8" t="s">
        <v>23</v>
      </c>
      <c r="W751" s="193">
        <v>1</v>
      </c>
      <c r="X751" s="8">
        <v>1</v>
      </c>
      <c r="Y751" s="8">
        <v>4</v>
      </c>
      <c r="Z751" s="8">
        <v>1</v>
      </c>
      <c r="AA751" s="193" t="s">
        <v>4118</v>
      </c>
      <c r="AB751" s="222"/>
    </row>
    <row r="752" spans="1:28" s="229" customFormat="1" ht="15" customHeight="1">
      <c r="A752" s="16">
        <v>751</v>
      </c>
      <c r="B752" s="14" t="s">
        <v>2887</v>
      </c>
      <c r="C752" s="14" t="str">
        <f>_xlfn.CONCAT(B752&amp;" "&amp;W752&amp;X752&amp;Y752&amp;Z752)</f>
        <v>Pasupaty Springs Pvt Ltd 1162</v>
      </c>
      <c r="D752" s="16">
        <v>828</v>
      </c>
      <c r="E752" s="9" t="s">
        <v>42</v>
      </c>
      <c r="F752" s="9"/>
      <c r="G752" s="24">
        <v>43743</v>
      </c>
      <c r="H752" s="24"/>
      <c r="I752" s="24"/>
      <c r="J752" s="24">
        <v>43743</v>
      </c>
      <c r="K752" s="24">
        <v>44473</v>
      </c>
      <c r="L752" s="32">
        <v>3</v>
      </c>
      <c r="M752" s="13" t="s">
        <v>2888</v>
      </c>
      <c r="N752" s="13"/>
      <c r="O752" s="19">
        <v>9810031161</v>
      </c>
      <c r="P752" s="13" t="s">
        <v>1812</v>
      </c>
      <c r="Q752" s="13" t="s">
        <v>4858</v>
      </c>
      <c r="R752" s="13"/>
      <c r="S752" s="13" t="s">
        <v>80</v>
      </c>
      <c r="T752" s="13">
        <v>110064</v>
      </c>
      <c r="U752" s="13" t="s">
        <v>81</v>
      </c>
      <c r="V752" s="8" t="s">
        <v>23</v>
      </c>
      <c r="W752" s="193">
        <v>1</v>
      </c>
      <c r="X752" s="8">
        <v>1</v>
      </c>
      <c r="Y752" s="8">
        <v>6</v>
      </c>
      <c r="Z752" s="8">
        <v>2</v>
      </c>
      <c r="AA752" s="193" t="s">
        <v>4118</v>
      </c>
      <c r="AB752" s="222"/>
    </row>
    <row r="753" spans="1:28" s="229" customFormat="1" ht="15" customHeight="1">
      <c r="A753" s="16">
        <v>752</v>
      </c>
      <c r="B753" s="14" t="s">
        <v>2889</v>
      </c>
      <c r="C753" s="14" t="str">
        <f>_xlfn.CONCAT(B753&amp;" "&amp;W753&amp;X753&amp;Y753&amp;Z753)</f>
        <v>Candid Micron Measurements Pvt Ltd 4161</v>
      </c>
      <c r="D753" s="16">
        <v>840</v>
      </c>
      <c r="E753" s="9" t="s">
        <v>90</v>
      </c>
      <c r="F753" s="9"/>
      <c r="G753" s="24">
        <v>43752</v>
      </c>
      <c r="H753" s="24"/>
      <c r="I753" s="24"/>
      <c r="J753" s="24">
        <v>44202</v>
      </c>
      <c r="K753" s="24">
        <v>44566</v>
      </c>
      <c r="L753" s="32">
        <v>3</v>
      </c>
      <c r="M753" s="14" t="s">
        <v>105</v>
      </c>
      <c r="N753" s="14" t="s">
        <v>28</v>
      </c>
      <c r="O753" s="18" t="s">
        <v>106</v>
      </c>
      <c r="P753" s="195" t="s">
        <v>107</v>
      </c>
      <c r="Q753" s="195" t="s">
        <v>4166</v>
      </c>
      <c r="R753" s="195" t="s">
        <v>108</v>
      </c>
      <c r="S753" s="195" t="s">
        <v>101</v>
      </c>
      <c r="T753" s="195">
        <v>641006</v>
      </c>
      <c r="U753" s="195" t="s">
        <v>38</v>
      </c>
      <c r="V753" s="195" t="s">
        <v>23</v>
      </c>
      <c r="W753" s="193">
        <v>4</v>
      </c>
      <c r="X753" s="195">
        <v>1</v>
      </c>
      <c r="Y753" s="195">
        <v>6</v>
      </c>
      <c r="Z753" s="195">
        <v>1</v>
      </c>
      <c r="AA753" s="193" t="s">
        <v>4148</v>
      </c>
      <c r="AB753" s="222"/>
    </row>
    <row r="754" spans="1:28" s="229" customFormat="1" ht="15" customHeight="1">
      <c r="A754" s="16">
        <v>753</v>
      </c>
      <c r="B754" s="14" t="s">
        <v>2890</v>
      </c>
      <c r="C754" s="14" t="str">
        <f>_xlfn.CONCAT(B754&amp;" "&amp;W754&amp;X754&amp;Y754&amp;Z754)</f>
        <v>Salasar Terminals Pvt Ltd (Om Sai Engg) 2112</v>
      </c>
      <c r="D754" s="16">
        <v>819</v>
      </c>
      <c r="E754" s="9" t="s">
        <v>42</v>
      </c>
      <c r="F754" s="9"/>
      <c r="G754" s="24">
        <v>43753</v>
      </c>
      <c r="H754" s="24"/>
      <c r="I754" s="24"/>
      <c r="J754" s="24">
        <v>45968</v>
      </c>
      <c r="K754" s="24">
        <v>46332</v>
      </c>
      <c r="L754" s="32">
        <v>3</v>
      </c>
      <c r="M754" s="13"/>
      <c r="N754" s="13"/>
      <c r="O754" s="19" t="s">
        <v>2891</v>
      </c>
      <c r="P754" s="13" t="s">
        <v>2892</v>
      </c>
      <c r="Q754" s="13" t="s">
        <v>4859</v>
      </c>
      <c r="R754" s="13" t="s">
        <v>2143</v>
      </c>
      <c r="S754" s="13" t="s">
        <v>178</v>
      </c>
      <c r="T754" s="13">
        <v>401208</v>
      </c>
      <c r="U754" s="13" t="s">
        <v>172</v>
      </c>
      <c r="V754" s="8" t="s">
        <v>23</v>
      </c>
      <c r="W754" s="193">
        <v>2</v>
      </c>
      <c r="X754" s="8">
        <v>1</v>
      </c>
      <c r="Y754" s="8">
        <v>1</v>
      </c>
      <c r="Z754" s="8">
        <v>2</v>
      </c>
      <c r="AA754" s="193" t="s">
        <v>4118</v>
      </c>
      <c r="AB754" s="222"/>
    </row>
    <row r="755" spans="1:28" s="229" customFormat="1" ht="15" customHeight="1">
      <c r="A755" s="16">
        <v>754</v>
      </c>
      <c r="B755" s="9" t="s">
        <v>2893</v>
      </c>
      <c r="C755" s="14" t="str">
        <f>_xlfn.CONCAT(B755&amp;" "&amp;W755&amp;X755&amp;Y755&amp;Z755)</f>
        <v>Devi Turnomatics Pvt Ltd 5401</v>
      </c>
      <c r="D755" s="16">
        <v>860</v>
      </c>
      <c r="E755" s="9" t="s">
        <v>42</v>
      </c>
      <c r="F755" s="9"/>
      <c r="G755" s="31">
        <v>43764</v>
      </c>
      <c r="H755" s="31"/>
      <c r="I755" s="31"/>
      <c r="J755" s="24">
        <v>45988</v>
      </c>
      <c r="K755" s="24">
        <v>46352</v>
      </c>
      <c r="L755" s="32">
        <v>3</v>
      </c>
      <c r="M755" s="13"/>
      <c r="N755" s="13"/>
      <c r="O755" s="19"/>
      <c r="P755" s="2" t="s">
        <v>2894</v>
      </c>
      <c r="Q755" s="2" t="s">
        <v>4860</v>
      </c>
      <c r="R755" s="2" t="s">
        <v>2895</v>
      </c>
      <c r="S755" s="2" t="s">
        <v>571</v>
      </c>
      <c r="T755" s="2">
        <v>361004</v>
      </c>
      <c r="U755" s="2" t="s">
        <v>144</v>
      </c>
      <c r="V755" s="2" t="s">
        <v>23</v>
      </c>
      <c r="W755" s="193">
        <v>5</v>
      </c>
      <c r="X755" s="2">
        <v>4</v>
      </c>
      <c r="Y755" s="2">
        <v>0</v>
      </c>
      <c r="Z755" s="2">
        <v>1</v>
      </c>
      <c r="AA755" s="193" t="s">
        <v>4137</v>
      </c>
      <c r="AB755" s="222"/>
    </row>
    <row r="756" spans="1:28" s="229" customFormat="1" ht="15" customHeight="1">
      <c r="A756" s="16">
        <v>755</v>
      </c>
      <c r="B756" s="9" t="s">
        <v>2896</v>
      </c>
      <c r="C756" s="14" t="str">
        <f>_xlfn.CONCAT(B756&amp;" "&amp;W756&amp;X756&amp;Y756&amp;Z756)</f>
        <v>C &amp; S Electric Ltd 1151</v>
      </c>
      <c r="D756" s="16">
        <v>830</v>
      </c>
      <c r="E756" s="9" t="s">
        <v>42</v>
      </c>
      <c r="F756" s="9"/>
      <c r="G756" s="24">
        <v>43773</v>
      </c>
      <c r="H756" s="24"/>
      <c r="I756" s="24"/>
      <c r="J756" s="24">
        <v>43773</v>
      </c>
      <c r="K756" s="24">
        <v>44503</v>
      </c>
      <c r="L756" s="32">
        <v>3</v>
      </c>
      <c r="M756" s="13"/>
      <c r="N756" s="13"/>
      <c r="O756" s="19"/>
      <c r="P756" s="2" t="s">
        <v>79</v>
      </c>
      <c r="Q756" s="2" t="s">
        <v>4861</v>
      </c>
      <c r="R756" s="2" t="s">
        <v>2756</v>
      </c>
      <c r="S756" s="2" t="s">
        <v>185</v>
      </c>
      <c r="T756" s="2">
        <v>201305</v>
      </c>
      <c r="U756" s="2" t="s">
        <v>184</v>
      </c>
      <c r="V756" s="2" t="s">
        <v>23</v>
      </c>
      <c r="W756" s="193">
        <v>1</v>
      </c>
      <c r="X756" s="2">
        <v>1</v>
      </c>
      <c r="Y756" s="2">
        <v>5</v>
      </c>
      <c r="Z756" s="2">
        <v>1</v>
      </c>
      <c r="AA756" s="193" t="s">
        <v>4118</v>
      </c>
      <c r="AB756" s="222"/>
    </row>
    <row r="757" spans="1:28" s="229" customFormat="1" ht="15" customHeight="1">
      <c r="A757" s="16">
        <v>756</v>
      </c>
      <c r="B757" s="9" t="s">
        <v>2897</v>
      </c>
      <c r="C757" s="14" t="str">
        <f>_xlfn.CONCAT(B757&amp;" "&amp;W757&amp;X757&amp;Y757&amp;Z757)</f>
        <v>Hyo Seong Electric India Pvt Ltd 4031</v>
      </c>
      <c r="D757" s="16">
        <v>861</v>
      </c>
      <c r="E757" s="9" t="s">
        <v>42</v>
      </c>
      <c r="F757" s="9"/>
      <c r="G757" s="24">
        <v>43780</v>
      </c>
      <c r="H757" s="24"/>
      <c r="I757" s="24"/>
      <c r="J757" s="24">
        <v>44508</v>
      </c>
      <c r="K757" s="24">
        <v>44872</v>
      </c>
      <c r="L757" s="32">
        <v>3</v>
      </c>
      <c r="M757" s="13"/>
      <c r="N757" s="13"/>
      <c r="O757" s="19"/>
      <c r="P757" s="2" t="s">
        <v>2534</v>
      </c>
      <c r="Q757" s="2" t="s">
        <v>4862</v>
      </c>
      <c r="R757" s="2"/>
      <c r="S757" s="2" t="s">
        <v>2503</v>
      </c>
      <c r="T757" s="2">
        <v>602105</v>
      </c>
      <c r="U757" s="2" t="s">
        <v>38</v>
      </c>
      <c r="V757" s="2" t="s">
        <v>23</v>
      </c>
      <c r="W757" s="193">
        <v>4</v>
      </c>
      <c r="X757" s="2">
        <v>0</v>
      </c>
      <c r="Y757" s="2">
        <v>3</v>
      </c>
      <c r="Z757" s="2">
        <v>1</v>
      </c>
      <c r="AA757" s="193" t="s">
        <v>4148</v>
      </c>
      <c r="AB757" s="222"/>
    </row>
    <row r="758" spans="1:28" s="229" customFormat="1" ht="15" customHeight="1">
      <c r="A758" s="16">
        <v>757</v>
      </c>
      <c r="B758" s="9" t="s">
        <v>2898</v>
      </c>
      <c r="C758" s="14" t="str">
        <f>_xlfn.CONCAT(B758&amp;" "&amp;W758&amp;X758&amp;Y758&amp;Z758)</f>
        <v>Star Engineers (I) Pvt Ltd (Vietnam) 2421</v>
      </c>
      <c r="D758" s="16">
        <v>865</v>
      </c>
      <c r="E758" s="9" t="s">
        <v>42</v>
      </c>
      <c r="F758" s="9"/>
      <c r="G758" s="24">
        <v>43783</v>
      </c>
      <c r="H758" s="24"/>
      <c r="I758" s="24"/>
      <c r="J758" s="24">
        <v>43783</v>
      </c>
      <c r="K758" s="24">
        <v>44148</v>
      </c>
      <c r="L758" s="32">
        <v>3</v>
      </c>
      <c r="M758" s="13"/>
      <c r="N758" s="13"/>
      <c r="O758" s="19">
        <v>9823647480</v>
      </c>
      <c r="P758" s="2" t="s">
        <v>2899</v>
      </c>
      <c r="Q758" s="2" t="s">
        <v>4863</v>
      </c>
      <c r="R758" s="2"/>
      <c r="S758" s="2" t="s">
        <v>215</v>
      </c>
      <c r="T758" s="2">
        <v>412114</v>
      </c>
      <c r="U758" s="2" t="s">
        <v>172</v>
      </c>
      <c r="V758" s="2" t="s">
        <v>23</v>
      </c>
      <c r="W758" s="193">
        <v>2</v>
      </c>
      <c r="X758" s="2">
        <v>4</v>
      </c>
      <c r="Y758" s="2">
        <v>2</v>
      </c>
      <c r="Z758" s="2">
        <v>1</v>
      </c>
      <c r="AA758" s="193" t="s">
        <v>4151</v>
      </c>
      <c r="AB758" s="222"/>
    </row>
    <row r="759" spans="1:28" s="229" customFormat="1" ht="15" customHeight="1">
      <c r="A759" s="16">
        <v>758</v>
      </c>
      <c r="B759" s="9" t="s">
        <v>2866</v>
      </c>
      <c r="C759" s="14" t="str">
        <f>_xlfn.CONCAT(B759&amp;" "&amp;W759&amp;X759&amp;Y759&amp;Z759)</f>
        <v>AceInotec Manufacturing Pvt Ltd 8051</v>
      </c>
      <c r="D759" s="16">
        <v>864</v>
      </c>
      <c r="E759" s="9" t="s">
        <v>42</v>
      </c>
      <c r="F759" s="9"/>
      <c r="G759" s="24">
        <v>43790</v>
      </c>
      <c r="H759" s="24"/>
      <c r="I759" s="24"/>
      <c r="J759" s="24">
        <v>43790</v>
      </c>
      <c r="K759" s="24">
        <v>44155</v>
      </c>
      <c r="L759" s="32">
        <v>3</v>
      </c>
      <c r="M759" s="13" t="s">
        <v>2867</v>
      </c>
      <c r="N759" s="13" t="s">
        <v>1161</v>
      </c>
      <c r="O759" s="19" t="s">
        <v>2868</v>
      </c>
      <c r="P759" s="13" t="s">
        <v>2196</v>
      </c>
      <c r="Q759" s="13" t="s">
        <v>4853</v>
      </c>
      <c r="R759" s="13" t="s">
        <v>1512</v>
      </c>
      <c r="S759" s="13" t="s">
        <v>21</v>
      </c>
      <c r="T759" s="13">
        <v>560058</v>
      </c>
      <c r="U759" s="13" t="s">
        <v>22</v>
      </c>
      <c r="V759" s="8" t="s">
        <v>23</v>
      </c>
      <c r="W759" s="193">
        <v>8</v>
      </c>
      <c r="X759" s="8">
        <v>0</v>
      </c>
      <c r="Y759" s="8">
        <v>5</v>
      </c>
      <c r="Z759" s="8">
        <v>1</v>
      </c>
      <c r="AA759" s="193" t="s">
        <v>4118</v>
      </c>
      <c r="AB759" s="222"/>
    </row>
    <row r="760" spans="1:28" s="229" customFormat="1" ht="15" customHeight="1">
      <c r="A760" s="16">
        <v>759</v>
      </c>
      <c r="B760" s="9" t="s">
        <v>2900</v>
      </c>
      <c r="C760" s="14" t="str">
        <f>_xlfn.CONCAT(B760&amp;" "&amp;W760&amp;X760&amp;Y760&amp;Z760)</f>
        <v>Pilot Gasket &amp; Engineers 2222</v>
      </c>
      <c r="D760" s="16">
        <v>827</v>
      </c>
      <c r="E760" s="9" t="s">
        <v>42</v>
      </c>
      <c r="F760" s="9"/>
      <c r="G760" s="24">
        <v>43796</v>
      </c>
      <c r="H760" s="24"/>
      <c r="I760" s="24"/>
      <c r="J760" s="24">
        <v>44229</v>
      </c>
      <c r="K760" s="24">
        <v>44593</v>
      </c>
      <c r="L760" s="32">
        <v>3</v>
      </c>
      <c r="M760" s="13" t="s">
        <v>2901</v>
      </c>
      <c r="N760" s="13" t="s">
        <v>28</v>
      </c>
      <c r="O760" s="19" t="s">
        <v>2902</v>
      </c>
      <c r="P760" s="2" t="s">
        <v>2903</v>
      </c>
      <c r="Q760" s="2" t="s">
        <v>4864</v>
      </c>
      <c r="R760" s="2" t="s">
        <v>2904</v>
      </c>
      <c r="S760" s="2" t="s">
        <v>177</v>
      </c>
      <c r="T760" s="2">
        <v>421302</v>
      </c>
      <c r="U760" s="2" t="s">
        <v>172</v>
      </c>
      <c r="V760" s="2" t="s">
        <v>23</v>
      </c>
      <c r="W760" s="193">
        <v>2</v>
      </c>
      <c r="X760" s="2">
        <v>2</v>
      </c>
      <c r="Y760" s="2">
        <v>2</v>
      </c>
      <c r="Z760" s="2">
        <v>2</v>
      </c>
      <c r="AA760" s="193" t="s">
        <v>4118</v>
      </c>
      <c r="AB760" s="222"/>
    </row>
    <row r="761" spans="1:28" s="229" customFormat="1" ht="15" customHeight="1">
      <c r="A761" s="16">
        <v>760</v>
      </c>
      <c r="B761" s="9" t="s">
        <v>2905</v>
      </c>
      <c r="C761" s="14" t="str">
        <f>_xlfn.CONCAT(B761&amp;" "&amp;W761&amp;X761&amp;Y761&amp;Z761)</f>
        <v>Leo Precision Products 2111</v>
      </c>
      <c r="D761" s="16">
        <v>842</v>
      </c>
      <c r="E761" s="9" t="s">
        <v>90</v>
      </c>
      <c r="F761" s="9"/>
      <c r="G761" s="24">
        <v>43799</v>
      </c>
      <c r="H761" s="24"/>
      <c r="I761" s="24"/>
      <c r="J761" s="24">
        <v>44533</v>
      </c>
      <c r="K761" s="24">
        <v>44897</v>
      </c>
      <c r="L761" s="32">
        <v>3</v>
      </c>
      <c r="M761" s="13" t="s">
        <v>2769</v>
      </c>
      <c r="N761" s="13" t="s">
        <v>2906</v>
      </c>
      <c r="O761" s="19">
        <v>7211142208</v>
      </c>
      <c r="P761" s="2" t="s">
        <v>2907</v>
      </c>
      <c r="Q761" s="2" t="s">
        <v>4865</v>
      </c>
      <c r="R761" s="2" t="s">
        <v>2908</v>
      </c>
      <c r="S761" s="2" t="s">
        <v>1550</v>
      </c>
      <c r="T761" s="2">
        <v>396230</v>
      </c>
      <c r="U761" s="2" t="s">
        <v>2909</v>
      </c>
      <c r="V761" s="2" t="s">
        <v>23</v>
      </c>
      <c r="W761" s="193">
        <v>2</v>
      </c>
      <c r="X761" s="2">
        <v>1</v>
      </c>
      <c r="Y761" s="2">
        <v>1</v>
      </c>
      <c r="Z761" s="2">
        <v>1</v>
      </c>
      <c r="AA761" s="193" t="s">
        <v>4118</v>
      </c>
      <c r="AB761" s="222"/>
    </row>
    <row r="762" spans="1:28" s="229" customFormat="1" ht="15" customHeight="1">
      <c r="A762" s="16">
        <v>761</v>
      </c>
      <c r="B762" s="9" t="s">
        <v>2910</v>
      </c>
      <c r="C762" s="14" t="str">
        <f>_xlfn.CONCAT(B762&amp;" "&amp;W762&amp;X762&amp;Y762&amp;Z762)</f>
        <v>Star Engineers (I) Pvt Ltd 2421</v>
      </c>
      <c r="D762" s="16">
        <v>866</v>
      </c>
      <c r="E762" s="9" t="s">
        <v>42</v>
      </c>
      <c r="F762" s="9"/>
      <c r="G762" s="24">
        <v>43802</v>
      </c>
      <c r="H762" s="24"/>
      <c r="I762" s="24"/>
      <c r="J762" s="24">
        <v>43802</v>
      </c>
      <c r="K762" s="24">
        <v>44167</v>
      </c>
      <c r="L762" s="32">
        <v>3</v>
      </c>
      <c r="M762" s="13"/>
      <c r="N762" s="13"/>
      <c r="O762" s="19">
        <v>9823647480</v>
      </c>
      <c r="P762" s="2" t="s">
        <v>2899</v>
      </c>
      <c r="Q762" s="2" t="s">
        <v>4863</v>
      </c>
      <c r="R762" s="2"/>
      <c r="S762" s="2" t="s">
        <v>215</v>
      </c>
      <c r="T762" s="2">
        <v>412114</v>
      </c>
      <c r="U762" s="2" t="s">
        <v>172</v>
      </c>
      <c r="V762" s="2" t="s">
        <v>23</v>
      </c>
      <c r="W762" s="193">
        <v>2</v>
      </c>
      <c r="X762" s="2">
        <v>4</v>
      </c>
      <c r="Y762" s="2">
        <v>2</v>
      </c>
      <c r="Z762" s="2">
        <v>1</v>
      </c>
      <c r="AA762" s="193" t="s">
        <v>4151</v>
      </c>
      <c r="AB762" s="222"/>
    </row>
    <row r="763" spans="1:28" s="229" customFormat="1" ht="15" customHeight="1">
      <c r="A763" s="16">
        <v>762</v>
      </c>
      <c r="B763" s="9" t="s">
        <v>2911</v>
      </c>
      <c r="C763" s="14" t="str">
        <f>_xlfn.CONCAT(B763&amp;" "&amp;W763&amp;X763&amp;Y763&amp;Z763)</f>
        <v>BC Instruments India Pvt Ltd 5112</v>
      </c>
      <c r="D763" s="16">
        <v>839</v>
      </c>
      <c r="E763" s="9" t="s">
        <v>90</v>
      </c>
      <c r="F763" s="9"/>
      <c r="G763" s="24">
        <v>43805</v>
      </c>
      <c r="H763" s="24"/>
      <c r="I763" s="24"/>
      <c r="J763" s="24">
        <v>44533</v>
      </c>
      <c r="K763" s="24">
        <v>44897</v>
      </c>
      <c r="L763" s="32">
        <v>3</v>
      </c>
      <c r="M763" s="13" t="s">
        <v>2912</v>
      </c>
      <c r="N763" s="13" t="s">
        <v>1161</v>
      </c>
      <c r="O763" s="19" t="s">
        <v>2913</v>
      </c>
      <c r="P763" s="2" t="s">
        <v>2914</v>
      </c>
      <c r="Q763" s="2" t="s">
        <v>4866</v>
      </c>
      <c r="R763" s="2" t="s">
        <v>1234</v>
      </c>
      <c r="S763" s="2" t="s">
        <v>143</v>
      </c>
      <c r="T763" s="2">
        <v>388121</v>
      </c>
      <c r="U763" s="2" t="s">
        <v>144</v>
      </c>
      <c r="V763" s="2" t="s">
        <v>23</v>
      </c>
      <c r="W763" s="193">
        <v>5</v>
      </c>
      <c r="X763" s="2">
        <v>1</v>
      </c>
      <c r="Y763" s="2">
        <v>1</v>
      </c>
      <c r="Z763" s="2">
        <v>2</v>
      </c>
      <c r="AA763" s="193" t="s">
        <v>4118</v>
      </c>
      <c r="AB763" s="222"/>
    </row>
    <row r="764" spans="1:28" s="229" customFormat="1" ht="15" customHeight="1">
      <c r="A764" s="16">
        <v>763</v>
      </c>
      <c r="B764" s="9" t="s">
        <v>2915</v>
      </c>
      <c r="C764" s="14" t="str">
        <f>_xlfn.CONCAT(B764&amp;" "&amp;W764&amp;X764&amp;Y764&amp;Z764)</f>
        <v>Indo MIM  Pvt Ltd 8061</v>
      </c>
      <c r="D764" s="16">
        <v>777</v>
      </c>
      <c r="E764" s="9" t="s">
        <v>2082</v>
      </c>
      <c r="F764" s="9"/>
      <c r="G764" s="24">
        <v>43808</v>
      </c>
      <c r="H764" s="24"/>
      <c r="I764" s="24"/>
      <c r="J764" s="24">
        <v>44512</v>
      </c>
      <c r="K764" s="24">
        <v>44876</v>
      </c>
      <c r="L764" s="32">
        <v>3</v>
      </c>
      <c r="M764" s="13" t="s">
        <v>2916</v>
      </c>
      <c r="N764" s="13"/>
      <c r="O764" s="19">
        <v>8892880778</v>
      </c>
      <c r="P764" s="2" t="s">
        <v>2267</v>
      </c>
      <c r="Q764" s="2" t="s">
        <v>4867</v>
      </c>
      <c r="R764" s="2" t="s">
        <v>749</v>
      </c>
      <c r="S764" s="2" t="s">
        <v>21</v>
      </c>
      <c r="T764" s="2">
        <v>561203</v>
      </c>
      <c r="U764" s="2" t="s">
        <v>22</v>
      </c>
      <c r="V764" s="2" t="s">
        <v>23</v>
      </c>
      <c r="W764" s="193">
        <v>8</v>
      </c>
      <c r="X764" s="2">
        <v>0</v>
      </c>
      <c r="Y764" s="2">
        <v>6</v>
      </c>
      <c r="Z764" s="2">
        <v>1</v>
      </c>
      <c r="AA764" s="193" t="s">
        <v>4118</v>
      </c>
      <c r="AB764" s="222"/>
    </row>
    <row r="765" spans="1:28" s="229" customFormat="1" ht="15" customHeight="1">
      <c r="A765" s="16">
        <v>764</v>
      </c>
      <c r="B765" s="14" t="s">
        <v>2896</v>
      </c>
      <c r="C765" s="14" t="str">
        <f>_xlfn.CONCAT(B765&amp;" "&amp;W765&amp;X765&amp;Y765&amp;Z765)</f>
        <v>C &amp; S Electric Ltd 1042</v>
      </c>
      <c r="D765" s="16">
        <v>862</v>
      </c>
      <c r="E765" s="9" t="s">
        <v>42</v>
      </c>
      <c r="F765" s="9"/>
      <c r="G765" s="24">
        <v>43811</v>
      </c>
      <c r="H765" s="24"/>
      <c r="I765" s="24"/>
      <c r="J765" s="24">
        <v>43811</v>
      </c>
      <c r="K765" s="24">
        <v>44541</v>
      </c>
      <c r="L765" s="32">
        <v>3</v>
      </c>
      <c r="M765" s="8"/>
      <c r="N765" s="8"/>
      <c r="O765" s="19"/>
      <c r="P765" s="8" t="s">
        <v>2917</v>
      </c>
      <c r="Q765" s="8" t="s">
        <v>4868</v>
      </c>
      <c r="R765" s="8" t="s">
        <v>2918</v>
      </c>
      <c r="S765" s="8" t="s">
        <v>835</v>
      </c>
      <c r="T765" s="8">
        <v>249403</v>
      </c>
      <c r="U765" s="8" t="s">
        <v>836</v>
      </c>
      <c r="V765" s="8" t="s">
        <v>23</v>
      </c>
      <c r="W765" s="193">
        <v>1</v>
      </c>
      <c r="X765" s="8">
        <v>0</v>
      </c>
      <c r="Y765" s="8">
        <v>4</v>
      </c>
      <c r="Z765" s="8">
        <v>2</v>
      </c>
      <c r="AA765" s="193" t="s">
        <v>4118</v>
      </c>
      <c r="AB765" s="222"/>
    </row>
    <row r="766" spans="1:28" s="229" customFormat="1" ht="15" customHeight="1">
      <c r="A766" s="16">
        <v>765</v>
      </c>
      <c r="B766" s="14" t="s">
        <v>2919</v>
      </c>
      <c r="C766" s="14" t="str">
        <f>_xlfn.CONCAT(B766&amp;" "&amp;W766&amp;X766&amp;Y766&amp;Z766)</f>
        <v>Spectra Products Pvt Ltd 1141</v>
      </c>
      <c r="D766" s="16">
        <v>845</v>
      </c>
      <c r="E766" s="9" t="s">
        <v>90</v>
      </c>
      <c r="F766" s="9"/>
      <c r="G766" s="24">
        <v>43816</v>
      </c>
      <c r="H766" s="24"/>
      <c r="I766" s="24"/>
      <c r="J766" s="24">
        <v>43816</v>
      </c>
      <c r="K766" s="24">
        <v>44546</v>
      </c>
      <c r="L766" s="32">
        <v>3</v>
      </c>
      <c r="M766" s="8"/>
      <c r="N766" s="8"/>
      <c r="O766" s="19" t="s">
        <v>2920</v>
      </c>
      <c r="P766" s="8" t="s">
        <v>2921</v>
      </c>
      <c r="Q766" s="8" t="s">
        <v>4869</v>
      </c>
      <c r="R766" s="8"/>
      <c r="S766" s="8" t="s">
        <v>1233</v>
      </c>
      <c r="T766" s="8">
        <v>201002</v>
      </c>
      <c r="U766" s="8" t="s">
        <v>184</v>
      </c>
      <c r="V766" s="8" t="s">
        <v>23</v>
      </c>
      <c r="W766" s="193">
        <v>1</v>
      </c>
      <c r="X766" s="8">
        <v>1</v>
      </c>
      <c r="Y766" s="8">
        <v>4</v>
      </c>
      <c r="Z766" s="8">
        <v>1</v>
      </c>
      <c r="AA766" s="193" t="s">
        <v>4118</v>
      </c>
      <c r="AB766" s="222"/>
    </row>
    <row r="767" spans="1:28" s="229" customFormat="1" ht="15" customHeight="1">
      <c r="A767" s="16">
        <v>766</v>
      </c>
      <c r="B767" s="14" t="s">
        <v>2922</v>
      </c>
      <c r="C767" s="14" t="str">
        <f>_xlfn.CONCAT(B767&amp;" "&amp;W767&amp;X767&amp;Y767&amp;Z767)</f>
        <v>Gowel Rubber Industries 1161</v>
      </c>
      <c r="D767" s="16">
        <v>871</v>
      </c>
      <c r="E767" s="9" t="s">
        <v>42</v>
      </c>
      <c r="F767" s="9"/>
      <c r="G767" s="24">
        <v>43836</v>
      </c>
      <c r="H767" s="24"/>
      <c r="I767" s="24"/>
      <c r="J767" s="24">
        <v>46010</v>
      </c>
      <c r="K767" s="24">
        <v>46374</v>
      </c>
      <c r="L767" s="32">
        <v>3</v>
      </c>
      <c r="M767" s="8"/>
      <c r="N767" s="8"/>
      <c r="O767" s="19" t="s">
        <v>2923</v>
      </c>
      <c r="P767" s="8" t="s">
        <v>2924</v>
      </c>
      <c r="Q767" s="8" t="s">
        <v>4870</v>
      </c>
      <c r="R767" s="8"/>
      <c r="S767" s="8" t="s">
        <v>454</v>
      </c>
      <c r="T767" s="8">
        <v>121004</v>
      </c>
      <c r="U767" s="8" t="s">
        <v>429</v>
      </c>
      <c r="V767" s="8" t="s">
        <v>23</v>
      </c>
      <c r="W767" s="193">
        <v>1</v>
      </c>
      <c r="X767" s="8">
        <v>1</v>
      </c>
      <c r="Y767" s="8">
        <v>6</v>
      </c>
      <c r="Z767" s="8">
        <v>1</v>
      </c>
      <c r="AA767" s="193" t="s">
        <v>4118</v>
      </c>
      <c r="AB767" s="222"/>
    </row>
    <row r="768" spans="1:28" s="229" customFormat="1" ht="15" customHeight="1">
      <c r="A768" s="16">
        <v>767</v>
      </c>
      <c r="B768" s="14" t="s">
        <v>2925</v>
      </c>
      <c r="C768" s="14" t="str">
        <f>_xlfn.CONCAT(B768&amp;" "&amp;W768&amp;X768&amp;Y768&amp;Z768)</f>
        <v>Alpha Engineers 1161</v>
      </c>
      <c r="D768" s="16">
        <v>869</v>
      </c>
      <c r="E768" s="9" t="s">
        <v>42</v>
      </c>
      <c r="F768" s="9"/>
      <c r="G768" s="24">
        <v>43836</v>
      </c>
      <c r="H768" s="24"/>
      <c r="I768" s="24"/>
      <c r="J768" s="24">
        <v>43836</v>
      </c>
      <c r="K768" s="24">
        <v>44566</v>
      </c>
      <c r="L768" s="32">
        <v>3</v>
      </c>
      <c r="M768" s="8"/>
      <c r="N768" s="8"/>
      <c r="O768" s="19" t="s">
        <v>2926</v>
      </c>
      <c r="P768" s="8" t="s">
        <v>2927</v>
      </c>
      <c r="Q768" s="8" t="s">
        <v>4871</v>
      </c>
      <c r="R768" s="8" t="s">
        <v>2767</v>
      </c>
      <c r="S768" s="8" t="s">
        <v>454</v>
      </c>
      <c r="T768" s="8">
        <v>121001</v>
      </c>
      <c r="U768" s="8" t="s">
        <v>429</v>
      </c>
      <c r="V768" s="8" t="s">
        <v>23</v>
      </c>
      <c r="W768" s="193">
        <v>1</v>
      </c>
      <c r="X768" s="8">
        <v>1</v>
      </c>
      <c r="Y768" s="8">
        <v>6</v>
      </c>
      <c r="Z768" s="8">
        <v>1</v>
      </c>
      <c r="AA768" s="193" t="s">
        <v>4118</v>
      </c>
      <c r="AB768" s="222"/>
    </row>
    <row r="769" spans="1:28" s="229" customFormat="1" ht="15" customHeight="1">
      <c r="A769" s="16">
        <v>768</v>
      </c>
      <c r="B769" s="14" t="s">
        <v>2928</v>
      </c>
      <c r="C769" s="14" t="str">
        <f>_xlfn.CONCAT(B769&amp;" "&amp;W769&amp;X769&amp;Y769&amp;Z769)</f>
        <v>Kent Industries 2111</v>
      </c>
      <c r="D769" s="16">
        <v>870</v>
      </c>
      <c r="E769" s="9" t="s">
        <v>42</v>
      </c>
      <c r="F769" s="9"/>
      <c r="G769" s="24">
        <v>43840</v>
      </c>
      <c r="H769" s="24"/>
      <c r="I769" s="24"/>
      <c r="J769" s="24">
        <v>43840</v>
      </c>
      <c r="K769" s="24">
        <v>44205</v>
      </c>
      <c r="L769" s="32">
        <v>3</v>
      </c>
      <c r="M769" s="8"/>
      <c r="N769" s="8"/>
      <c r="O769" s="19" t="s">
        <v>2929</v>
      </c>
      <c r="P769" s="8" t="s">
        <v>2930</v>
      </c>
      <c r="Q769" s="8" t="s">
        <v>4872</v>
      </c>
      <c r="R769" s="8"/>
      <c r="S769" s="8" t="s">
        <v>2931</v>
      </c>
      <c r="T769" s="8">
        <v>396035</v>
      </c>
      <c r="U769" s="8" t="s">
        <v>144</v>
      </c>
      <c r="V769" s="8" t="s">
        <v>23</v>
      </c>
      <c r="W769" s="193">
        <v>2</v>
      </c>
      <c r="X769" s="8">
        <v>1</v>
      </c>
      <c r="Y769" s="8">
        <v>1</v>
      </c>
      <c r="Z769" s="8">
        <v>1</v>
      </c>
      <c r="AA769" s="193" t="s">
        <v>4118</v>
      </c>
      <c r="AB769" s="222"/>
    </row>
    <row r="770" spans="1:28" s="229" customFormat="1" ht="15" customHeight="1">
      <c r="A770" s="16">
        <v>769</v>
      </c>
      <c r="B770" s="14" t="s">
        <v>2932</v>
      </c>
      <c r="C770" s="14" t="str">
        <f>_xlfn.CONCAT(B770&amp;" "&amp;W770&amp;X770&amp;Y770&amp;Z770)</f>
        <v>KDDL Limited 1334</v>
      </c>
      <c r="D770" s="16">
        <v>844</v>
      </c>
      <c r="E770" s="9" t="s">
        <v>90</v>
      </c>
      <c r="F770" s="9"/>
      <c r="G770" s="24">
        <v>43840</v>
      </c>
      <c r="H770" s="24"/>
      <c r="I770" s="24"/>
      <c r="J770" s="24">
        <v>43840</v>
      </c>
      <c r="K770" s="24">
        <v>44570</v>
      </c>
      <c r="L770" s="32">
        <v>3</v>
      </c>
      <c r="M770" s="8"/>
      <c r="N770" s="8"/>
      <c r="O770" s="19" t="s">
        <v>2933</v>
      </c>
      <c r="P770" s="8" t="s">
        <v>2934</v>
      </c>
      <c r="Q770" s="8" t="s">
        <v>4873</v>
      </c>
      <c r="R770" s="8"/>
      <c r="S770" s="8" t="s">
        <v>2935</v>
      </c>
      <c r="T770" s="8">
        <v>140507</v>
      </c>
      <c r="U770" s="8" t="s">
        <v>1787</v>
      </c>
      <c r="V770" s="8" t="s">
        <v>23</v>
      </c>
      <c r="W770" s="193">
        <v>1</v>
      </c>
      <c r="X770" s="8">
        <v>3</v>
      </c>
      <c r="Y770" s="8">
        <v>3</v>
      </c>
      <c r="Z770" s="8">
        <v>4</v>
      </c>
      <c r="AA770" s="193" t="s">
        <v>4118</v>
      </c>
      <c r="AB770" s="222"/>
    </row>
    <row r="771" spans="1:28" s="229" customFormat="1" ht="15" customHeight="1">
      <c r="A771" s="16">
        <v>770</v>
      </c>
      <c r="B771" s="14" t="s">
        <v>2936</v>
      </c>
      <c r="C771" s="14" t="str">
        <f>_xlfn.CONCAT(B771&amp;" "&amp;W771&amp;X771&amp;Y771&amp;Z771)</f>
        <v>Selec Controls Pvt Ltd 2224</v>
      </c>
      <c r="D771" s="16">
        <v>867</v>
      </c>
      <c r="E771" s="9" t="s">
        <v>42</v>
      </c>
      <c r="F771" s="9"/>
      <c r="G771" s="24">
        <v>43847</v>
      </c>
      <c r="H771" s="24"/>
      <c r="I771" s="24"/>
      <c r="J771" s="24">
        <v>43847</v>
      </c>
      <c r="K771" s="24">
        <v>44212</v>
      </c>
      <c r="L771" s="32">
        <v>3</v>
      </c>
      <c r="M771" s="8" t="s">
        <v>2937</v>
      </c>
      <c r="N771" s="8"/>
      <c r="O771" s="19" t="s">
        <v>2938</v>
      </c>
      <c r="P771" s="8" t="s">
        <v>2939</v>
      </c>
      <c r="Q771" s="8" t="s">
        <v>4874</v>
      </c>
      <c r="R771" s="8" t="s">
        <v>1607</v>
      </c>
      <c r="S771" s="8" t="s">
        <v>259</v>
      </c>
      <c r="T771" s="8">
        <v>400710</v>
      </c>
      <c r="U771" s="8" t="s">
        <v>172</v>
      </c>
      <c r="V771" s="8" t="s">
        <v>23</v>
      </c>
      <c r="W771" s="193">
        <v>2</v>
      </c>
      <c r="X771" s="8">
        <v>2</v>
      </c>
      <c r="Y771" s="8">
        <v>2</v>
      </c>
      <c r="Z771" s="8">
        <v>4</v>
      </c>
      <c r="AA771" s="193" t="s">
        <v>4148</v>
      </c>
      <c r="AB771" s="222"/>
    </row>
    <row r="772" spans="1:28" s="229" customFormat="1" ht="15" customHeight="1">
      <c r="A772" s="16">
        <v>771</v>
      </c>
      <c r="B772" s="14" t="s">
        <v>2940</v>
      </c>
      <c r="C772" s="14" t="str">
        <f>_xlfn.CONCAT(B772&amp;" "&amp;W772&amp;X772&amp;Y772&amp;Z772)</f>
        <v>Larsen &amp; Toubro Ltd 2431</v>
      </c>
      <c r="D772" s="34">
        <v>843</v>
      </c>
      <c r="E772" s="9" t="s">
        <v>90</v>
      </c>
      <c r="F772" s="9"/>
      <c r="G772" s="24">
        <v>43855</v>
      </c>
      <c r="H772" s="24"/>
      <c r="I772" s="24"/>
      <c r="J772" s="24">
        <v>44562</v>
      </c>
      <c r="K772" s="24">
        <v>44926</v>
      </c>
      <c r="L772" s="32">
        <v>3</v>
      </c>
      <c r="M772" s="8" t="s">
        <v>2941</v>
      </c>
      <c r="N772" s="8"/>
      <c r="O772" s="19">
        <v>9604752855</v>
      </c>
      <c r="P772" s="8" t="s">
        <v>2942</v>
      </c>
      <c r="Q772" s="8" t="s">
        <v>4875</v>
      </c>
      <c r="R772" s="8" t="s">
        <v>2943</v>
      </c>
      <c r="S772" s="8" t="s">
        <v>1421</v>
      </c>
      <c r="T772" s="8">
        <v>414111</v>
      </c>
      <c r="U772" s="8" t="s">
        <v>172</v>
      </c>
      <c r="V772" s="8" t="s">
        <v>23</v>
      </c>
      <c r="W772" s="193">
        <v>2</v>
      </c>
      <c r="X772" s="8">
        <v>4</v>
      </c>
      <c r="Y772" s="8">
        <v>3</v>
      </c>
      <c r="Z772" s="8">
        <v>1</v>
      </c>
      <c r="AA772" s="193" t="s">
        <v>4151</v>
      </c>
      <c r="AB772" s="222"/>
    </row>
    <row r="773" spans="1:28" s="229" customFormat="1" ht="15" customHeight="1">
      <c r="A773" s="16">
        <v>772</v>
      </c>
      <c r="B773" s="14" t="s">
        <v>2944</v>
      </c>
      <c r="C773" s="14" t="str">
        <f>_xlfn.CONCAT(B773&amp;" "&amp;W773&amp;X773&amp;Y773&amp;Z773)</f>
        <v>Visat Tools Pvt Ltd 8051</v>
      </c>
      <c r="D773" s="16">
        <v>873</v>
      </c>
      <c r="E773" s="9" t="s">
        <v>42</v>
      </c>
      <c r="F773" s="9"/>
      <c r="G773" s="24">
        <v>43869</v>
      </c>
      <c r="H773" s="24"/>
      <c r="I773" s="24"/>
      <c r="J773" s="24">
        <v>44667</v>
      </c>
      <c r="K773" s="24">
        <v>45031</v>
      </c>
      <c r="L773" s="32">
        <v>3</v>
      </c>
      <c r="M773" s="8" t="s">
        <v>2945</v>
      </c>
      <c r="N773" s="8" t="s">
        <v>151</v>
      </c>
      <c r="O773" s="19">
        <v>9342555074</v>
      </c>
      <c r="P773" s="8" t="s">
        <v>1512</v>
      </c>
      <c r="Q773" s="8" t="s">
        <v>4876</v>
      </c>
      <c r="R773" s="8" t="s">
        <v>2946</v>
      </c>
      <c r="S773" s="8" t="s">
        <v>2947</v>
      </c>
      <c r="T773" s="8">
        <v>560058</v>
      </c>
      <c r="U773" s="8" t="s">
        <v>22</v>
      </c>
      <c r="V773" s="8" t="s">
        <v>23</v>
      </c>
      <c r="W773" s="193">
        <v>8</v>
      </c>
      <c r="X773" s="8">
        <v>0</v>
      </c>
      <c r="Y773" s="8">
        <v>5</v>
      </c>
      <c r="Z773" s="8">
        <v>1</v>
      </c>
      <c r="AA773" s="193" t="s">
        <v>4118</v>
      </c>
      <c r="AB773" s="222"/>
    </row>
    <row r="774" spans="1:28" s="229" customFormat="1" ht="15" customHeight="1">
      <c r="A774" s="16">
        <v>773</v>
      </c>
      <c r="B774" s="14" t="s">
        <v>2177</v>
      </c>
      <c r="C774" s="14" t="str">
        <f>_xlfn.CONCAT(B774&amp;" "&amp;W774&amp;X774&amp;Y774&amp;Z774)</f>
        <v>Vasantha Tool Crafts Pvt Ltd 6021</v>
      </c>
      <c r="D774" s="16">
        <v>778</v>
      </c>
      <c r="E774" s="9" t="s">
        <v>2082</v>
      </c>
      <c r="F774" s="9"/>
      <c r="G774" s="24">
        <v>43871</v>
      </c>
      <c r="H774" s="24"/>
      <c r="I774" s="24"/>
      <c r="J774" s="26">
        <v>45702</v>
      </c>
      <c r="K774" s="26">
        <v>46066</v>
      </c>
      <c r="L774" s="32">
        <v>3</v>
      </c>
      <c r="M774" s="8" t="s">
        <v>2391</v>
      </c>
      <c r="N774" s="8"/>
      <c r="O774" s="19"/>
      <c r="P774" s="8" t="s">
        <v>1585</v>
      </c>
      <c r="Q774" s="8" t="s">
        <v>4877</v>
      </c>
      <c r="R774" s="8"/>
      <c r="S774" s="8" t="s">
        <v>53</v>
      </c>
      <c r="T774" s="8">
        <v>500037</v>
      </c>
      <c r="U774" s="8" t="s">
        <v>1844</v>
      </c>
      <c r="V774" s="8" t="s">
        <v>23</v>
      </c>
      <c r="W774" s="193">
        <v>6</v>
      </c>
      <c r="X774" s="8">
        <v>0</v>
      </c>
      <c r="Y774" s="8">
        <v>2</v>
      </c>
      <c r="Z774" s="8">
        <v>1</v>
      </c>
      <c r="AA774" s="193" t="s">
        <v>4148</v>
      </c>
      <c r="AB774" s="222"/>
    </row>
    <row r="775" spans="1:28" s="229" customFormat="1" ht="15" customHeight="1">
      <c r="A775" s="16">
        <v>774</v>
      </c>
      <c r="B775" s="14" t="s">
        <v>2948</v>
      </c>
      <c r="C775" s="14" t="str">
        <f>_xlfn.CONCAT(B775&amp;" "&amp;W775&amp;X775&amp;Y775&amp;Z775)</f>
        <v>Chennai Autotech Engg Pvt Ltd 4022</v>
      </c>
      <c r="D775" s="16">
        <v>872</v>
      </c>
      <c r="E775" s="9" t="s">
        <v>42</v>
      </c>
      <c r="F775" s="9"/>
      <c r="G775" s="24">
        <v>43879</v>
      </c>
      <c r="H775" s="24"/>
      <c r="I775" s="24"/>
      <c r="J775" s="24">
        <v>43879</v>
      </c>
      <c r="K775" s="24">
        <v>44244</v>
      </c>
      <c r="L775" s="32">
        <v>3</v>
      </c>
      <c r="M775" s="8" t="s">
        <v>2949</v>
      </c>
      <c r="N775" s="8"/>
      <c r="O775" s="19">
        <v>9840983003</v>
      </c>
      <c r="P775" s="8" t="s">
        <v>944</v>
      </c>
      <c r="Q775" s="8" t="s">
        <v>4878</v>
      </c>
      <c r="R775" s="8"/>
      <c r="S775" s="8" t="s">
        <v>37</v>
      </c>
      <c r="T775" s="8">
        <v>600044</v>
      </c>
      <c r="U775" s="8" t="s">
        <v>38</v>
      </c>
      <c r="V775" s="8" t="s">
        <v>23</v>
      </c>
      <c r="W775" s="193">
        <v>4</v>
      </c>
      <c r="X775" s="8">
        <v>0</v>
      </c>
      <c r="Y775" s="8">
        <v>2</v>
      </c>
      <c r="Z775" s="8">
        <v>2</v>
      </c>
      <c r="AA775" s="193" t="s">
        <v>4148</v>
      </c>
      <c r="AB775" s="222"/>
    </row>
    <row r="776" spans="1:28" s="229" customFormat="1" ht="15" customHeight="1">
      <c r="A776" s="16">
        <v>775</v>
      </c>
      <c r="B776" s="14" t="s">
        <v>2950</v>
      </c>
      <c r="C776" s="14" t="str">
        <f>_xlfn.CONCAT(B776&amp;" "&amp;W776&amp;X776&amp;Y776&amp;Z776)</f>
        <v>IWI Stationery Pvt Ltd 1001</v>
      </c>
      <c r="D776" s="16">
        <v>874</v>
      </c>
      <c r="E776" s="9" t="s">
        <v>42</v>
      </c>
      <c r="F776" s="9"/>
      <c r="G776" s="24">
        <v>43880</v>
      </c>
      <c r="H776" s="24"/>
      <c r="I776" s="24"/>
      <c r="J776" s="24">
        <v>43880</v>
      </c>
      <c r="K776" s="24">
        <v>44245</v>
      </c>
      <c r="L776" s="32">
        <v>3</v>
      </c>
      <c r="M776" s="8"/>
      <c r="N776" s="8"/>
      <c r="O776" s="19">
        <v>8010012729</v>
      </c>
      <c r="P776" s="8" t="s">
        <v>79</v>
      </c>
      <c r="Q776" s="8" t="s">
        <v>4879</v>
      </c>
      <c r="R776" s="8" t="s">
        <v>2951</v>
      </c>
      <c r="S776" s="8" t="s">
        <v>2952</v>
      </c>
      <c r="T776" s="8">
        <v>462046</v>
      </c>
      <c r="U776" s="8" t="s">
        <v>2953</v>
      </c>
      <c r="V776" s="8" t="s">
        <v>23</v>
      </c>
      <c r="W776" s="193">
        <v>1</v>
      </c>
      <c r="X776" s="8">
        <v>0</v>
      </c>
      <c r="Y776" s="8">
        <v>0</v>
      </c>
      <c r="Z776" s="8">
        <v>1</v>
      </c>
      <c r="AA776" s="193" t="s">
        <v>4118</v>
      </c>
      <c r="AB776" s="222"/>
    </row>
    <row r="777" spans="1:28" s="229" customFormat="1" ht="15" customHeight="1">
      <c r="A777" s="16">
        <v>776</v>
      </c>
      <c r="B777" s="14" t="s">
        <v>2955</v>
      </c>
      <c r="C777" s="14" t="str">
        <f>_xlfn.CONCAT(B777&amp;" "&amp;W777&amp;X777&amp;Y777&amp;Z777)</f>
        <v>Connectwires Engg (Zeeta Electricals) 5011</v>
      </c>
      <c r="D777" s="16">
        <v>875</v>
      </c>
      <c r="E777" s="9" t="s">
        <v>42</v>
      </c>
      <c r="F777" s="9"/>
      <c r="G777" s="24">
        <v>43888</v>
      </c>
      <c r="H777" s="24"/>
      <c r="I777" s="24"/>
      <c r="J777" s="24">
        <v>45793</v>
      </c>
      <c r="K777" s="24">
        <v>46157</v>
      </c>
      <c r="L777" s="32">
        <v>3</v>
      </c>
      <c r="M777" s="8" t="s">
        <v>2863</v>
      </c>
      <c r="N777" s="8"/>
      <c r="O777" s="19">
        <v>9099931253</v>
      </c>
      <c r="P777" s="8" t="s">
        <v>2956</v>
      </c>
      <c r="Q777" s="8" t="s">
        <v>4880</v>
      </c>
      <c r="R777" s="8" t="s">
        <v>2957</v>
      </c>
      <c r="S777" s="8" t="s">
        <v>143</v>
      </c>
      <c r="T777" s="8">
        <v>382213</v>
      </c>
      <c r="U777" s="8" t="s">
        <v>144</v>
      </c>
      <c r="V777" s="8" t="s">
        <v>23</v>
      </c>
      <c r="W777" s="193">
        <v>5</v>
      </c>
      <c r="X777" s="8">
        <v>0</v>
      </c>
      <c r="Y777" s="8">
        <v>1</v>
      </c>
      <c r="Z777" s="8">
        <v>1</v>
      </c>
      <c r="AA777" s="193" t="s">
        <v>4118</v>
      </c>
      <c r="AB777" s="222"/>
    </row>
    <row r="778" spans="1:28" s="229" customFormat="1" ht="15" customHeight="1">
      <c r="A778" s="16">
        <v>777</v>
      </c>
      <c r="B778" s="14" t="s">
        <v>2958</v>
      </c>
      <c r="C778" s="14" t="str">
        <f>_xlfn.CONCAT(B778&amp;" "&amp;W778&amp;X778&amp;Y778&amp;Z778)</f>
        <v>Napino Control Systems Pvt Ltd 1111</v>
      </c>
      <c r="D778" s="16">
        <v>846</v>
      </c>
      <c r="E778" s="9" t="s">
        <v>90</v>
      </c>
      <c r="F778" s="9"/>
      <c r="G778" s="24">
        <v>43894</v>
      </c>
      <c r="H778" s="24"/>
      <c r="I778" s="24"/>
      <c r="J778" s="24">
        <v>43894</v>
      </c>
      <c r="K778" s="24">
        <v>44988</v>
      </c>
      <c r="L778" s="32">
        <v>3</v>
      </c>
      <c r="M778" s="8"/>
      <c r="N778" s="8"/>
      <c r="O778" s="19"/>
      <c r="P778" s="8" t="s">
        <v>243</v>
      </c>
      <c r="Q778" s="8" t="s">
        <v>4881</v>
      </c>
      <c r="R778" s="8" t="s">
        <v>2313</v>
      </c>
      <c r="S778" s="8" t="s">
        <v>2599</v>
      </c>
      <c r="T778" s="8">
        <v>122050</v>
      </c>
      <c r="U778" s="8" t="s">
        <v>429</v>
      </c>
      <c r="V778" s="8" t="s">
        <v>23</v>
      </c>
      <c r="W778" s="193">
        <v>1</v>
      </c>
      <c r="X778" s="8">
        <v>1</v>
      </c>
      <c r="Y778" s="8">
        <v>1</v>
      </c>
      <c r="Z778" s="8">
        <v>1</v>
      </c>
      <c r="AA778" s="193" t="s">
        <v>4118</v>
      </c>
      <c r="AB778" s="222"/>
    </row>
    <row r="779" spans="1:28" s="229" customFormat="1" ht="15" customHeight="1">
      <c r="A779" s="16">
        <v>778</v>
      </c>
      <c r="B779" s="14" t="s">
        <v>2959</v>
      </c>
      <c r="C779" s="14" t="str">
        <f>_xlfn.CONCAT(B779&amp;" "&amp;W779&amp;X779&amp;Y779&amp;Z779)</f>
        <v>Lakshmi Cutting Tools 4161</v>
      </c>
      <c r="D779" s="16">
        <v>863</v>
      </c>
      <c r="E779" s="9" t="s">
        <v>42</v>
      </c>
      <c r="F779" s="9"/>
      <c r="G779" s="24">
        <v>43895</v>
      </c>
      <c r="H779" s="24"/>
      <c r="I779" s="24"/>
      <c r="J779" s="24">
        <v>43895</v>
      </c>
      <c r="K779" s="24">
        <v>44259</v>
      </c>
      <c r="L779" s="32">
        <v>3</v>
      </c>
      <c r="M779" s="8" t="s">
        <v>2960</v>
      </c>
      <c r="N779" s="8"/>
      <c r="O779" s="19" t="s">
        <v>2961</v>
      </c>
      <c r="P779" s="8" t="s">
        <v>2962</v>
      </c>
      <c r="Q779" s="8" t="s">
        <v>4882</v>
      </c>
      <c r="R779" s="8" t="s">
        <v>2963</v>
      </c>
      <c r="S779" s="8" t="s">
        <v>101</v>
      </c>
      <c r="T779" s="8">
        <v>641006</v>
      </c>
      <c r="U779" s="8" t="s">
        <v>38</v>
      </c>
      <c r="V779" s="8" t="s">
        <v>23</v>
      </c>
      <c r="W779" s="193">
        <v>4</v>
      </c>
      <c r="X779" s="8">
        <v>1</v>
      </c>
      <c r="Y779" s="8">
        <v>6</v>
      </c>
      <c r="Z779" s="8">
        <v>1</v>
      </c>
      <c r="AA779" s="193" t="s">
        <v>4148</v>
      </c>
      <c r="AB779" s="222"/>
    </row>
    <row r="780" spans="1:28" s="229" customFormat="1" ht="15" customHeight="1">
      <c r="A780" s="16">
        <v>779</v>
      </c>
      <c r="B780" s="14" t="s">
        <v>2964</v>
      </c>
      <c r="C780" s="14" t="str">
        <f>_xlfn.CONCAT(B780&amp;" "&amp;W780&amp;X780&amp;Y780&amp;Z780)</f>
        <v>Radeo Engineered Components LLP 8013</v>
      </c>
      <c r="D780" s="16">
        <v>877</v>
      </c>
      <c r="E780" s="9" t="s">
        <v>42</v>
      </c>
      <c r="F780" s="9"/>
      <c r="G780" s="24">
        <v>43896</v>
      </c>
      <c r="H780" s="24"/>
      <c r="I780" s="24"/>
      <c r="J780" s="24">
        <v>43896</v>
      </c>
      <c r="K780" s="24">
        <v>44260</v>
      </c>
      <c r="L780" s="32">
        <v>3</v>
      </c>
      <c r="M780" s="8" t="s">
        <v>2965</v>
      </c>
      <c r="N780" s="8"/>
      <c r="O780" s="19" t="s">
        <v>2966</v>
      </c>
      <c r="P780" s="8" t="s">
        <v>2967</v>
      </c>
      <c r="Q780" s="8" t="s">
        <v>4883</v>
      </c>
      <c r="R780" s="8" t="s">
        <v>2968</v>
      </c>
      <c r="S780" s="8" t="s">
        <v>121</v>
      </c>
      <c r="T780" s="8">
        <v>635126</v>
      </c>
      <c r="U780" s="8" t="s">
        <v>38</v>
      </c>
      <c r="V780" s="8" t="s">
        <v>23</v>
      </c>
      <c r="W780" s="193">
        <v>8</v>
      </c>
      <c r="X780" s="8">
        <v>0</v>
      </c>
      <c r="Y780" s="8">
        <v>1</v>
      </c>
      <c r="Z780" s="8">
        <v>3</v>
      </c>
      <c r="AA780" s="193" t="s">
        <v>4118</v>
      </c>
      <c r="AB780" s="222"/>
    </row>
    <row r="781" spans="1:28" s="229" customFormat="1" ht="15" customHeight="1">
      <c r="A781" s="16">
        <v>780</v>
      </c>
      <c r="B781" s="14" t="s">
        <v>2969</v>
      </c>
      <c r="C781" s="14" t="str">
        <f>_xlfn.CONCAT(B781&amp;" "&amp;W781&amp;X781&amp;Y781&amp;Z781)</f>
        <v>Mass Auto Components 4022</v>
      </c>
      <c r="D781" s="16">
        <v>847</v>
      </c>
      <c r="E781" s="9" t="s">
        <v>90</v>
      </c>
      <c r="F781" s="9"/>
      <c r="G781" s="24">
        <v>43896</v>
      </c>
      <c r="H781" s="24"/>
      <c r="I781" s="24"/>
      <c r="J781" s="24">
        <v>44443</v>
      </c>
      <c r="K781" s="24">
        <v>44807</v>
      </c>
      <c r="L781" s="32">
        <v>3</v>
      </c>
      <c r="M781" s="8" t="s">
        <v>2970</v>
      </c>
      <c r="N781" s="8"/>
      <c r="O781" s="19">
        <v>7824888312</v>
      </c>
      <c r="P781" s="8" t="s">
        <v>944</v>
      </c>
      <c r="Q781" s="8" t="s">
        <v>4884</v>
      </c>
      <c r="R781" s="8"/>
      <c r="S781" s="8" t="s">
        <v>37</v>
      </c>
      <c r="T781" s="8">
        <v>600044</v>
      </c>
      <c r="U781" s="8" t="s">
        <v>38</v>
      </c>
      <c r="V781" s="8" t="s">
        <v>23</v>
      </c>
      <c r="W781" s="193">
        <v>4</v>
      </c>
      <c r="X781" s="8">
        <v>0</v>
      </c>
      <c r="Y781" s="8">
        <v>2</v>
      </c>
      <c r="Z781" s="8">
        <v>2</v>
      </c>
      <c r="AA781" s="193" t="s">
        <v>4148</v>
      </c>
      <c r="AB781" s="222"/>
    </row>
    <row r="782" spans="1:28" s="229" customFormat="1" ht="15" customHeight="1">
      <c r="A782" s="16">
        <v>781</v>
      </c>
      <c r="B782" s="14" t="s">
        <v>2971</v>
      </c>
      <c r="C782" s="14" t="str">
        <f>_xlfn.CONCAT(B782&amp;" "&amp;W782&amp;X782&amp;Y782&amp;Z782)</f>
        <v>Hindustan Platinum Pvt Ltd 2224</v>
      </c>
      <c r="D782" s="16">
        <v>883</v>
      </c>
      <c r="E782" s="9" t="s">
        <v>42</v>
      </c>
      <c r="F782" s="9"/>
      <c r="G782" s="24">
        <v>43899</v>
      </c>
      <c r="H782" s="24"/>
      <c r="I782" s="24"/>
      <c r="J782" s="24">
        <v>43899</v>
      </c>
      <c r="K782" s="24">
        <v>44993</v>
      </c>
      <c r="L782" s="32">
        <v>3</v>
      </c>
      <c r="M782" s="8" t="s">
        <v>2972</v>
      </c>
      <c r="N782" s="8"/>
      <c r="O782" s="19" t="s">
        <v>2973</v>
      </c>
      <c r="P782" s="8" t="s">
        <v>2974</v>
      </c>
      <c r="Q782" s="8" t="s">
        <v>4885</v>
      </c>
      <c r="R782" s="8" t="s">
        <v>2975</v>
      </c>
      <c r="S782" s="8" t="s">
        <v>259</v>
      </c>
      <c r="T782" s="8">
        <v>400703</v>
      </c>
      <c r="U782" s="8" t="s">
        <v>172</v>
      </c>
      <c r="V782" s="8" t="s">
        <v>23</v>
      </c>
      <c r="W782" s="193">
        <v>2</v>
      </c>
      <c r="X782" s="8">
        <v>2</v>
      </c>
      <c r="Y782" s="8">
        <v>2</v>
      </c>
      <c r="Z782" s="8">
        <v>4</v>
      </c>
      <c r="AA782" s="193" t="s">
        <v>4148</v>
      </c>
      <c r="AB782" s="222"/>
    </row>
    <row r="783" spans="1:28" s="229" customFormat="1" ht="15" customHeight="1">
      <c r="A783" s="16">
        <v>782</v>
      </c>
      <c r="B783" s="14" t="s">
        <v>2976</v>
      </c>
      <c r="C783" s="14" t="str">
        <f>_xlfn.CONCAT(B783&amp;" "&amp;W783&amp;X783&amp;Y783&amp;Z783)</f>
        <v>Electromech India Pvt Ltd (Electromech Industries) 1042</v>
      </c>
      <c r="D783" s="16">
        <v>868</v>
      </c>
      <c r="E783" s="9" t="s">
        <v>42</v>
      </c>
      <c r="F783" s="9"/>
      <c r="G783" s="24">
        <v>43973</v>
      </c>
      <c r="H783" s="24"/>
      <c r="I783" s="24"/>
      <c r="J783" s="24">
        <v>43973</v>
      </c>
      <c r="K783" s="24">
        <v>44702</v>
      </c>
      <c r="L783" s="32">
        <v>3</v>
      </c>
      <c r="M783" s="8"/>
      <c r="N783" s="8"/>
      <c r="O783" s="19" t="s">
        <v>2977</v>
      </c>
      <c r="P783" s="8" t="s">
        <v>833</v>
      </c>
      <c r="Q783" s="8" t="s">
        <v>4886</v>
      </c>
      <c r="R783" s="8"/>
      <c r="S783" s="8" t="s">
        <v>835</v>
      </c>
      <c r="T783" s="8">
        <v>249403</v>
      </c>
      <c r="U783" s="8" t="s">
        <v>836</v>
      </c>
      <c r="V783" s="8" t="s">
        <v>23</v>
      </c>
      <c r="W783" s="193">
        <v>1</v>
      </c>
      <c r="X783" s="8">
        <v>0</v>
      </c>
      <c r="Y783" s="8">
        <v>4</v>
      </c>
      <c r="Z783" s="8">
        <v>2</v>
      </c>
      <c r="AA783" s="193" t="s">
        <v>4118</v>
      </c>
      <c r="AB783" s="222"/>
    </row>
    <row r="784" spans="1:28" s="229" customFormat="1" ht="15" customHeight="1">
      <c r="A784" s="16">
        <v>783</v>
      </c>
      <c r="B784" s="14" t="s">
        <v>2978</v>
      </c>
      <c r="C784" s="14" t="str">
        <f>_xlfn.CONCAT(B784&amp;" "&amp;W784&amp;X784&amp;Y784&amp;Z784)</f>
        <v>Perfect Polymers 5301</v>
      </c>
      <c r="D784" s="16">
        <v>789</v>
      </c>
      <c r="E784" s="9" t="s">
        <v>2082</v>
      </c>
      <c r="F784" s="9"/>
      <c r="G784" s="24">
        <v>43994</v>
      </c>
      <c r="H784" s="24"/>
      <c r="I784" s="24"/>
      <c r="J784" s="24">
        <v>45958</v>
      </c>
      <c r="K784" s="24">
        <v>46322</v>
      </c>
      <c r="L784" s="32">
        <v>3</v>
      </c>
      <c r="M784" s="8" t="s">
        <v>2979</v>
      </c>
      <c r="N784" s="8"/>
      <c r="O784" s="19" t="s">
        <v>2980</v>
      </c>
      <c r="P784" s="8" t="s">
        <v>2981</v>
      </c>
      <c r="Q784" s="8" t="s">
        <v>4887</v>
      </c>
      <c r="R784" s="8" t="s">
        <v>2982</v>
      </c>
      <c r="S784" s="8" t="s">
        <v>1131</v>
      </c>
      <c r="T784" s="8">
        <v>360021</v>
      </c>
      <c r="U784" s="8" t="s">
        <v>144</v>
      </c>
      <c r="V784" s="8" t="s">
        <v>23</v>
      </c>
      <c r="W784" s="193">
        <v>5</v>
      </c>
      <c r="X784" s="8">
        <v>3</v>
      </c>
      <c r="Y784" s="8">
        <v>0</v>
      </c>
      <c r="Z784" s="8">
        <v>1</v>
      </c>
      <c r="AA784" s="193" t="s">
        <v>4135</v>
      </c>
      <c r="AB784" s="222"/>
    </row>
    <row r="785" spans="1:28" s="229" customFormat="1" ht="15" customHeight="1">
      <c r="A785" s="16">
        <v>784</v>
      </c>
      <c r="B785" s="14" t="s">
        <v>2983</v>
      </c>
      <c r="C785" s="14" t="str">
        <f>_xlfn.CONCAT(B785&amp;" "&amp;W785&amp;X785&amp;Y785&amp;Z785)</f>
        <v>Tejas Engg 8012</v>
      </c>
      <c r="D785" s="16">
        <v>183</v>
      </c>
      <c r="E785" s="9" t="s">
        <v>42</v>
      </c>
      <c r="F785" s="9"/>
      <c r="G785" s="24">
        <v>43995</v>
      </c>
      <c r="H785" s="24"/>
      <c r="I785" s="24"/>
      <c r="J785" s="24">
        <v>43995</v>
      </c>
      <c r="K785" s="24">
        <v>44359</v>
      </c>
      <c r="L785" s="32">
        <v>3</v>
      </c>
      <c r="M785" s="8" t="s">
        <v>2984</v>
      </c>
      <c r="N785" s="8" t="s">
        <v>2985</v>
      </c>
      <c r="O785" s="19">
        <v>9845388059</v>
      </c>
      <c r="P785" s="8" t="s">
        <v>2986</v>
      </c>
      <c r="Q785" s="8" t="s">
        <v>4888</v>
      </c>
      <c r="R785" s="8" t="s">
        <v>2987</v>
      </c>
      <c r="S785" s="8" t="s">
        <v>21</v>
      </c>
      <c r="T785" s="8">
        <v>560078</v>
      </c>
      <c r="U785" s="8" t="s">
        <v>22</v>
      </c>
      <c r="V785" s="8" t="s">
        <v>23</v>
      </c>
      <c r="W785" s="193">
        <v>8</v>
      </c>
      <c r="X785" s="8">
        <v>0</v>
      </c>
      <c r="Y785" s="8">
        <v>1</v>
      </c>
      <c r="Z785" s="8">
        <v>2</v>
      </c>
      <c r="AA785" s="193" t="s">
        <v>4118</v>
      </c>
      <c r="AB785" s="222"/>
    </row>
    <row r="786" spans="1:28" s="229" customFormat="1" ht="15" customHeight="1">
      <c r="A786" s="16">
        <v>785</v>
      </c>
      <c r="B786" s="14" t="s">
        <v>2988</v>
      </c>
      <c r="C786" s="14" t="str">
        <f>_xlfn.CONCAT(B786&amp;" "&amp;W786&amp;X786&amp;Y786&amp;Z786)</f>
        <v>Instrument India 8051</v>
      </c>
      <c r="D786" s="16">
        <v>881</v>
      </c>
      <c r="E786" s="9" t="s">
        <v>42</v>
      </c>
      <c r="F786" s="9"/>
      <c r="G786" s="24">
        <v>44002</v>
      </c>
      <c r="H786" s="24"/>
      <c r="I786" s="24"/>
      <c r="J786" s="24">
        <v>45941</v>
      </c>
      <c r="K786" s="24">
        <v>46305</v>
      </c>
      <c r="L786" s="32">
        <v>3</v>
      </c>
      <c r="M786" s="8" t="s">
        <v>2989</v>
      </c>
      <c r="N786" s="8"/>
      <c r="O786" s="19" t="s">
        <v>2990</v>
      </c>
      <c r="P786" s="8" t="s">
        <v>398</v>
      </c>
      <c r="Q786" s="8" t="s">
        <v>4889</v>
      </c>
      <c r="R786" s="8"/>
      <c r="S786" s="8" t="s">
        <v>21</v>
      </c>
      <c r="T786" s="8">
        <v>560048</v>
      </c>
      <c r="U786" s="8" t="s">
        <v>22</v>
      </c>
      <c r="V786" s="8" t="s">
        <v>23</v>
      </c>
      <c r="W786" s="193">
        <v>8</v>
      </c>
      <c r="X786" s="8">
        <v>0</v>
      </c>
      <c r="Y786" s="8">
        <v>5</v>
      </c>
      <c r="Z786" s="8">
        <v>1</v>
      </c>
      <c r="AA786" s="193" t="s">
        <v>4118</v>
      </c>
      <c r="AB786" s="222"/>
    </row>
    <row r="787" spans="1:28" s="229" customFormat="1" ht="15" customHeight="1">
      <c r="A787" s="16">
        <v>786</v>
      </c>
      <c r="B787" s="14" t="s">
        <v>2991</v>
      </c>
      <c r="C787" s="14" t="str">
        <f>_xlfn.CONCAT(B787&amp;" "&amp;W787&amp;X787&amp;Y787&amp;Z787)</f>
        <v>TransCal 8041</v>
      </c>
      <c r="D787" s="16">
        <v>788</v>
      </c>
      <c r="E787" s="9" t="s">
        <v>2082</v>
      </c>
      <c r="F787" s="9"/>
      <c r="G787" s="24">
        <v>44008</v>
      </c>
      <c r="H787" s="24"/>
      <c r="I787" s="24"/>
      <c r="J787" s="24">
        <v>44008</v>
      </c>
      <c r="K787" s="24">
        <v>44372</v>
      </c>
      <c r="L787" s="32">
        <v>3</v>
      </c>
      <c r="M787" s="8" t="s">
        <v>2992</v>
      </c>
      <c r="N787" s="8" t="s">
        <v>28</v>
      </c>
      <c r="O787" s="19" t="s">
        <v>2993</v>
      </c>
      <c r="P787" s="8" t="s">
        <v>2994</v>
      </c>
      <c r="Q787" s="8" t="s">
        <v>4890</v>
      </c>
      <c r="R787" s="8" t="s">
        <v>2995</v>
      </c>
      <c r="S787" s="8" t="s">
        <v>21</v>
      </c>
      <c r="T787" s="8">
        <v>560003</v>
      </c>
      <c r="U787" s="8" t="s">
        <v>22</v>
      </c>
      <c r="V787" s="8" t="s">
        <v>23</v>
      </c>
      <c r="W787" s="193">
        <v>8</v>
      </c>
      <c r="X787" s="8">
        <v>0</v>
      </c>
      <c r="Y787" s="8">
        <v>4</v>
      </c>
      <c r="Z787" s="8">
        <v>1</v>
      </c>
      <c r="AA787" s="193" t="s">
        <v>4118</v>
      </c>
      <c r="AB787" s="222"/>
    </row>
    <row r="788" spans="1:28" s="229" customFormat="1" ht="15" customHeight="1">
      <c r="A788" s="16">
        <v>787</v>
      </c>
      <c r="B788" s="14" t="s">
        <v>2996</v>
      </c>
      <c r="C788" s="14" t="str">
        <f>_xlfn.CONCAT(B788&amp;" "&amp;W788&amp;X788&amp;Y788&amp;Z788)</f>
        <v>Rhenium Tech Rings 5301</v>
      </c>
      <c r="D788" s="16">
        <v>884</v>
      </c>
      <c r="E788" s="9" t="s">
        <v>42</v>
      </c>
      <c r="F788" s="9"/>
      <c r="G788" s="24">
        <v>44021</v>
      </c>
      <c r="H788" s="24"/>
      <c r="I788" s="24"/>
      <c r="J788" s="24">
        <v>44021</v>
      </c>
      <c r="K788" s="24">
        <v>44385</v>
      </c>
      <c r="L788" s="32">
        <v>3</v>
      </c>
      <c r="M788" s="8" t="s">
        <v>2997</v>
      </c>
      <c r="N788" s="8"/>
      <c r="O788" s="19">
        <v>9825383773</v>
      </c>
      <c r="P788" s="8" t="s">
        <v>2998</v>
      </c>
      <c r="Q788" s="8" t="s">
        <v>4891</v>
      </c>
      <c r="R788" s="8" t="s">
        <v>2853</v>
      </c>
      <c r="S788" s="8" t="s">
        <v>1131</v>
      </c>
      <c r="T788" s="8">
        <v>360024</v>
      </c>
      <c r="U788" s="8" t="s">
        <v>144</v>
      </c>
      <c r="V788" s="8" t="s">
        <v>23</v>
      </c>
      <c r="W788" s="193">
        <v>5</v>
      </c>
      <c r="X788" s="8">
        <v>3</v>
      </c>
      <c r="Y788" s="8">
        <v>0</v>
      </c>
      <c r="Z788" s="8">
        <v>1</v>
      </c>
      <c r="AA788" s="193" t="s">
        <v>4135</v>
      </c>
      <c r="AB788" s="222"/>
    </row>
    <row r="789" spans="1:28" s="229" customFormat="1" ht="15" customHeight="1">
      <c r="A789" s="16">
        <v>788</v>
      </c>
      <c r="B789" s="14" t="s">
        <v>2999</v>
      </c>
      <c r="C789" s="14" t="str">
        <f>_xlfn.CONCAT(B789&amp;" "&amp;W789&amp;X789&amp;Y789&amp;Z789)</f>
        <v>Jayson Industries 8021</v>
      </c>
      <c r="D789" s="16">
        <v>876</v>
      </c>
      <c r="E789" s="9" t="s">
        <v>42</v>
      </c>
      <c r="F789" s="9"/>
      <c r="G789" s="24">
        <v>44022</v>
      </c>
      <c r="H789" s="24"/>
      <c r="I789" s="24"/>
      <c r="J789" s="24">
        <v>44462</v>
      </c>
      <c r="K789" s="24">
        <v>44826</v>
      </c>
      <c r="L789" s="32">
        <v>3</v>
      </c>
      <c r="M789" s="8" t="s">
        <v>3000</v>
      </c>
      <c r="N789" s="8"/>
      <c r="O789" s="19">
        <v>9611117722</v>
      </c>
      <c r="P789" s="8" t="s">
        <v>3001</v>
      </c>
      <c r="Q789" s="8" t="s">
        <v>4892</v>
      </c>
      <c r="R789" s="8" t="s">
        <v>3002</v>
      </c>
      <c r="S789" s="8" t="s">
        <v>21</v>
      </c>
      <c r="T789" s="8">
        <v>560099</v>
      </c>
      <c r="U789" s="8" t="s">
        <v>22</v>
      </c>
      <c r="V789" s="8" t="s">
        <v>23</v>
      </c>
      <c r="W789" s="193">
        <v>8</v>
      </c>
      <c r="X789" s="8">
        <v>0</v>
      </c>
      <c r="Y789" s="8">
        <v>2</v>
      </c>
      <c r="Z789" s="8">
        <v>1</v>
      </c>
      <c r="AA789" s="193" t="s">
        <v>4118</v>
      </c>
      <c r="AB789" s="222"/>
    </row>
    <row r="790" spans="1:28" s="229" customFormat="1" ht="15" customHeight="1">
      <c r="A790" s="16">
        <v>789</v>
      </c>
      <c r="B790" s="14" t="s">
        <v>3003</v>
      </c>
      <c r="C790" s="14" t="str">
        <f>_xlfn.CONCAT(B790&amp;" "&amp;W790&amp;X790&amp;Y790&amp;Z790)</f>
        <v>Mold-Tek Packaging Ltd 6021</v>
      </c>
      <c r="D790" s="16">
        <v>790</v>
      </c>
      <c r="E790" s="9" t="s">
        <v>2082</v>
      </c>
      <c r="F790" s="9"/>
      <c r="G790" s="24">
        <v>44040</v>
      </c>
      <c r="H790" s="24"/>
      <c r="I790" s="24"/>
      <c r="J790" s="24">
        <v>44040</v>
      </c>
      <c r="K790" s="24">
        <v>44769</v>
      </c>
      <c r="L790" s="32">
        <v>3</v>
      </c>
      <c r="M790" s="8" t="s">
        <v>3004</v>
      </c>
      <c r="N790" s="8" t="s">
        <v>3005</v>
      </c>
      <c r="O790" s="19" t="s">
        <v>3006</v>
      </c>
      <c r="P790" s="8" t="s">
        <v>3007</v>
      </c>
      <c r="Q790" s="8" t="s">
        <v>4893</v>
      </c>
      <c r="R790" s="8" t="s">
        <v>3008</v>
      </c>
      <c r="S790" s="8" t="s">
        <v>3009</v>
      </c>
      <c r="T790" s="8">
        <v>502313</v>
      </c>
      <c r="U790" s="8" t="s">
        <v>1844</v>
      </c>
      <c r="V790" s="8" t="s">
        <v>23</v>
      </c>
      <c r="W790" s="193">
        <v>6</v>
      </c>
      <c r="X790" s="8">
        <v>0</v>
      </c>
      <c r="Y790" s="8">
        <v>2</v>
      </c>
      <c r="Z790" s="8">
        <v>1</v>
      </c>
      <c r="AA790" s="193" t="s">
        <v>4148</v>
      </c>
      <c r="AB790" s="222"/>
    </row>
    <row r="791" spans="1:28" s="229" customFormat="1" ht="15" customHeight="1">
      <c r="A791" s="16">
        <v>790</v>
      </c>
      <c r="B791" s="14" t="s">
        <v>2042</v>
      </c>
      <c r="C791" s="14" t="str">
        <f>_xlfn.CONCAT(B791&amp;" "&amp;W791&amp;X791&amp;Y791&amp;Z791)</f>
        <v>TopFlite Components Pvt Ltd 8033</v>
      </c>
      <c r="D791" s="16">
        <v>882</v>
      </c>
      <c r="E791" s="9" t="s">
        <v>42</v>
      </c>
      <c r="F791" s="9"/>
      <c r="G791" s="24">
        <v>44049</v>
      </c>
      <c r="H791" s="24"/>
      <c r="I791" s="24"/>
      <c r="J791" s="24">
        <v>44394</v>
      </c>
      <c r="K791" s="24">
        <v>44758</v>
      </c>
      <c r="L791" s="32">
        <v>3</v>
      </c>
      <c r="M791" s="8" t="s">
        <v>3010</v>
      </c>
      <c r="N791" s="8" t="s">
        <v>71</v>
      </c>
      <c r="O791" s="19"/>
      <c r="P791" s="8" t="s">
        <v>3011</v>
      </c>
      <c r="Q791" s="8" t="s">
        <v>4894</v>
      </c>
      <c r="R791" s="8"/>
      <c r="S791" s="8" t="s">
        <v>275</v>
      </c>
      <c r="T791" s="8">
        <v>570018</v>
      </c>
      <c r="U791" s="8" t="s">
        <v>22</v>
      </c>
      <c r="V791" s="8" t="s">
        <v>23</v>
      </c>
      <c r="W791" s="193">
        <v>8</v>
      </c>
      <c r="X791" s="8">
        <v>0</v>
      </c>
      <c r="Y791" s="8">
        <v>3</v>
      </c>
      <c r="Z791" s="8">
        <v>3</v>
      </c>
      <c r="AA791" s="193" t="s">
        <v>4118</v>
      </c>
      <c r="AB791" s="222"/>
    </row>
    <row r="792" spans="1:28" s="229" customFormat="1" ht="15" customHeight="1">
      <c r="A792" s="16">
        <v>791</v>
      </c>
      <c r="B792" s="14" t="s">
        <v>2230</v>
      </c>
      <c r="C792" s="14" t="str">
        <f>_xlfn.CONCAT(B792&amp;" "&amp;W792&amp;X792&amp;Y792&amp;Z792)</f>
        <v>Brakes India Pvt Ltd 4052</v>
      </c>
      <c r="D792" s="16">
        <v>849</v>
      </c>
      <c r="E792" s="9" t="s">
        <v>90</v>
      </c>
      <c r="F792" s="9"/>
      <c r="G792" s="24">
        <v>44053</v>
      </c>
      <c r="H792" s="24"/>
      <c r="I792" s="24"/>
      <c r="J792" s="24">
        <v>44593</v>
      </c>
      <c r="K792" s="24">
        <v>44773</v>
      </c>
      <c r="L792" s="32">
        <v>3</v>
      </c>
      <c r="M792" s="8" t="s">
        <v>2949</v>
      </c>
      <c r="N792" s="8"/>
      <c r="O792" s="19"/>
      <c r="P792" s="8" t="s">
        <v>3012</v>
      </c>
      <c r="Q792" s="8" t="s">
        <v>4895</v>
      </c>
      <c r="R792" s="8" t="s">
        <v>3013</v>
      </c>
      <c r="S792" s="8" t="s">
        <v>2369</v>
      </c>
      <c r="T792" s="8">
        <v>517646</v>
      </c>
      <c r="U792" s="8" t="s">
        <v>54</v>
      </c>
      <c r="V792" s="8" t="s">
        <v>23</v>
      </c>
      <c r="W792" s="193">
        <v>4</v>
      </c>
      <c r="X792" s="8">
        <v>0</v>
      </c>
      <c r="Y792" s="8">
        <v>5</v>
      </c>
      <c r="Z792" s="8">
        <v>2</v>
      </c>
      <c r="AA792" s="193" t="s">
        <v>4148</v>
      </c>
      <c r="AB792" s="222"/>
    </row>
    <row r="793" spans="1:28" s="229" customFormat="1" ht="15" customHeight="1">
      <c r="A793" s="16">
        <v>792</v>
      </c>
      <c r="B793" s="14" t="s">
        <v>3014</v>
      </c>
      <c r="C793" s="14" t="str">
        <f>_xlfn.CONCAT(B793&amp;" "&amp;W793&amp;X793&amp;Y793&amp;Z793)</f>
        <v>TGT Tech Private Limited 8051</v>
      </c>
      <c r="D793" s="16" t="s">
        <v>2826</v>
      </c>
      <c r="E793" s="9"/>
      <c r="F793" s="9"/>
      <c r="G793" s="24">
        <v>44071</v>
      </c>
      <c r="H793" s="24"/>
      <c r="I793" s="24"/>
      <c r="J793" s="24">
        <v>44071</v>
      </c>
      <c r="K793" s="24">
        <v>44435</v>
      </c>
      <c r="L793" s="32">
        <v>3</v>
      </c>
      <c r="M793" s="8" t="s">
        <v>2542</v>
      </c>
      <c r="N793" s="8"/>
      <c r="O793" s="19"/>
      <c r="P793" s="8" t="s">
        <v>2196</v>
      </c>
      <c r="Q793" s="8" t="s">
        <v>4896</v>
      </c>
      <c r="R793" s="8" t="s">
        <v>1512</v>
      </c>
      <c r="S793" s="8" t="s">
        <v>21</v>
      </c>
      <c r="T793" s="8">
        <v>560058</v>
      </c>
      <c r="U793" s="8" t="s">
        <v>22</v>
      </c>
      <c r="V793" s="8" t="s">
        <v>23</v>
      </c>
      <c r="W793" s="193">
        <v>8</v>
      </c>
      <c r="X793" s="8">
        <v>0</v>
      </c>
      <c r="Y793" s="8">
        <v>5</v>
      </c>
      <c r="Z793" s="8">
        <v>1</v>
      </c>
      <c r="AA793" s="193" t="s">
        <v>4118</v>
      </c>
      <c r="AB793" s="222"/>
    </row>
    <row r="794" spans="1:28" s="229" customFormat="1" ht="15" customHeight="1">
      <c r="A794" s="16">
        <v>793</v>
      </c>
      <c r="B794" s="14" t="s">
        <v>3015</v>
      </c>
      <c r="C794" s="14" t="str">
        <f>_xlfn.CONCAT(B794&amp;" "&amp;W794&amp;X794&amp;Y794&amp;Z794)</f>
        <v>Pragathi Coatings Pvt Ltd 1111</v>
      </c>
      <c r="D794" s="16">
        <v>878</v>
      </c>
      <c r="E794" s="9" t="s">
        <v>42</v>
      </c>
      <c r="F794" s="9"/>
      <c r="G794" s="24">
        <v>44076</v>
      </c>
      <c r="H794" s="24"/>
      <c r="I794" s="24"/>
      <c r="J794" s="24">
        <v>44076</v>
      </c>
      <c r="K794" s="24">
        <v>45170</v>
      </c>
      <c r="L794" s="32">
        <v>3</v>
      </c>
      <c r="M794" s="8" t="s">
        <v>3016</v>
      </c>
      <c r="N794" s="8"/>
      <c r="O794" s="19" t="s">
        <v>3017</v>
      </c>
      <c r="P794" s="8" t="s">
        <v>3018</v>
      </c>
      <c r="Q794" s="8" t="s">
        <v>4897</v>
      </c>
      <c r="R794" s="8"/>
      <c r="S794" s="8" t="s">
        <v>2599</v>
      </c>
      <c r="T794" s="8">
        <v>122001</v>
      </c>
      <c r="U794" s="8" t="s">
        <v>429</v>
      </c>
      <c r="V794" s="8" t="s">
        <v>23</v>
      </c>
      <c r="W794" s="193">
        <v>1</v>
      </c>
      <c r="X794" s="8">
        <v>1</v>
      </c>
      <c r="Y794" s="8">
        <v>1</v>
      </c>
      <c r="Z794" s="8">
        <v>1</v>
      </c>
      <c r="AA794" s="193" t="s">
        <v>4118</v>
      </c>
      <c r="AB794" s="222"/>
    </row>
    <row r="795" spans="1:28" s="229" customFormat="1" ht="15" customHeight="1">
      <c r="A795" s="16">
        <v>794</v>
      </c>
      <c r="B795" s="14" t="s">
        <v>3019</v>
      </c>
      <c r="C795" s="14" t="str">
        <f>_xlfn.CONCAT(B795&amp;" "&amp;W795&amp;X795&amp;Y795&amp;Z795)</f>
        <v>Alpla India Pvt Ltd 6011</v>
      </c>
      <c r="D795" s="16">
        <v>848</v>
      </c>
      <c r="E795" s="9" t="s">
        <v>90</v>
      </c>
      <c r="F795" s="9"/>
      <c r="G795" s="24">
        <v>44091</v>
      </c>
      <c r="H795" s="24"/>
      <c r="I795" s="24"/>
      <c r="J795" s="24">
        <v>45881</v>
      </c>
      <c r="K795" s="24">
        <v>46245</v>
      </c>
      <c r="L795" s="32">
        <v>3</v>
      </c>
      <c r="M795" s="8" t="s">
        <v>3020</v>
      </c>
      <c r="N795" s="8"/>
      <c r="O795" s="19">
        <v>7702361333</v>
      </c>
      <c r="P795" s="8" t="s">
        <v>3021</v>
      </c>
      <c r="Q795" s="8" t="s">
        <v>4898</v>
      </c>
      <c r="R795" s="8" t="s">
        <v>3022</v>
      </c>
      <c r="S795" s="8" t="s">
        <v>3009</v>
      </c>
      <c r="T795" s="8">
        <v>502307</v>
      </c>
      <c r="U795" s="8" t="s">
        <v>1844</v>
      </c>
      <c r="V795" s="8" t="s">
        <v>23</v>
      </c>
      <c r="W795" s="193">
        <v>6</v>
      </c>
      <c r="X795" s="8">
        <v>0</v>
      </c>
      <c r="Y795" s="8">
        <v>1</v>
      </c>
      <c r="Z795" s="8">
        <v>1</v>
      </c>
      <c r="AA795" s="193" t="s">
        <v>4148</v>
      </c>
      <c r="AB795" s="222"/>
    </row>
    <row r="796" spans="1:28" s="229" customFormat="1" ht="15" customHeight="1">
      <c r="A796" s="16">
        <v>795</v>
      </c>
      <c r="B796" s="14" t="s">
        <v>3023</v>
      </c>
      <c r="C796" s="14" t="str">
        <f>_xlfn.CONCAT(B796&amp;" "&amp;W796&amp;X796&amp;Y796&amp;Z796)</f>
        <v>Microtek New Technologies Pvt Ltd 1313</v>
      </c>
      <c r="D796" s="16">
        <v>879</v>
      </c>
      <c r="E796" s="9" t="s">
        <v>42</v>
      </c>
      <c r="F796" s="9"/>
      <c r="G796" s="24">
        <v>44099</v>
      </c>
      <c r="H796" s="24"/>
      <c r="I796" s="24"/>
      <c r="J796" s="24">
        <v>44099</v>
      </c>
      <c r="K796" s="24">
        <v>44463</v>
      </c>
      <c r="L796" s="32">
        <v>3</v>
      </c>
      <c r="M796" s="8" t="s">
        <v>3024</v>
      </c>
      <c r="N796" s="8"/>
      <c r="O796" s="19" t="s">
        <v>3025</v>
      </c>
      <c r="P796" s="8"/>
      <c r="Q796" s="8" t="s">
        <v>4899</v>
      </c>
      <c r="R796" s="8"/>
      <c r="S796" s="8" t="s">
        <v>665</v>
      </c>
      <c r="T796" s="8">
        <v>173205</v>
      </c>
      <c r="U796" s="8" t="s">
        <v>336</v>
      </c>
      <c r="V796" s="8" t="s">
        <v>23</v>
      </c>
      <c r="W796" s="193">
        <v>1</v>
      </c>
      <c r="X796" s="8">
        <v>3</v>
      </c>
      <c r="Y796" s="8">
        <v>1</v>
      </c>
      <c r="Z796" s="8">
        <v>3</v>
      </c>
      <c r="AA796" s="193" t="s">
        <v>4118</v>
      </c>
      <c r="AB796" s="222"/>
    </row>
    <row r="797" spans="1:28" s="229" customFormat="1" ht="15" customHeight="1">
      <c r="A797" s="16">
        <v>796</v>
      </c>
      <c r="B797" s="14" t="s">
        <v>2230</v>
      </c>
      <c r="C797" s="14" t="str">
        <f>_xlfn.CONCAT(B797&amp;" "&amp;W797&amp;X797&amp;Y797&amp;Z797)</f>
        <v>Brakes India Pvt Ltd 4041</v>
      </c>
      <c r="D797" s="16">
        <v>850</v>
      </c>
      <c r="E797" s="9" t="s">
        <v>90</v>
      </c>
      <c r="F797" s="9"/>
      <c r="G797" s="24">
        <v>44105</v>
      </c>
      <c r="H797" s="24"/>
      <c r="I797" s="24"/>
      <c r="J797" s="24">
        <v>44501</v>
      </c>
      <c r="K797" s="24">
        <v>44865</v>
      </c>
      <c r="L797" s="32">
        <v>3</v>
      </c>
      <c r="M797" s="8" t="s">
        <v>3026</v>
      </c>
      <c r="N797" s="8"/>
      <c r="O797" s="19">
        <v>9442602946</v>
      </c>
      <c r="P797" s="8" t="s">
        <v>3028</v>
      </c>
      <c r="Q797" s="8" t="s">
        <v>4900</v>
      </c>
      <c r="R797" s="8" t="s">
        <v>961</v>
      </c>
      <c r="S797" s="8" t="s">
        <v>37</v>
      </c>
      <c r="T797" s="8">
        <v>600050</v>
      </c>
      <c r="U797" s="8" t="s">
        <v>38</v>
      </c>
      <c r="V797" s="8" t="s">
        <v>23</v>
      </c>
      <c r="W797" s="193">
        <v>4</v>
      </c>
      <c r="X797" s="8">
        <v>0</v>
      </c>
      <c r="Y797" s="8">
        <v>4</v>
      </c>
      <c r="Z797" s="8">
        <v>1</v>
      </c>
      <c r="AA797" s="193" t="s">
        <v>4148</v>
      </c>
      <c r="AB797" s="222"/>
    </row>
    <row r="798" spans="1:28" s="229" customFormat="1" ht="15" customHeight="1">
      <c r="A798" s="16">
        <v>797</v>
      </c>
      <c r="B798" s="14" t="s">
        <v>3029</v>
      </c>
      <c r="C798" s="14" t="str">
        <f>_xlfn.CONCAT(B798&amp;" "&amp;W798&amp;X798&amp;Y798&amp;Z798)</f>
        <v>PITTI Ind Pvt Ltd (Bagadia Chaitra Industries Pvt Ltd) 8052</v>
      </c>
      <c r="D798" s="16">
        <v>791</v>
      </c>
      <c r="E798" s="9" t="s">
        <v>2082</v>
      </c>
      <c r="F798" s="9"/>
      <c r="G798" s="24">
        <v>44112</v>
      </c>
      <c r="H798" s="24"/>
      <c r="I798" s="24"/>
      <c r="J798" s="24">
        <v>45526</v>
      </c>
      <c r="K798" s="24">
        <v>45890</v>
      </c>
      <c r="L798" s="32">
        <v>3</v>
      </c>
      <c r="M798" s="8" t="s">
        <v>3030</v>
      </c>
      <c r="N798" s="8"/>
      <c r="O798" s="19" t="s">
        <v>3031</v>
      </c>
      <c r="P798" s="8" t="s">
        <v>3032</v>
      </c>
      <c r="Q798" s="8" t="s">
        <v>4901</v>
      </c>
      <c r="R798" s="8" t="s">
        <v>3033</v>
      </c>
      <c r="S798" s="8" t="s">
        <v>1120</v>
      </c>
      <c r="T798" s="8">
        <v>572128</v>
      </c>
      <c r="U798" s="8" t="s">
        <v>22</v>
      </c>
      <c r="V798" s="8" t="s">
        <v>23</v>
      </c>
      <c r="W798" s="193">
        <v>8</v>
      </c>
      <c r="X798" s="8">
        <v>0</v>
      </c>
      <c r="Y798" s="8">
        <v>5</v>
      </c>
      <c r="Z798" s="8">
        <v>2</v>
      </c>
      <c r="AA798" s="193" t="s">
        <v>4118</v>
      </c>
      <c r="AB798" s="222"/>
    </row>
    <row r="799" spans="1:28" s="229" customFormat="1" ht="15" customHeight="1">
      <c r="A799" s="16">
        <v>798</v>
      </c>
      <c r="B799" s="14" t="s">
        <v>3034</v>
      </c>
      <c r="C799" s="14" t="str">
        <f>_xlfn.CONCAT(B799&amp;" "&amp;W799&amp;X799&amp;Y799&amp;Z799)</f>
        <v>Kayens Engg Pvt Ltd (Stencil Engg) 8021</v>
      </c>
      <c r="D799" s="16">
        <v>880</v>
      </c>
      <c r="E799" s="9" t="s">
        <v>42</v>
      </c>
      <c r="F799" s="9"/>
      <c r="G799" s="24">
        <v>44120</v>
      </c>
      <c r="H799" s="24"/>
      <c r="I799" s="24"/>
      <c r="J799" s="24">
        <v>44534</v>
      </c>
      <c r="K799" s="24">
        <v>44898</v>
      </c>
      <c r="L799" s="32">
        <v>3</v>
      </c>
      <c r="M799" s="8" t="s">
        <v>3035</v>
      </c>
      <c r="N799" s="8"/>
      <c r="O799" s="19"/>
      <c r="P799" s="8" t="s">
        <v>3036</v>
      </c>
      <c r="Q799" s="8" t="s">
        <v>4902</v>
      </c>
      <c r="R799" s="8" t="s">
        <v>2360</v>
      </c>
      <c r="S799" s="8" t="s">
        <v>21</v>
      </c>
      <c r="T799" s="8">
        <v>560105</v>
      </c>
      <c r="U799" s="8" t="s">
        <v>22</v>
      </c>
      <c r="V799" s="8" t="s">
        <v>23</v>
      </c>
      <c r="W799" s="193">
        <v>8</v>
      </c>
      <c r="X799" s="8">
        <v>0</v>
      </c>
      <c r="Y799" s="8">
        <v>2</v>
      </c>
      <c r="Z799" s="8">
        <v>1</v>
      </c>
      <c r="AA799" s="193" t="s">
        <v>4118</v>
      </c>
      <c r="AB799" s="222"/>
    </row>
    <row r="800" spans="1:28" s="229" customFormat="1" ht="15" customHeight="1">
      <c r="A800" s="16">
        <v>799</v>
      </c>
      <c r="B800" s="14" t="s">
        <v>2092</v>
      </c>
      <c r="C800" s="14" t="str">
        <f>_xlfn.CONCAT(B800&amp;" "&amp;W800&amp;X800&amp;Y800&amp;Z800)</f>
        <v>Minda Corporation Ltd 1152</v>
      </c>
      <c r="D800" s="16">
        <v>886</v>
      </c>
      <c r="E800" s="9" t="s">
        <v>42</v>
      </c>
      <c r="F800" s="9"/>
      <c r="G800" s="24">
        <v>44135</v>
      </c>
      <c r="H800" s="24"/>
      <c r="I800" s="24"/>
      <c r="J800" s="24">
        <v>44515</v>
      </c>
      <c r="K800" s="24">
        <v>44879</v>
      </c>
      <c r="L800" s="32">
        <v>3</v>
      </c>
      <c r="M800" s="8"/>
      <c r="N800" s="8"/>
      <c r="O800" s="19" t="s">
        <v>3037</v>
      </c>
      <c r="P800" s="8" t="s">
        <v>3038</v>
      </c>
      <c r="Q800" s="8" t="s">
        <v>4903</v>
      </c>
      <c r="R800" s="8" t="s">
        <v>2835</v>
      </c>
      <c r="S800" s="8" t="s">
        <v>2201</v>
      </c>
      <c r="T800" s="8">
        <v>201306</v>
      </c>
      <c r="U800" s="8" t="s">
        <v>184</v>
      </c>
      <c r="V800" s="8" t="s">
        <v>23</v>
      </c>
      <c r="W800" s="193">
        <v>1</v>
      </c>
      <c r="X800" s="8">
        <v>1</v>
      </c>
      <c r="Y800" s="8">
        <v>5</v>
      </c>
      <c r="Z800" s="8">
        <v>2</v>
      </c>
      <c r="AA800" s="193" t="s">
        <v>4118</v>
      </c>
      <c r="AB800" s="222"/>
    </row>
    <row r="801" spans="1:28" s="229" customFormat="1" ht="15" customHeight="1">
      <c r="A801" s="16">
        <v>800</v>
      </c>
      <c r="B801" s="14" t="s">
        <v>3039</v>
      </c>
      <c r="C801" s="14" t="str">
        <f>_xlfn.CONCAT(B801&amp;" "&amp;W801&amp;X801&amp;Y801&amp;Z801)</f>
        <v>Boeing India Pvt Ltd 8071</v>
      </c>
      <c r="D801" s="16">
        <v>885</v>
      </c>
      <c r="E801" s="9" t="s">
        <v>42</v>
      </c>
      <c r="F801" s="9"/>
      <c r="G801" s="24">
        <v>44139</v>
      </c>
      <c r="H801" s="24"/>
      <c r="I801" s="24"/>
      <c r="J801" s="24">
        <v>44139</v>
      </c>
      <c r="K801" s="24">
        <v>44503</v>
      </c>
      <c r="L801" s="32">
        <v>3</v>
      </c>
      <c r="M801" s="8" t="s">
        <v>3040</v>
      </c>
      <c r="N801" s="8"/>
      <c r="O801" s="19">
        <v>6366774735</v>
      </c>
      <c r="P801" s="8" t="s">
        <v>3041</v>
      </c>
      <c r="Q801" s="8" t="s">
        <v>4904</v>
      </c>
      <c r="R801" s="8" t="s">
        <v>3042</v>
      </c>
      <c r="S801" s="8" t="s">
        <v>2947</v>
      </c>
      <c r="T801" s="8">
        <v>560093</v>
      </c>
      <c r="U801" s="8" t="s">
        <v>22</v>
      </c>
      <c r="V801" s="8" t="s">
        <v>23</v>
      </c>
      <c r="W801" s="193">
        <v>8</v>
      </c>
      <c r="X801" s="8">
        <v>0</v>
      </c>
      <c r="Y801" s="8">
        <v>7</v>
      </c>
      <c r="Z801" s="8">
        <v>1</v>
      </c>
      <c r="AA801" s="193" t="s">
        <v>4118</v>
      </c>
      <c r="AB801" s="222"/>
    </row>
    <row r="802" spans="1:28" s="229" customFormat="1" ht="15" customHeight="1">
      <c r="A802" s="16">
        <v>801</v>
      </c>
      <c r="B802" s="14" t="s">
        <v>2866</v>
      </c>
      <c r="C802" s="14" t="str">
        <f>_xlfn.CONCAT(B802&amp;" "&amp;W802&amp;X802&amp;Y802&amp;Z802)</f>
        <v>AceInotec Manufacturing Pvt Ltd 8051</v>
      </c>
      <c r="D802" s="16">
        <v>888</v>
      </c>
      <c r="E802" s="9" t="s">
        <v>42</v>
      </c>
      <c r="F802" s="9"/>
      <c r="G802" s="24">
        <v>44140</v>
      </c>
      <c r="H802" s="24"/>
      <c r="I802" s="24"/>
      <c r="J802" s="24">
        <v>44140</v>
      </c>
      <c r="K802" s="24">
        <v>44504</v>
      </c>
      <c r="L802" s="32">
        <v>3</v>
      </c>
      <c r="M802" s="8" t="s">
        <v>2867</v>
      </c>
      <c r="N802" s="8"/>
      <c r="O802" s="19">
        <v>8747900333</v>
      </c>
      <c r="P802" s="8" t="s">
        <v>2196</v>
      </c>
      <c r="Q802" s="8" t="s">
        <v>4853</v>
      </c>
      <c r="R802" s="8" t="s">
        <v>1512</v>
      </c>
      <c r="S802" s="8" t="s">
        <v>21</v>
      </c>
      <c r="T802" s="8">
        <v>560058</v>
      </c>
      <c r="U802" s="8" t="s">
        <v>22</v>
      </c>
      <c r="V802" s="8" t="s">
        <v>23</v>
      </c>
      <c r="W802" s="193">
        <v>8</v>
      </c>
      <c r="X802" s="8">
        <v>0</v>
      </c>
      <c r="Y802" s="8">
        <v>5</v>
      </c>
      <c r="Z802" s="8">
        <v>1</v>
      </c>
      <c r="AA802" s="193" t="s">
        <v>4118</v>
      </c>
      <c r="AB802" s="222"/>
    </row>
    <row r="803" spans="1:28" s="229" customFormat="1" ht="15" customHeight="1">
      <c r="A803" s="16">
        <v>802</v>
      </c>
      <c r="B803" s="14" t="s">
        <v>3043</v>
      </c>
      <c r="C803" s="14" t="str">
        <f>_xlfn.CONCAT(B803&amp;" "&amp;W803&amp;X803&amp;Y803&amp;Z803)</f>
        <v>Technotool Solutions India LLP 8012</v>
      </c>
      <c r="D803" s="16">
        <v>889</v>
      </c>
      <c r="E803" s="9" t="s">
        <v>42</v>
      </c>
      <c r="F803" s="9"/>
      <c r="G803" s="24">
        <v>44140</v>
      </c>
      <c r="H803" s="24"/>
      <c r="I803" s="24"/>
      <c r="J803" s="24">
        <v>44140</v>
      </c>
      <c r="K803" s="24">
        <v>44504</v>
      </c>
      <c r="L803" s="32">
        <v>3</v>
      </c>
      <c r="M803" s="8" t="s">
        <v>3044</v>
      </c>
      <c r="N803" s="8" t="s">
        <v>254</v>
      </c>
      <c r="O803" s="19">
        <v>9008499335</v>
      </c>
      <c r="P803" s="8" t="s">
        <v>3045</v>
      </c>
      <c r="Q803" s="8" t="s">
        <v>4905</v>
      </c>
      <c r="R803" s="8" t="s">
        <v>3046</v>
      </c>
      <c r="S803" s="8" t="s">
        <v>21</v>
      </c>
      <c r="T803" s="8">
        <v>560057</v>
      </c>
      <c r="U803" s="8" t="s">
        <v>22</v>
      </c>
      <c r="V803" s="8" t="s">
        <v>23</v>
      </c>
      <c r="W803" s="193">
        <v>8</v>
      </c>
      <c r="X803" s="8">
        <v>0</v>
      </c>
      <c r="Y803" s="8">
        <v>1</v>
      </c>
      <c r="Z803" s="8">
        <v>2</v>
      </c>
      <c r="AA803" s="193" t="s">
        <v>4118</v>
      </c>
      <c r="AB803" s="222"/>
    </row>
    <row r="804" spans="1:28" s="229" customFormat="1" ht="15" customHeight="1">
      <c r="A804" s="16">
        <v>803</v>
      </c>
      <c r="B804" s="14" t="s">
        <v>3047</v>
      </c>
      <c r="C804" s="14" t="str">
        <f>_xlfn.CONCAT(B804&amp;" "&amp;W804&amp;X804&amp;Y804&amp;Z804)</f>
        <v>Hindustan Platinum PR  0000</v>
      </c>
      <c r="D804" s="16">
        <v>887</v>
      </c>
      <c r="E804" s="9" t="s">
        <v>42</v>
      </c>
      <c r="F804" s="9"/>
      <c r="G804" s="24">
        <v>44148</v>
      </c>
      <c r="H804" s="24"/>
      <c r="I804" s="24"/>
      <c r="J804" s="24">
        <v>44148</v>
      </c>
      <c r="K804" s="24">
        <v>44512</v>
      </c>
      <c r="L804" s="32">
        <v>3</v>
      </c>
      <c r="M804" s="8" t="s">
        <v>3048</v>
      </c>
      <c r="N804" s="8" t="s">
        <v>3049</v>
      </c>
      <c r="O804" s="19"/>
      <c r="P804" s="8" t="s">
        <v>3050</v>
      </c>
      <c r="Q804" s="8" t="s">
        <v>4906</v>
      </c>
      <c r="R804" s="8"/>
      <c r="S804" s="8" t="s">
        <v>3051</v>
      </c>
      <c r="T804" s="29" t="s">
        <v>3052</v>
      </c>
      <c r="U804" s="8" t="s">
        <v>574</v>
      </c>
      <c r="V804" s="8"/>
      <c r="W804" s="193">
        <v>0</v>
      </c>
      <c r="X804" s="8">
        <v>0</v>
      </c>
      <c r="Y804" s="8">
        <v>0</v>
      </c>
      <c r="Z804" s="8">
        <v>0</v>
      </c>
      <c r="AA804" s="193">
        <v>0</v>
      </c>
      <c r="AB804" s="222"/>
    </row>
    <row r="805" spans="1:28" s="229" customFormat="1" ht="15" customHeight="1">
      <c r="A805" s="16">
        <v>804</v>
      </c>
      <c r="B805" s="14" t="s">
        <v>3053</v>
      </c>
      <c r="C805" s="14" t="str">
        <f>_xlfn.CONCAT(B805&amp;" "&amp;W805&amp;X805&amp;Y805&amp;Z805)</f>
        <v>Terminal Technologies (I) Pvt Ltd 2112</v>
      </c>
      <c r="D805" s="16">
        <v>892</v>
      </c>
      <c r="E805" s="9" t="s">
        <v>42</v>
      </c>
      <c r="F805" s="9"/>
      <c r="G805" s="24">
        <v>44152</v>
      </c>
      <c r="H805" s="24"/>
      <c r="I805" s="24"/>
      <c r="J805" s="24">
        <v>44548</v>
      </c>
      <c r="K805" s="24">
        <v>44913</v>
      </c>
      <c r="L805" s="32">
        <v>3</v>
      </c>
      <c r="M805" s="8" t="s">
        <v>3054</v>
      </c>
      <c r="N805" s="8" t="s">
        <v>3055</v>
      </c>
      <c r="O805" s="19">
        <v>9545455067</v>
      </c>
      <c r="P805" s="8" t="s">
        <v>3056</v>
      </c>
      <c r="Q805" s="8" t="s">
        <v>4907</v>
      </c>
      <c r="R805" s="8" t="s">
        <v>2143</v>
      </c>
      <c r="S805" s="8" t="s">
        <v>178</v>
      </c>
      <c r="T805" s="8">
        <v>401208</v>
      </c>
      <c r="U805" s="8" t="s">
        <v>172</v>
      </c>
      <c r="V805" s="8" t="s">
        <v>23</v>
      </c>
      <c r="W805" s="193">
        <v>2</v>
      </c>
      <c r="X805" s="8">
        <v>1</v>
      </c>
      <c r="Y805" s="8">
        <v>1</v>
      </c>
      <c r="Z805" s="8">
        <v>2</v>
      </c>
      <c r="AA805" s="193" t="s">
        <v>4118</v>
      </c>
      <c r="AB805" s="222"/>
    </row>
    <row r="806" spans="1:28" s="229" customFormat="1" ht="15" customHeight="1">
      <c r="A806" s="16">
        <v>805</v>
      </c>
      <c r="B806" s="14" t="s">
        <v>3053</v>
      </c>
      <c r="C806" s="14" t="str">
        <f>_xlfn.CONCAT(B806&amp;" "&amp;W806&amp;X806&amp;Y806&amp;Z806)</f>
        <v>Terminal Technologies (I) Pvt Ltd 2421</v>
      </c>
      <c r="D806" s="16">
        <v>893</v>
      </c>
      <c r="E806" s="9" t="s">
        <v>42</v>
      </c>
      <c r="F806" s="9"/>
      <c r="G806" s="24">
        <v>44152</v>
      </c>
      <c r="H806" s="24"/>
      <c r="I806" s="24"/>
      <c r="J806" s="24">
        <v>44535</v>
      </c>
      <c r="K806" s="24">
        <v>44899</v>
      </c>
      <c r="L806" s="32">
        <v>3</v>
      </c>
      <c r="M806" s="8" t="s">
        <v>3057</v>
      </c>
      <c r="N806" s="8" t="s">
        <v>2537</v>
      </c>
      <c r="O806" s="19">
        <v>9545455045</v>
      </c>
      <c r="P806" s="8" t="s">
        <v>478</v>
      </c>
      <c r="Q806" s="8" t="s">
        <v>4908</v>
      </c>
      <c r="R806" s="8" t="s">
        <v>480</v>
      </c>
      <c r="S806" s="8" t="s">
        <v>215</v>
      </c>
      <c r="T806" s="29" t="s">
        <v>3058</v>
      </c>
      <c r="U806" s="8" t="s">
        <v>172</v>
      </c>
      <c r="V806" s="8" t="s">
        <v>23</v>
      </c>
      <c r="W806" s="193">
        <v>2</v>
      </c>
      <c r="X806" s="8">
        <v>4</v>
      </c>
      <c r="Y806" s="8">
        <v>2</v>
      </c>
      <c r="Z806" s="8">
        <v>1</v>
      </c>
      <c r="AA806" s="193" t="s">
        <v>4151</v>
      </c>
      <c r="AB806" s="222"/>
    </row>
    <row r="807" spans="1:28" s="229" customFormat="1" ht="15" customHeight="1">
      <c r="A807" s="16">
        <v>806</v>
      </c>
      <c r="B807" s="14" t="s">
        <v>3059</v>
      </c>
      <c r="C807" s="14" t="str">
        <f>_xlfn.CONCAT(B807&amp;" "&amp;W807&amp;X807&amp;Y807&amp;Z807)</f>
        <v>Capital Tool Industries 1333</v>
      </c>
      <c r="D807" s="16">
        <v>890</v>
      </c>
      <c r="E807" s="9" t="s">
        <v>42</v>
      </c>
      <c r="F807" s="9"/>
      <c r="G807" s="24">
        <v>44153</v>
      </c>
      <c r="H807" s="24"/>
      <c r="I807" s="24"/>
      <c r="J807" s="24">
        <v>44153</v>
      </c>
      <c r="K807" s="24">
        <v>44517</v>
      </c>
      <c r="L807" s="32">
        <v>3</v>
      </c>
      <c r="M807" s="8"/>
      <c r="N807" s="8"/>
      <c r="O807" s="19"/>
      <c r="P807" s="8"/>
      <c r="Q807" s="8" t="s">
        <v>4909</v>
      </c>
      <c r="R807" s="8"/>
      <c r="S807" s="8" t="s">
        <v>1799</v>
      </c>
      <c r="T807" s="29" t="s">
        <v>3060</v>
      </c>
      <c r="U807" s="8" t="s">
        <v>1787</v>
      </c>
      <c r="V807" s="8" t="s">
        <v>23</v>
      </c>
      <c r="W807" s="193">
        <v>1</v>
      </c>
      <c r="X807" s="8">
        <v>3</v>
      </c>
      <c r="Y807" s="8">
        <v>3</v>
      </c>
      <c r="Z807" s="8">
        <v>3</v>
      </c>
      <c r="AA807" s="193" t="s">
        <v>4118</v>
      </c>
      <c r="AB807" s="222"/>
    </row>
    <row r="808" spans="1:28" s="229" customFormat="1" ht="15" customHeight="1">
      <c r="A808" s="16">
        <v>807</v>
      </c>
      <c r="B808" s="14" t="s">
        <v>3061</v>
      </c>
      <c r="C808" s="14" t="str">
        <f>_xlfn.CONCAT(B808&amp;" "&amp;W808&amp;X808&amp;Y808&amp;Z808)</f>
        <v>S.R.S Tools 8051</v>
      </c>
      <c r="D808" s="16">
        <v>891</v>
      </c>
      <c r="E808" s="9" t="s">
        <v>42</v>
      </c>
      <c r="F808" s="9"/>
      <c r="G808" s="24">
        <v>44158</v>
      </c>
      <c r="H808" s="24"/>
      <c r="I808" s="24"/>
      <c r="J808" s="24">
        <v>44158</v>
      </c>
      <c r="K808" s="24">
        <v>44522</v>
      </c>
      <c r="L808" s="32">
        <v>3</v>
      </c>
      <c r="M808" s="8" t="s">
        <v>3062</v>
      </c>
      <c r="N808" s="8"/>
      <c r="O808" s="19">
        <v>9880148565</v>
      </c>
      <c r="P808" s="8" t="s">
        <v>2677</v>
      </c>
      <c r="Q808" s="8" t="s">
        <v>4910</v>
      </c>
      <c r="R808" s="8" t="s">
        <v>2229</v>
      </c>
      <c r="S808" s="8" t="s">
        <v>2947</v>
      </c>
      <c r="T808" s="29" t="s">
        <v>3063</v>
      </c>
      <c r="U808" s="8" t="s">
        <v>22</v>
      </c>
      <c r="V808" s="8" t="s">
        <v>23</v>
      </c>
      <c r="W808" s="193">
        <v>8</v>
      </c>
      <c r="X808" s="8">
        <v>0</v>
      </c>
      <c r="Y808" s="8">
        <v>5</v>
      </c>
      <c r="Z808" s="8">
        <v>1</v>
      </c>
      <c r="AA808" s="193" t="s">
        <v>4118</v>
      </c>
      <c r="AB808" s="222"/>
    </row>
    <row r="809" spans="1:28" s="229" customFormat="1" ht="15" customHeight="1">
      <c r="A809" s="16">
        <v>808</v>
      </c>
      <c r="B809" s="14" t="s">
        <v>3064</v>
      </c>
      <c r="C809" s="14" t="str">
        <f>_xlfn.CONCAT(B809&amp;" "&amp;W809&amp;X809&amp;Y809&amp;Z809)</f>
        <v>Schneider Electric India Pvt. Ltd. 2431</v>
      </c>
      <c r="D809" s="16">
        <v>852</v>
      </c>
      <c r="E809" s="9" t="s">
        <v>90</v>
      </c>
      <c r="F809" s="9"/>
      <c r="G809" s="24">
        <v>44159</v>
      </c>
      <c r="H809" s="24"/>
      <c r="I809" s="24"/>
      <c r="J809" s="24">
        <v>44159</v>
      </c>
      <c r="K809" s="24">
        <v>44888</v>
      </c>
      <c r="L809" s="32">
        <v>3</v>
      </c>
      <c r="M809" s="8" t="s">
        <v>3065</v>
      </c>
      <c r="N809" s="8"/>
      <c r="O809" s="19"/>
      <c r="P809" s="8" t="s">
        <v>1536</v>
      </c>
      <c r="Q809" s="8" t="s">
        <v>4911</v>
      </c>
      <c r="R809" s="8" t="s">
        <v>3066</v>
      </c>
      <c r="S809" s="8" t="s">
        <v>1421</v>
      </c>
      <c r="T809" s="29" t="s">
        <v>3067</v>
      </c>
      <c r="U809" s="8" t="s">
        <v>172</v>
      </c>
      <c r="V809" s="8" t="s">
        <v>23</v>
      </c>
      <c r="W809" s="193">
        <v>2</v>
      </c>
      <c r="X809" s="8">
        <v>4</v>
      </c>
      <c r="Y809" s="8">
        <v>3</v>
      </c>
      <c r="Z809" s="8">
        <v>1</v>
      </c>
      <c r="AA809" s="193" t="s">
        <v>4151</v>
      </c>
      <c r="AB809" s="222"/>
    </row>
    <row r="810" spans="1:28" s="229" customFormat="1" ht="15" customHeight="1">
      <c r="A810" s="16">
        <v>809</v>
      </c>
      <c r="B810" s="14" t="s">
        <v>3068</v>
      </c>
      <c r="C810" s="14" t="str">
        <f>_xlfn.CONCAT(B810&amp;" "&amp;W810&amp;X810&amp;Y810&amp;Z810)</f>
        <v>Stein Seal Company (India) Pvt Ltd 8051</v>
      </c>
      <c r="D810" s="16">
        <v>792</v>
      </c>
      <c r="E810" s="9" t="s">
        <v>3069</v>
      </c>
      <c r="F810" s="9"/>
      <c r="G810" s="24">
        <v>44177</v>
      </c>
      <c r="H810" s="24"/>
      <c r="I810" s="24"/>
      <c r="J810" s="24">
        <v>44586</v>
      </c>
      <c r="K810" s="24">
        <v>44950</v>
      </c>
      <c r="L810" s="32">
        <v>3</v>
      </c>
      <c r="M810" s="8" t="s">
        <v>3070</v>
      </c>
      <c r="N810" s="8" t="s">
        <v>3071</v>
      </c>
      <c r="O810" s="19">
        <v>7676217356</v>
      </c>
      <c r="P810" s="8" t="s">
        <v>3072</v>
      </c>
      <c r="Q810" s="8" t="s">
        <v>4912</v>
      </c>
      <c r="R810" s="8"/>
      <c r="S810" s="8" t="s">
        <v>21</v>
      </c>
      <c r="T810" s="29">
        <v>560058</v>
      </c>
      <c r="U810" s="8" t="s">
        <v>22</v>
      </c>
      <c r="V810" s="8" t="s">
        <v>23</v>
      </c>
      <c r="W810" s="193">
        <v>8</v>
      </c>
      <c r="X810" s="8">
        <v>0</v>
      </c>
      <c r="Y810" s="8">
        <v>5</v>
      </c>
      <c r="Z810" s="8">
        <v>1</v>
      </c>
      <c r="AA810" s="193" t="s">
        <v>4118</v>
      </c>
      <c r="AB810" s="222"/>
    </row>
    <row r="811" spans="1:28" s="229" customFormat="1" ht="15" customHeight="1">
      <c r="A811" s="16">
        <v>810</v>
      </c>
      <c r="B811" s="14" t="s">
        <v>3073</v>
      </c>
      <c r="C811" s="14" t="str">
        <f>_xlfn.CONCAT(B811&amp;" "&amp;W811&amp;X811&amp;Y811&amp;Z811)</f>
        <v>Karamsar Technology Pvt ltd 1162</v>
      </c>
      <c r="D811" s="16">
        <v>896</v>
      </c>
      <c r="E811" s="9" t="s">
        <v>42</v>
      </c>
      <c r="F811" s="9"/>
      <c r="G811" s="24">
        <v>44181</v>
      </c>
      <c r="H811" s="24"/>
      <c r="I811" s="24"/>
      <c r="J811" s="24">
        <v>44181</v>
      </c>
      <c r="K811" s="24">
        <v>44545</v>
      </c>
      <c r="L811" s="32">
        <v>3</v>
      </c>
      <c r="M811" s="8" t="s">
        <v>3074</v>
      </c>
      <c r="N811" s="8"/>
      <c r="O811" s="19">
        <v>9311334600</v>
      </c>
      <c r="P811" s="8" t="s">
        <v>3075</v>
      </c>
      <c r="Q811" s="8" t="s">
        <v>4913</v>
      </c>
      <c r="R811" s="8"/>
      <c r="S811" s="8" t="s">
        <v>681</v>
      </c>
      <c r="T811" s="29">
        <v>110041</v>
      </c>
      <c r="U811" s="8" t="s">
        <v>2130</v>
      </c>
      <c r="V811" s="8" t="s">
        <v>23</v>
      </c>
      <c r="W811" s="193">
        <v>1</v>
      </c>
      <c r="X811" s="8">
        <v>1</v>
      </c>
      <c r="Y811" s="8">
        <v>6</v>
      </c>
      <c r="Z811" s="8">
        <v>2</v>
      </c>
      <c r="AA811" s="193" t="s">
        <v>4118</v>
      </c>
      <c r="AB811" s="222"/>
    </row>
    <row r="812" spans="1:28" s="229" customFormat="1" ht="15" customHeight="1">
      <c r="A812" s="16">
        <v>811</v>
      </c>
      <c r="B812" s="14" t="s">
        <v>3076</v>
      </c>
      <c r="C812" s="14" t="str">
        <f>_xlfn.CONCAT(B812&amp;" "&amp;W812&amp;X812&amp;Y812&amp;Z812)</f>
        <v>RR Precision (India) Pvt Ltd 8082</v>
      </c>
      <c r="D812" s="16">
        <v>897</v>
      </c>
      <c r="E812" s="9" t="s">
        <v>42</v>
      </c>
      <c r="F812" s="9"/>
      <c r="G812" s="24">
        <v>44182</v>
      </c>
      <c r="H812" s="24"/>
      <c r="I812" s="24"/>
      <c r="J812" s="24">
        <v>45952</v>
      </c>
      <c r="K812" s="24">
        <v>46316</v>
      </c>
      <c r="L812" s="32">
        <v>3</v>
      </c>
      <c r="M812" s="8" t="s">
        <v>3077</v>
      </c>
      <c r="N812" s="8" t="s">
        <v>28</v>
      </c>
      <c r="O812" s="19"/>
      <c r="P812" s="8"/>
      <c r="Q812" s="8" t="s">
        <v>4914</v>
      </c>
      <c r="R812" s="8"/>
      <c r="S812" s="8" t="s">
        <v>507</v>
      </c>
      <c r="T812" s="29">
        <v>563101</v>
      </c>
      <c r="U812" s="8" t="s">
        <v>22</v>
      </c>
      <c r="V812" s="8" t="s">
        <v>23</v>
      </c>
      <c r="W812" s="193">
        <v>8</v>
      </c>
      <c r="X812" s="8">
        <v>0</v>
      </c>
      <c r="Y812" s="8">
        <v>8</v>
      </c>
      <c r="Z812" s="8">
        <v>2</v>
      </c>
      <c r="AA812" s="193" t="s">
        <v>4118</v>
      </c>
      <c r="AB812" s="222"/>
    </row>
    <row r="813" spans="1:28" s="229" customFormat="1" ht="15" customHeight="1">
      <c r="A813" s="16">
        <v>812</v>
      </c>
      <c r="B813" s="14" t="s">
        <v>2362</v>
      </c>
      <c r="C813" s="14" t="str">
        <f>_xlfn.CONCAT(B813&amp;" "&amp;W813&amp;X813&amp;Y813&amp;Z813)</f>
        <v>Bosch limited 8011</v>
      </c>
      <c r="D813" s="16">
        <v>898</v>
      </c>
      <c r="E813" s="9" t="s">
        <v>42</v>
      </c>
      <c r="F813" s="9"/>
      <c r="G813" s="24">
        <v>44189</v>
      </c>
      <c r="H813" s="24"/>
      <c r="I813" s="24"/>
      <c r="J813" s="24">
        <v>44189</v>
      </c>
      <c r="K813" s="24">
        <v>44553</v>
      </c>
      <c r="L813" s="32">
        <v>3</v>
      </c>
      <c r="M813" s="8" t="s">
        <v>3078</v>
      </c>
      <c r="N813" s="8" t="s">
        <v>3079</v>
      </c>
      <c r="O813" s="19">
        <v>9972351351</v>
      </c>
      <c r="P813" s="8" t="s">
        <v>3080</v>
      </c>
      <c r="Q813" s="8" t="s">
        <v>4915</v>
      </c>
      <c r="R813" s="8" t="s">
        <v>2247</v>
      </c>
      <c r="S813" s="8" t="s">
        <v>21</v>
      </c>
      <c r="T813" s="29">
        <v>562109</v>
      </c>
      <c r="U813" s="8" t="s">
        <v>22</v>
      </c>
      <c r="V813" s="8" t="s">
        <v>23</v>
      </c>
      <c r="W813" s="193">
        <v>8</v>
      </c>
      <c r="X813" s="8">
        <v>0</v>
      </c>
      <c r="Y813" s="8">
        <v>1</v>
      </c>
      <c r="Z813" s="8">
        <v>1</v>
      </c>
      <c r="AA813" s="193" t="s">
        <v>4118</v>
      </c>
      <c r="AB813" s="222"/>
    </row>
    <row r="814" spans="1:28" s="229" customFormat="1" ht="15" customHeight="1">
      <c r="A814" s="16">
        <v>813</v>
      </c>
      <c r="B814" s="14" t="s">
        <v>3081</v>
      </c>
      <c r="C814" s="14" t="str">
        <f>_xlfn.CONCAT(B814&amp;" "&amp;W814&amp;X814&amp;Y814&amp;Z814)</f>
        <v>Spring Tech India 1161</v>
      </c>
      <c r="D814" s="16">
        <v>899</v>
      </c>
      <c r="E814" s="9" t="s">
        <v>42</v>
      </c>
      <c r="F814" s="9"/>
      <c r="G814" s="24">
        <v>44193</v>
      </c>
      <c r="H814" s="24"/>
      <c r="I814" s="24"/>
      <c r="J814" s="24">
        <v>44193</v>
      </c>
      <c r="K814" s="24">
        <v>44557</v>
      </c>
      <c r="L814" s="32">
        <v>3</v>
      </c>
      <c r="M814" s="8"/>
      <c r="N814" s="8"/>
      <c r="O814" s="19">
        <v>9205217652</v>
      </c>
      <c r="P814" s="8" t="s">
        <v>3082</v>
      </c>
      <c r="Q814" s="8" t="s">
        <v>4916</v>
      </c>
      <c r="R814" s="8" t="s">
        <v>3083</v>
      </c>
      <c r="S814" s="8" t="s">
        <v>454</v>
      </c>
      <c r="T814" s="29">
        <v>121005</v>
      </c>
      <c r="U814" s="8" t="s">
        <v>429</v>
      </c>
      <c r="V814" s="8" t="s">
        <v>23</v>
      </c>
      <c r="W814" s="193">
        <v>1</v>
      </c>
      <c r="X814" s="8">
        <v>1</v>
      </c>
      <c r="Y814" s="8">
        <v>6</v>
      </c>
      <c r="Z814" s="8">
        <v>1</v>
      </c>
      <c r="AA814" s="193" t="s">
        <v>4118</v>
      </c>
      <c r="AB814" s="222"/>
    </row>
    <row r="815" spans="1:28" s="229" customFormat="1" ht="15" customHeight="1">
      <c r="A815" s="16">
        <v>814</v>
      </c>
      <c r="B815" s="14" t="s">
        <v>3084</v>
      </c>
      <c r="C815" s="14" t="str">
        <f>_xlfn.CONCAT(B815&amp;" "&amp;W815&amp;X815&amp;Y815&amp;Z815)</f>
        <v>Kirloskar Toyota Textile Machinery Pvt. Ltd 8021</v>
      </c>
      <c r="D815" s="16">
        <v>793</v>
      </c>
      <c r="E815" s="9" t="s">
        <v>2082</v>
      </c>
      <c r="F815" s="9"/>
      <c r="G815" s="24">
        <v>44201</v>
      </c>
      <c r="H815" s="24"/>
      <c r="I815" s="24"/>
      <c r="J815" s="24">
        <v>44201</v>
      </c>
      <c r="K815" s="24">
        <v>44565</v>
      </c>
      <c r="L815" s="32">
        <v>3</v>
      </c>
      <c r="M815" s="8" t="s">
        <v>3085</v>
      </c>
      <c r="N815" s="8" t="s">
        <v>3086</v>
      </c>
      <c r="O815" s="19" t="s">
        <v>3087</v>
      </c>
      <c r="P815" s="8" t="s">
        <v>1628</v>
      </c>
      <c r="Q815" s="8" t="s">
        <v>4917</v>
      </c>
      <c r="R815" s="8"/>
      <c r="S815" s="8" t="s">
        <v>21</v>
      </c>
      <c r="T815" s="29" t="s">
        <v>3088</v>
      </c>
      <c r="U815" s="8" t="s">
        <v>22</v>
      </c>
      <c r="V815" s="8" t="s">
        <v>23</v>
      </c>
      <c r="W815" s="193">
        <v>8</v>
      </c>
      <c r="X815" s="8">
        <v>0</v>
      </c>
      <c r="Y815" s="8">
        <v>2</v>
      </c>
      <c r="Z815" s="8">
        <v>1</v>
      </c>
      <c r="AA815" s="193" t="s">
        <v>4118</v>
      </c>
      <c r="AB815" s="222"/>
    </row>
    <row r="816" spans="1:28" s="229" customFormat="1" ht="15" customHeight="1">
      <c r="A816" s="16">
        <v>815</v>
      </c>
      <c r="B816" s="14" t="s">
        <v>3089</v>
      </c>
      <c r="C816" s="14" t="str">
        <f>_xlfn.CONCAT(B816&amp;" "&amp;W816&amp;X816&amp;Y816&amp;Z816)</f>
        <v>OM Engineering 1151</v>
      </c>
      <c r="D816" s="16">
        <v>851</v>
      </c>
      <c r="E816" s="9" t="s">
        <v>90</v>
      </c>
      <c r="F816" s="9"/>
      <c r="G816" s="24">
        <v>44201</v>
      </c>
      <c r="H816" s="24"/>
      <c r="I816" s="24"/>
      <c r="J816" s="24">
        <v>44201</v>
      </c>
      <c r="K816" s="24">
        <v>44930</v>
      </c>
      <c r="L816" s="32">
        <v>3</v>
      </c>
      <c r="M816" s="8" t="s">
        <v>3090</v>
      </c>
      <c r="N816" s="8"/>
      <c r="O816" s="19">
        <v>8826454187</v>
      </c>
      <c r="P816" s="8"/>
      <c r="Q816" s="8" t="s">
        <v>4918</v>
      </c>
      <c r="R816" s="8"/>
      <c r="S816" s="8" t="s">
        <v>185</v>
      </c>
      <c r="T816" s="29" t="s">
        <v>3091</v>
      </c>
      <c r="U816" s="8" t="s">
        <v>184</v>
      </c>
      <c r="V816" s="8" t="s">
        <v>23</v>
      </c>
      <c r="W816" s="193">
        <v>1</v>
      </c>
      <c r="X816" s="8">
        <v>1</v>
      </c>
      <c r="Y816" s="8">
        <v>5</v>
      </c>
      <c r="Z816" s="8">
        <v>1</v>
      </c>
      <c r="AA816" s="193" t="s">
        <v>4118</v>
      </c>
      <c r="AB816" s="222"/>
    </row>
    <row r="817" spans="1:28" s="229" customFormat="1" ht="15" customHeight="1">
      <c r="A817" s="16">
        <v>816</v>
      </c>
      <c r="B817" s="14" t="s">
        <v>3092</v>
      </c>
      <c r="C817" s="14" t="str">
        <f>_xlfn.CONCAT(B817&amp;" "&amp;W817&amp;X817&amp;Y817&amp;Z817)</f>
        <v>Rashmi Metaliks Ltd 3002</v>
      </c>
      <c r="D817" s="16">
        <v>900</v>
      </c>
      <c r="E817" s="9" t="s">
        <v>42</v>
      </c>
      <c r="F817" s="9"/>
      <c r="G817" s="24">
        <v>44209</v>
      </c>
      <c r="H817" s="24"/>
      <c r="I817" s="24"/>
      <c r="J817" s="24">
        <v>44209</v>
      </c>
      <c r="K817" s="24">
        <v>44573</v>
      </c>
      <c r="L817" s="32">
        <v>3</v>
      </c>
      <c r="M817" s="8" t="s">
        <v>3093</v>
      </c>
      <c r="N817" s="8"/>
      <c r="O817" s="19"/>
      <c r="P817" s="8" t="s">
        <v>3094</v>
      </c>
      <c r="Q817" s="8" t="s">
        <v>4919</v>
      </c>
      <c r="R817" s="8"/>
      <c r="S817" s="8" t="s">
        <v>2392</v>
      </c>
      <c r="T817" s="29" t="s">
        <v>3095</v>
      </c>
      <c r="U817" s="8" t="s">
        <v>328</v>
      </c>
      <c r="V817" s="8" t="s">
        <v>23</v>
      </c>
      <c r="W817" s="193">
        <v>3</v>
      </c>
      <c r="X817" s="8">
        <v>0</v>
      </c>
      <c r="Y817" s="8">
        <v>0</v>
      </c>
      <c r="Z817" s="8">
        <v>2</v>
      </c>
      <c r="AA817" s="193" t="s">
        <v>4148</v>
      </c>
      <c r="AB817" s="222"/>
    </row>
    <row r="818" spans="1:28" s="229" customFormat="1" ht="15" customHeight="1">
      <c r="A818" s="16">
        <v>817</v>
      </c>
      <c r="B818" s="14" t="s">
        <v>3096</v>
      </c>
      <c r="C818" s="14" t="str">
        <f>_xlfn.CONCAT(B818&amp;" "&amp;W818&amp;X818&amp;Y818&amp;Z818)</f>
        <v>Sothern Writing Instuments Pvt Ltd (Chennai Pen Products Pvt Ltd) 4031</v>
      </c>
      <c r="D818" s="16">
        <v>902</v>
      </c>
      <c r="E818" s="9" t="s">
        <v>42</v>
      </c>
      <c r="F818" s="9"/>
      <c r="G818" s="24">
        <v>44215</v>
      </c>
      <c r="H818" s="24"/>
      <c r="I818" s="24"/>
      <c r="J818" s="24">
        <v>45869</v>
      </c>
      <c r="K818" s="24">
        <v>46233</v>
      </c>
      <c r="L818" s="32">
        <v>3</v>
      </c>
      <c r="M818" s="8" t="s">
        <v>3097</v>
      </c>
      <c r="N818" s="8" t="s">
        <v>3098</v>
      </c>
      <c r="O818" s="19" t="s">
        <v>3099</v>
      </c>
      <c r="P818" s="8" t="s">
        <v>3100</v>
      </c>
      <c r="Q818" s="8" t="s">
        <v>4920</v>
      </c>
      <c r="R818" s="8"/>
      <c r="S818" s="8" t="s">
        <v>2503</v>
      </c>
      <c r="T818" s="29">
        <v>631561</v>
      </c>
      <c r="U818" s="8" t="s">
        <v>38</v>
      </c>
      <c r="V818" s="8" t="s">
        <v>23</v>
      </c>
      <c r="W818" s="193">
        <v>4</v>
      </c>
      <c r="X818" s="8">
        <v>0</v>
      </c>
      <c r="Y818" s="8">
        <v>3</v>
      </c>
      <c r="Z818" s="8">
        <v>1</v>
      </c>
      <c r="AA818" s="193" t="s">
        <v>4148</v>
      </c>
      <c r="AB818" s="222"/>
    </row>
    <row r="819" spans="1:28" s="229" customFormat="1" ht="15" customHeight="1">
      <c r="A819" s="16">
        <v>818</v>
      </c>
      <c r="B819" s="14" t="s">
        <v>3101</v>
      </c>
      <c r="C819" s="14" t="str">
        <f>_xlfn.CONCAT(B819&amp;" "&amp;W819&amp;X819&amp;Y819&amp;Z819)</f>
        <v>Harinder Industries Pvt Ltd 1111</v>
      </c>
      <c r="D819" s="16">
        <v>901</v>
      </c>
      <c r="E819" s="9" t="s">
        <v>42</v>
      </c>
      <c r="F819" s="9"/>
      <c r="G819" s="24">
        <v>44216</v>
      </c>
      <c r="H819" s="24"/>
      <c r="I819" s="24"/>
      <c r="J819" s="24">
        <v>44216</v>
      </c>
      <c r="K819" s="24">
        <v>44580</v>
      </c>
      <c r="L819" s="32">
        <v>3</v>
      </c>
      <c r="M819" s="8" t="s">
        <v>3102</v>
      </c>
      <c r="N819" s="8"/>
      <c r="O819" s="19"/>
      <c r="P819" s="8" t="s">
        <v>3103</v>
      </c>
      <c r="Q819" s="8" t="s">
        <v>4921</v>
      </c>
      <c r="R819" s="8"/>
      <c r="S819" s="8" t="s">
        <v>428</v>
      </c>
      <c r="T819" s="29">
        <v>122050</v>
      </c>
      <c r="U819" s="8" t="s">
        <v>429</v>
      </c>
      <c r="V819" s="8" t="s">
        <v>23</v>
      </c>
      <c r="W819" s="193">
        <v>1</v>
      </c>
      <c r="X819" s="8">
        <v>1</v>
      </c>
      <c r="Y819" s="8">
        <v>1</v>
      </c>
      <c r="Z819" s="8">
        <v>1</v>
      </c>
      <c r="AA819" s="193" t="s">
        <v>4118</v>
      </c>
      <c r="AB819" s="222"/>
    </row>
    <row r="820" spans="1:28" s="229" customFormat="1" ht="15" customHeight="1">
      <c r="A820" s="16">
        <v>819</v>
      </c>
      <c r="B820" s="35" t="s">
        <v>3104</v>
      </c>
      <c r="C820" s="14" t="str">
        <f>_xlfn.CONCAT(B820&amp;" "&amp;W820&amp;X820&amp;Y820&amp;Z820)</f>
        <v>Motion Drivetronics Pvt Ltd 2224</v>
      </c>
      <c r="D820" s="16">
        <v>853</v>
      </c>
      <c r="E820" s="9" t="s">
        <v>90</v>
      </c>
      <c r="F820" s="9"/>
      <c r="G820" s="24">
        <v>44217</v>
      </c>
      <c r="H820" s="24"/>
      <c r="I820" s="24"/>
      <c r="J820" s="24">
        <v>44217</v>
      </c>
      <c r="K820" s="24">
        <v>44581</v>
      </c>
      <c r="L820" s="32">
        <v>3</v>
      </c>
      <c r="M820" s="8" t="s">
        <v>3105</v>
      </c>
      <c r="N820" s="8" t="s">
        <v>71</v>
      </c>
      <c r="O820" s="19"/>
      <c r="P820" s="8" t="s">
        <v>2939</v>
      </c>
      <c r="Q820" s="8" t="s">
        <v>4922</v>
      </c>
      <c r="R820" s="8" t="s">
        <v>3106</v>
      </c>
      <c r="S820" s="8" t="s">
        <v>259</v>
      </c>
      <c r="T820" s="29">
        <v>400709</v>
      </c>
      <c r="U820" s="8" t="s">
        <v>172</v>
      </c>
      <c r="V820" s="8" t="s">
        <v>23</v>
      </c>
      <c r="W820" s="193">
        <v>2</v>
      </c>
      <c r="X820" s="8">
        <v>2</v>
      </c>
      <c r="Y820" s="8">
        <v>2</v>
      </c>
      <c r="Z820" s="8">
        <v>4</v>
      </c>
      <c r="AA820" s="193" t="s">
        <v>4148</v>
      </c>
      <c r="AB820" s="222"/>
    </row>
    <row r="821" spans="1:28" s="229" customFormat="1" ht="15" customHeight="1">
      <c r="A821" s="16">
        <v>820</v>
      </c>
      <c r="B821" s="14" t="s">
        <v>3107</v>
      </c>
      <c r="C821" s="14" t="str">
        <f>_xlfn.CONCAT(B821&amp;" "&amp;W821&amp;X821&amp;Y821&amp;Z821)</f>
        <v>AGI Greenpac Ltd (HSIL Limited) 6011</v>
      </c>
      <c r="D821" s="16">
        <v>795</v>
      </c>
      <c r="E821" s="9" t="s">
        <v>2082</v>
      </c>
      <c r="F821" s="9"/>
      <c r="G821" s="24">
        <v>44217</v>
      </c>
      <c r="H821" s="24"/>
      <c r="I821" s="24"/>
      <c r="J821" s="24">
        <v>44217</v>
      </c>
      <c r="K821" s="24">
        <v>44581</v>
      </c>
      <c r="L821" s="32">
        <v>3</v>
      </c>
      <c r="M821" s="8" t="s">
        <v>3108</v>
      </c>
      <c r="N821" s="8" t="s">
        <v>3109</v>
      </c>
      <c r="O821" s="19">
        <v>9346138134</v>
      </c>
      <c r="P821" s="8" t="s">
        <v>3110</v>
      </c>
      <c r="Q821" s="8" t="s">
        <v>4923</v>
      </c>
      <c r="R821" s="8" t="s">
        <v>3111</v>
      </c>
      <c r="S821" s="8" t="s">
        <v>1712</v>
      </c>
      <c r="T821" s="29">
        <v>502307</v>
      </c>
      <c r="U821" s="8" t="s">
        <v>1844</v>
      </c>
      <c r="V821" s="8" t="s">
        <v>23</v>
      </c>
      <c r="W821" s="193">
        <v>6</v>
      </c>
      <c r="X821" s="8">
        <v>0</v>
      </c>
      <c r="Y821" s="8">
        <v>1</v>
      </c>
      <c r="Z821" s="8">
        <v>1</v>
      </c>
      <c r="AA821" s="193" t="s">
        <v>4148</v>
      </c>
      <c r="AB821" s="222"/>
    </row>
    <row r="822" spans="1:28" s="229" customFormat="1" ht="15" customHeight="1">
      <c r="A822" s="16">
        <v>821</v>
      </c>
      <c r="B822" s="14" t="s">
        <v>3112</v>
      </c>
      <c r="C822" s="14" t="str">
        <f>_xlfn.CONCAT(B822&amp;" "&amp;W822&amp;X822&amp;Y822&amp;Z822)</f>
        <v>PV Clean Mobility Technologies Pvt Ltd 2421</v>
      </c>
      <c r="D822" s="16">
        <v>854</v>
      </c>
      <c r="E822" s="9" t="s">
        <v>90</v>
      </c>
      <c r="F822" s="9"/>
      <c r="G822" s="24">
        <v>44223</v>
      </c>
      <c r="H822" s="24"/>
      <c r="I822" s="24"/>
      <c r="J822" s="24">
        <v>45810</v>
      </c>
      <c r="K822" s="24">
        <v>46174</v>
      </c>
      <c r="L822" s="32">
        <v>3</v>
      </c>
      <c r="M822" s="8" t="s">
        <v>3113</v>
      </c>
      <c r="N822" s="8"/>
      <c r="O822" s="19">
        <v>7218310087</v>
      </c>
      <c r="P822" s="8" t="s">
        <v>3114</v>
      </c>
      <c r="Q822" s="8" t="s">
        <v>4924</v>
      </c>
      <c r="R822" s="8" t="s">
        <v>3115</v>
      </c>
      <c r="S822" s="8" t="s">
        <v>215</v>
      </c>
      <c r="T822" s="29" t="s">
        <v>3116</v>
      </c>
      <c r="U822" s="8" t="s">
        <v>172</v>
      </c>
      <c r="V822" s="8" t="s">
        <v>23</v>
      </c>
      <c r="W822" s="193">
        <v>2</v>
      </c>
      <c r="X822" s="8">
        <v>4</v>
      </c>
      <c r="Y822" s="8">
        <v>2</v>
      </c>
      <c r="Z822" s="8">
        <v>1</v>
      </c>
      <c r="AA822" s="193" t="s">
        <v>4151</v>
      </c>
      <c r="AB822" s="222"/>
    </row>
    <row r="823" spans="1:28" s="229" customFormat="1" ht="15" customHeight="1">
      <c r="A823" s="16">
        <v>822</v>
      </c>
      <c r="B823" s="14" t="s">
        <v>3053</v>
      </c>
      <c r="C823" s="14" t="str">
        <f>_xlfn.CONCAT(B823&amp;" "&amp;W823&amp;X823&amp;Y823&amp;Z823)</f>
        <v>Terminal Technologies (I) Pvt Ltd 2111</v>
      </c>
      <c r="D823" s="16">
        <v>894</v>
      </c>
      <c r="E823" s="9" t="s">
        <v>42</v>
      </c>
      <c r="F823" s="9"/>
      <c r="G823" s="24">
        <v>44223</v>
      </c>
      <c r="H823" s="24"/>
      <c r="I823" s="24"/>
      <c r="J823" s="24">
        <v>44586</v>
      </c>
      <c r="K823" s="24">
        <v>44950</v>
      </c>
      <c r="L823" s="32">
        <v>3</v>
      </c>
      <c r="M823" s="8" t="s">
        <v>3054</v>
      </c>
      <c r="N823" s="8" t="s">
        <v>3117</v>
      </c>
      <c r="O823" s="19">
        <v>9545455067</v>
      </c>
      <c r="P823" s="8" t="s">
        <v>3118</v>
      </c>
      <c r="Q823" s="8" t="s">
        <v>4925</v>
      </c>
      <c r="R823" s="8" t="s">
        <v>3119</v>
      </c>
      <c r="S823" s="8" t="s">
        <v>2931</v>
      </c>
      <c r="T823" s="29" t="s">
        <v>3120</v>
      </c>
      <c r="U823" s="8" t="s">
        <v>144</v>
      </c>
      <c r="V823" s="8" t="s">
        <v>23</v>
      </c>
      <c r="W823" s="193">
        <v>2</v>
      </c>
      <c r="X823" s="8">
        <v>1</v>
      </c>
      <c r="Y823" s="8">
        <v>1</v>
      </c>
      <c r="Z823" s="8">
        <v>1</v>
      </c>
      <c r="AA823" s="193" t="s">
        <v>4118</v>
      </c>
      <c r="AB823" s="222"/>
    </row>
    <row r="824" spans="1:28" s="229" customFormat="1" ht="15" customHeight="1">
      <c r="A824" s="16">
        <v>823</v>
      </c>
      <c r="B824" s="14" t="s">
        <v>3053</v>
      </c>
      <c r="C824" s="14" t="str">
        <f>_xlfn.CONCAT(B824&amp;" "&amp;W824&amp;X824&amp;Y824&amp;Z824)</f>
        <v>Terminal Technologies (I) Pvt Ltd 2111</v>
      </c>
      <c r="D824" s="16">
        <v>895</v>
      </c>
      <c r="E824" s="9" t="s">
        <v>42</v>
      </c>
      <c r="F824" s="9"/>
      <c r="G824" s="24">
        <v>44223</v>
      </c>
      <c r="H824" s="24"/>
      <c r="I824" s="24"/>
      <c r="J824" s="24">
        <v>44586</v>
      </c>
      <c r="K824" s="24">
        <v>44950</v>
      </c>
      <c r="L824" s="32">
        <v>3</v>
      </c>
      <c r="M824" s="8" t="s">
        <v>3054</v>
      </c>
      <c r="N824" s="8" t="s">
        <v>3117</v>
      </c>
      <c r="O824" s="19">
        <v>9545455067</v>
      </c>
      <c r="P824" s="8" t="s">
        <v>3118</v>
      </c>
      <c r="Q824" s="8" t="s">
        <v>4925</v>
      </c>
      <c r="R824" s="8" t="s">
        <v>3119</v>
      </c>
      <c r="S824" s="8" t="s">
        <v>2931</v>
      </c>
      <c r="T824" s="29" t="s">
        <v>3120</v>
      </c>
      <c r="U824" s="8" t="s">
        <v>144</v>
      </c>
      <c r="V824" s="8" t="s">
        <v>23</v>
      </c>
      <c r="W824" s="193">
        <v>2</v>
      </c>
      <c r="X824" s="8">
        <v>1</v>
      </c>
      <c r="Y824" s="8">
        <v>1</v>
      </c>
      <c r="Z824" s="8">
        <v>1</v>
      </c>
      <c r="AA824" s="193" t="s">
        <v>4118</v>
      </c>
      <c r="AB824" s="222"/>
    </row>
    <row r="825" spans="1:28" s="229" customFormat="1" ht="15" customHeight="1">
      <c r="A825" s="16">
        <v>824</v>
      </c>
      <c r="B825" s="14" t="s">
        <v>3121</v>
      </c>
      <c r="C825" s="14" t="str">
        <f>_xlfn.CONCAT(B825&amp;" "&amp;W825&amp;X825&amp;Y825&amp;Z825)</f>
        <v>Yugal Precision Pvt Ltd 1154</v>
      </c>
      <c r="D825" s="16">
        <v>903</v>
      </c>
      <c r="E825" s="9" t="s">
        <v>42</v>
      </c>
      <c r="F825" s="9"/>
      <c r="G825" s="24">
        <v>44223</v>
      </c>
      <c r="H825" s="24"/>
      <c r="I825" s="24"/>
      <c r="J825" s="24">
        <v>44223</v>
      </c>
      <c r="K825" s="24">
        <v>44587</v>
      </c>
      <c r="L825" s="32">
        <v>3</v>
      </c>
      <c r="M825" s="8" t="s">
        <v>3122</v>
      </c>
      <c r="N825" s="8" t="s">
        <v>71</v>
      </c>
      <c r="O825" s="19">
        <v>9837070086</v>
      </c>
      <c r="P825" s="8" t="s">
        <v>932</v>
      </c>
      <c r="Q825" s="8" t="s">
        <v>4926</v>
      </c>
      <c r="R825" s="8"/>
      <c r="S825" s="8" t="s">
        <v>933</v>
      </c>
      <c r="T825" s="29" t="s">
        <v>3123</v>
      </c>
      <c r="U825" s="8" t="s">
        <v>184</v>
      </c>
      <c r="V825" s="8" t="s">
        <v>23</v>
      </c>
      <c r="W825" s="193">
        <v>1</v>
      </c>
      <c r="X825" s="8">
        <v>1</v>
      </c>
      <c r="Y825" s="8">
        <v>5</v>
      </c>
      <c r="Z825" s="8">
        <v>4</v>
      </c>
      <c r="AA825" s="193" t="s">
        <v>4118</v>
      </c>
      <c r="AB825" s="222"/>
    </row>
    <row r="826" spans="1:28" s="229" customFormat="1" ht="15" customHeight="1">
      <c r="A826" s="16">
        <v>825</v>
      </c>
      <c r="B826" s="14" t="s">
        <v>3124</v>
      </c>
      <c r="C826" s="14" t="str">
        <f>_xlfn.CONCAT(B826&amp;" "&amp;W826&amp;X826&amp;Y826&amp;Z826)</f>
        <v>AH Mec 8071</v>
      </c>
      <c r="D826" s="16">
        <v>904</v>
      </c>
      <c r="E826" s="9" t="s">
        <v>42</v>
      </c>
      <c r="F826" s="9"/>
      <c r="G826" s="24">
        <v>44232</v>
      </c>
      <c r="H826" s="24"/>
      <c r="I826" s="24"/>
      <c r="J826" s="24">
        <v>44232</v>
      </c>
      <c r="K826" s="24">
        <v>44596</v>
      </c>
      <c r="L826" s="32">
        <v>3</v>
      </c>
      <c r="M826" s="8" t="s">
        <v>3125</v>
      </c>
      <c r="N826" s="8" t="s">
        <v>151</v>
      </c>
      <c r="O826" s="19">
        <v>9036099499</v>
      </c>
      <c r="P826" s="8" t="s">
        <v>3126</v>
      </c>
      <c r="Q826" s="8" t="s">
        <v>4927</v>
      </c>
      <c r="R826" s="8"/>
      <c r="S826" s="8" t="s">
        <v>21</v>
      </c>
      <c r="T826" s="29" t="s">
        <v>3127</v>
      </c>
      <c r="U826" s="8" t="s">
        <v>22</v>
      </c>
      <c r="V826" s="8" t="s">
        <v>23</v>
      </c>
      <c r="W826" s="193">
        <v>8</v>
      </c>
      <c r="X826" s="8">
        <v>0</v>
      </c>
      <c r="Y826" s="8">
        <v>7</v>
      </c>
      <c r="Z826" s="8">
        <v>1</v>
      </c>
      <c r="AA826" s="193" t="s">
        <v>4118</v>
      </c>
      <c r="AB826" s="222"/>
    </row>
    <row r="827" spans="1:28" s="229" customFormat="1" ht="15" customHeight="1">
      <c r="A827" s="16">
        <v>826</v>
      </c>
      <c r="B827" s="14" t="s">
        <v>3128</v>
      </c>
      <c r="C827" s="14" t="str">
        <f>_xlfn.CONCAT(B827&amp;" "&amp;W827&amp;X827&amp;Y827&amp;Z827)</f>
        <v>DJ Manufacturing 4161</v>
      </c>
      <c r="D827" s="16">
        <v>906</v>
      </c>
      <c r="E827" s="9" t="s">
        <v>42</v>
      </c>
      <c r="F827" s="9"/>
      <c r="G827" s="24">
        <v>44242</v>
      </c>
      <c r="H827" s="24"/>
      <c r="I827" s="24"/>
      <c r="J827" s="24">
        <v>44242</v>
      </c>
      <c r="K827" s="24">
        <v>44606</v>
      </c>
      <c r="L827" s="32">
        <v>3</v>
      </c>
      <c r="M827" s="8" t="s">
        <v>3129</v>
      </c>
      <c r="N827" s="8" t="s">
        <v>17</v>
      </c>
      <c r="O827" s="19">
        <v>9842486333</v>
      </c>
      <c r="P827" s="8" t="s">
        <v>3130</v>
      </c>
      <c r="Q827" s="8" t="s">
        <v>4928</v>
      </c>
      <c r="R827" s="8" t="s">
        <v>448</v>
      </c>
      <c r="S827" s="8" t="s">
        <v>101</v>
      </c>
      <c r="T827" s="29" t="s">
        <v>3131</v>
      </c>
      <c r="U827" s="8" t="s">
        <v>38</v>
      </c>
      <c r="V827" s="8" t="s">
        <v>23</v>
      </c>
      <c r="W827" s="193">
        <v>4</v>
      </c>
      <c r="X827" s="8">
        <v>1</v>
      </c>
      <c r="Y827" s="8">
        <v>6</v>
      </c>
      <c r="Z827" s="8">
        <v>1</v>
      </c>
      <c r="AA827" s="193" t="s">
        <v>4148</v>
      </c>
      <c r="AB827" s="222"/>
    </row>
    <row r="828" spans="1:28" s="229" customFormat="1" ht="15" customHeight="1">
      <c r="A828" s="16">
        <v>827</v>
      </c>
      <c r="B828" s="14" t="s">
        <v>3132</v>
      </c>
      <c r="C828" s="14" t="str">
        <f>_xlfn.CONCAT(B828&amp;" "&amp;W828&amp;X828&amp;Y828&amp;Z828)</f>
        <v>DJ Irrigation 2301</v>
      </c>
      <c r="D828" s="16">
        <v>960</v>
      </c>
      <c r="E828" s="9" t="s">
        <v>2082</v>
      </c>
      <c r="F828" s="9"/>
      <c r="G828" s="24">
        <v>44243</v>
      </c>
      <c r="H828" s="24"/>
      <c r="I828" s="24"/>
      <c r="J828" s="24">
        <v>44243</v>
      </c>
      <c r="K828" s="24">
        <v>44607</v>
      </c>
      <c r="L828" s="32">
        <v>3</v>
      </c>
      <c r="M828" s="8" t="s">
        <v>3133</v>
      </c>
      <c r="N828" s="8" t="s">
        <v>28</v>
      </c>
      <c r="O828" s="19">
        <v>9822327627</v>
      </c>
      <c r="P828" s="8" t="s">
        <v>3134</v>
      </c>
      <c r="Q828" s="8" t="s">
        <v>4929</v>
      </c>
      <c r="R828" s="8" t="s">
        <v>1143</v>
      </c>
      <c r="S828" s="8" t="s">
        <v>321</v>
      </c>
      <c r="T828" s="29" t="s">
        <v>3135</v>
      </c>
      <c r="U828" s="8" t="s">
        <v>172</v>
      </c>
      <c r="V828" s="8" t="s">
        <v>23</v>
      </c>
      <c r="W828" s="193">
        <v>2</v>
      </c>
      <c r="X828" s="8">
        <v>3</v>
      </c>
      <c r="Y828" s="8">
        <v>0</v>
      </c>
      <c r="Z828" s="8">
        <v>1</v>
      </c>
      <c r="AA828" s="193" t="s">
        <v>5215</v>
      </c>
      <c r="AB828" s="222"/>
    </row>
    <row r="829" spans="1:28" s="229" customFormat="1" ht="15" customHeight="1">
      <c r="A829" s="16">
        <v>828</v>
      </c>
      <c r="B829" s="14" t="s">
        <v>3136</v>
      </c>
      <c r="C829" s="14" t="str">
        <f>_xlfn.CONCAT(B829&amp;" "&amp;W829&amp;X829&amp;Y829&amp;Z829)</f>
        <v>Electracon Paradise Ltd 1162</v>
      </c>
      <c r="D829" s="16">
        <v>908</v>
      </c>
      <c r="E829" s="9" t="s">
        <v>42</v>
      </c>
      <c r="F829" s="9"/>
      <c r="G829" s="24">
        <v>44246</v>
      </c>
      <c r="H829" s="24"/>
      <c r="I829" s="24"/>
      <c r="J829" s="24">
        <v>44246</v>
      </c>
      <c r="K829" s="24">
        <v>44610</v>
      </c>
      <c r="L829" s="32">
        <v>3</v>
      </c>
      <c r="M829" s="8" t="s">
        <v>3137</v>
      </c>
      <c r="N829" s="8" t="s">
        <v>3138</v>
      </c>
      <c r="O829" s="19">
        <v>8527006620</v>
      </c>
      <c r="P829" s="8" t="s">
        <v>1628</v>
      </c>
      <c r="Q829" s="8" t="s">
        <v>4930</v>
      </c>
      <c r="R829" s="8"/>
      <c r="S829" s="8" t="s">
        <v>80</v>
      </c>
      <c r="T829" s="29" t="s">
        <v>3139</v>
      </c>
      <c r="U829" s="8" t="s">
        <v>81</v>
      </c>
      <c r="V829" s="8" t="s">
        <v>23</v>
      </c>
      <c r="W829" s="193">
        <v>1</v>
      </c>
      <c r="X829" s="8">
        <v>1</v>
      </c>
      <c r="Y829" s="8">
        <v>6</v>
      </c>
      <c r="Z829" s="8">
        <v>2</v>
      </c>
      <c r="AA829" s="193" t="s">
        <v>4118</v>
      </c>
      <c r="AB829" s="222"/>
    </row>
    <row r="830" spans="1:28" s="229" customFormat="1" ht="15" customHeight="1">
      <c r="A830" s="16">
        <v>829</v>
      </c>
      <c r="B830" s="14" t="s">
        <v>3140</v>
      </c>
      <c r="C830" s="14" t="str">
        <f>_xlfn.CONCAT(B830&amp;" "&amp;W830&amp;X830&amp;Y830&amp;Z830)</f>
        <v>Bharti Enterprise 5401</v>
      </c>
      <c r="D830" s="16">
        <v>905</v>
      </c>
      <c r="E830" s="9" t="s">
        <v>42</v>
      </c>
      <c r="F830" s="9"/>
      <c r="G830" s="24">
        <v>44256</v>
      </c>
      <c r="H830" s="24"/>
      <c r="I830" s="24"/>
      <c r="J830" s="24">
        <v>44256</v>
      </c>
      <c r="K830" s="24">
        <v>44620</v>
      </c>
      <c r="L830" s="32">
        <v>3</v>
      </c>
      <c r="M830" s="8" t="s">
        <v>3141</v>
      </c>
      <c r="N830" s="8"/>
      <c r="O830" s="19">
        <v>9328106554</v>
      </c>
      <c r="P830" s="8" t="s">
        <v>3142</v>
      </c>
      <c r="Q830" s="8" t="s">
        <v>4931</v>
      </c>
      <c r="R830" s="8"/>
      <c r="S830" s="8" t="s">
        <v>571</v>
      </c>
      <c r="T830" s="29" t="s">
        <v>3143</v>
      </c>
      <c r="U830" s="8" t="s">
        <v>144</v>
      </c>
      <c r="V830" s="8" t="s">
        <v>23</v>
      </c>
      <c r="W830" s="193">
        <v>5</v>
      </c>
      <c r="X830" s="8">
        <v>4</v>
      </c>
      <c r="Y830" s="8">
        <v>0</v>
      </c>
      <c r="Z830" s="8">
        <v>1</v>
      </c>
      <c r="AA830" s="193" t="s">
        <v>4137</v>
      </c>
      <c r="AB830" s="222"/>
    </row>
    <row r="831" spans="1:28" s="229" customFormat="1" ht="15" customHeight="1">
      <c r="A831" s="16">
        <v>830</v>
      </c>
      <c r="B831" s="14" t="s">
        <v>3144</v>
      </c>
      <c r="C831" s="14" t="str">
        <f>_xlfn.CONCAT(B831&amp;" "&amp;W831&amp;X831&amp;Y831&amp;Z831)</f>
        <v>SVF Technologies 4013</v>
      </c>
      <c r="D831" s="16">
        <v>907</v>
      </c>
      <c r="E831" s="9" t="s">
        <v>42</v>
      </c>
      <c r="F831" s="9"/>
      <c r="G831" s="24">
        <v>44267</v>
      </c>
      <c r="H831" s="24"/>
      <c r="I831" s="24"/>
      <c r="J831" s="24">
        <v>44267</v>
      </c>
      <c r="K831" s="24">
        <v>44631</v>
      </c>
      <c r="L831" s="32">
        <v>3</v>
      </c>
      <c r="M831" s="8" t="s">
        <v>3145</v>
      </c>
      <c r="N831" s="8" t="s">
        <v>254</v>
      </c>
      <c r="O831" s="19">
        <v>9655345608</v>
      </c>
      <c r="P831" s="8" t="s">
        <v>3146</v>
      </c>
      <c r="Q831" s="8" t="s">
        <v>4932</v>
      </c>
      <c r="R831" s="8" t="s">
        <v>3147</v>
      </c>
      <c r="S831" s="8" t="s">
        <v>997</v>
      </c>
      <c r="T831" s="29" t="s">
        <v>3148</v>
      </c>
      <c r="U831" s="8" t="s">
        <v>38</v>
      </c>
      <c r="V831" s="8" t="s">
        <v>23</v>
      </c>
      <c r="W831" s="193">
        <v>4</v>
      </c>
      <c r="X831" s="8">
        <v>0</v>
      </c>
      <c r="Y831" s="8">
        <v>1</v>
      </c>
      <c r="Z831" s="8">
        <v>3</v>
      </c>
      <c r="AA831" s="193" t="s">
        <v>4148</v>
      </c>
      <c r="AB831" s="222"/>
    </row>
    <row r="832" spans="1:28" s="229" customFormat="1" ht="15" customHeight="1">
      <c r="A832" s="16">
        <v>831</v>
      </c>
      <c r="B832" s="14" t="s">
        <v>3149</v>
      </c>
      <c r="C832" s="14" t="str">
        <f>_xlfn.CONCAT(B832&amp;" "&amp;W832&amp;X832&amp;Y832&amp;Z832)</f>
        <v>IFB Automotive Pvt Ltd 8082</v>
      </c>
      <c r="D832" s="16">
        <v>855</v>
      </c>
      <c r="E832" s="9" t="s">
        <v>90</v>
      </c>
      <c r="F832" s="9"/>
      <c r="G832" s="24">
        <v>44270</v>
      </c>
      <c r="H832" s="24"/>
      <c r="I832" s="24"/>
      <c r="J832" s="24">
        <v>45366</v>
      </c>
      <c r="K832" s="24">
        <v>45730</v>
      </c>
      <c r="L832" s="32">
        <v>3</v>
      </c>
      <c r="M832" s="8" t="s">
        <v>3150</v>
      </c>
      <c r="N832" s="8"/>
      <c r="O832" s="19">
        <v>9036201274</v>
      </c>
      <c r="P832" s="8" t="s">
        <v>3151</v>
      </c>
      <c r="Q832" s="8" t="s">
        <v>4933</v>
      </c>
      <c r="R832" s="8" t="s">
        <v>3152</v>
      </c>
      <c r="S832" s="8" t="s">
        <v>21</v>
      </c>
      <c r="T832" s="29" t="s">
        <v>3153</v>
      </c>
      <c r="U832" s="8" t="s">
        <v>22</v>
      </c>
      <c r="V832" s="8" t="s">
        <v>23</v>
      </c>
      <c r="W832" s="193">
        <v>8</v>
      </c>
      <c r="X832" s="8">
        <v>0</v>
      </c>
      <c r="Y832" s="8">
        <v>8</v>
      </c>
      <c r="Z832" s="8">
        <v>2</v>
      </c>
      <c r="AA832" s="193" t="s">
        <v>4118</v>
      </c>
      <c r="AB832" s="222"/>
    </row>
    <row r="833" spans="1:28" s="229" customFormat="1" ht="15" customHeight="1">
      <c r="A833" s="16">
        <v>832</v>
      </c>
      <c r="B833" s="14" t="s">
        <v>3154</v>
      </c>
      <c r="C833" s="14" t="str">
        <f>_xlfn.CONCAT(B833&amp;" "&amp;W833&amp;X833&amp;Y833&amp;Z833)</f>
        <v>Prime Progression Icom (India) Pvt Ltd 8051</v>
      </c>
      <c r="D833" s="16">
        <v>911</v>
      </c>
      <c r="E833" s="9" t="s">
        <v>42</v>
      </c>
      <c r="F833" s="9"/>
      <c r="G833" s="24">
        <v>44270</v>
      </c>
      <c r="H833" s="24"/>
      <c r="I833" s="24"/>
      <c r="J833" s="24">
        <v>44270</v>
      </c>
      <c r="K833" s="24">
        <v>44634</v>
      </c>
      <c r="L833" s="32">
        <v>3</v>
      </c>
      <c r="M833" s="8" t="s">
        <v>3155</v>
      </c>
      <c r="N833" s="8" t="s">
        <v>3156</v>
      </c>
      <c r="O833" s="19">
        <v>9962645999</v>
      </c>
      <c r="P833" s="8" t="s">
        <v>3157</v>
      </c>
      <c r="Q833" s="8" t="s">
        <v>4934</v>
      </c>
      <c r="R833" s="8" t="s">
        <v>3158</v>
      </c>
      <c r="S833" s="8" t="s">
        <v>21</v>
      </c>
      <c r="T833" s="29" t="s">
        <v>3159</v>
      </c>
      <c r="U833" s="8" t="s">
        <v>22</v>
      </c>
      <c r="V833" s="8" t="s">
        <v>23</v>
      </c>
      <c r="W833" s="193">
        <v>8</v>
      </c>
      <c r="X833" s="8">
        <v>0</v>
      </c>
      <c r="Y833" s="8">
        <v>5</v>
      </c>
      <c r="Z833" s="8">
        <v>1</v>
      </c>
      <c r="AA833" s="193" t="s">
        <v>4118</v>
      </c>
      <c r="AB833" s="222"/>
    </row>
    <row r="834" spans="1:28" s="229" customFormat="1" ht="15" customHeight="1">
      <c r="A834" s="16">
        <v>833</v>
      </c>
      <c r="B834" s="14" t="s">
        <v>3160</v>
      </c>
      <c r="C834" s="14" t="str">
        <f>_xlfn.CONCAT(B834&amp;" "&amp;W834&amp;X834&amp;Y834&amp;Z834)</f>
        <v>U3S Engitech Pvt Ltd 3004</v>
      </c>
      <c r="D834" s="16">
        <v>909</v>
      </c>
      <c r="E834" s="9" t="s">
        <v>42</v>
      </c>
      <c r="F834" s="9"/>
      <c r="G834" s="24">
        <v>44271</v>
      </c>
      <c r="H834" s="24"/>
      <c r="I834" s="24"/>
      <c r="J834" s="24">
        <v>44271</v>
      </c>
      <c r="K834" s="24">
        <v>44635</v>
      </c>
      <c r="L834" s="32">
        <v>3</v>
      </c>
      <c r="M834" s="8" t="s">
        <v>3161</v>
      </c>
      <c r="N834" s="8"/>
      <c r="O834" s="19">
        <v>8249656345</v>
      </c>
      <c r="P834" s="8" t="s">
        <v>3162</v>
      </c>
      <c r="Q834" s="8" t="s">
        <v>4935</v>
      </c>
      <c r="R834" s="8" t="s">
        <v>3163</v>
      </c>
      <c r="S834" s="8" t="s">
        <v>3164</v>
      </c>
      <c r="T834" s="29" t="s">
        <v>3165</v>
      </c>
      <c r="U834" s="8" t="s">
        <v>3166</v>
      </c>
      <c r="V834" s="8" t="s">
        <v>23</v>
      </c>
      <c r="W834" s="193">
        <v>3</v>
      </c>
      <c r="X834" s="8">
        <v>0</v>
      </c>
      <c r="Y834" s="8">
        <v>0</v>
      </c>
      <c r="Z834" s="8">
        <v>4</v>
      </c>
      <c r="AA834" s="193" t="s">
        <v>4148</v>
      </c>
      <c r="AB834" s="222"/>
    </row>
    <row r="835" spans="1:28" s="229" customFormat="1" ht="15" customHeight="1">
      <c r="A835" s="16">
        <v>834</v>
      </c>
      <c r="B835" s="14" t="s">
        <v>986</v>
      </c>
      <c r="C835" s="14" t="str">
        <f>_xlfn.CONCAT(B835&amp;" "&amp;W835&amp;X835&amp;Y835&amp;Z835)</f>
        <v>Aurolab 4101</v>
      </c>
      <c r="D835" s="16">
        <v>910</v>
      </c>
      <c r="E835" s="9" t="s">
        <v>42</v>
      </c>
      <c r="F835" s="9"/>
      <c r="G835" s="24">
        <v>44273</v>
      </c>
      <c r="H835" s="24"/>
      <c r="I835" s="24"/>
      <c r="J835" s="24">
        <v>44273</v>
      </c>
      <c r="K835" s="24">
        <v>44637</v>
      </c>
      <c r="L835" s="32">
        <v>3</v>
      </c>
      <c r="M835" s="8" t="s">
        <v>3167</v>
      </c>
      <c r="N835" s="8" t="s">
        <v>325</v>
      </c>
      <c r="O835" s="19">
        <v>9894083260</v>
      </c>
      <c r="P835" s="8" t="s">
        <v>2841</v>
      </c>
      <c r="Q835" s="8" t="s">
        <v>4936</v>
      </c>
      <c r="R835" s="8" t="s">
        <v>990</v>
      </c>
      <c r="S835" s="8" t="s">
        <v>894</v>
      </c>
      <c r="T835" s="29" t="s">
        <v>3168</v>
      </c>
      <c r="U835" s="8" t="s">
        <v>38</v>
      </c>
      <c r="V835" s="8" t="s">
        <v>23</v>
      </c>
      <c r="W835" s="193">
        <v>4</v>
      </c>
      <c r="X835" s="8">
        <v>1</v>
      </c>
      <c r="Y835" s="8">
        <v>0</v>
      </c>
      <c r="Z835" s="8">
        <v>1</v>
      </c>
      <c r="AA835" s="193" t="s">
        <v>4148</v>
      </c>
      <c r="AB835" s="222"/>
    </row>
    <row r="836" spans="1:28" s="229" customFormat="1" ht="15" customHeight="1">
      <c r="A836" s="16">
        <v>835</v>
      </c>
      <c r="B836" s="14" t="s">
        <v>3169</v>
      </c>
      <c r="C836" s="14" t="str">
        <f>_xlfn.CONCAT(B836&amp;" "&amp;W836&amp;X836&amp;Y836&amp;Z836)</f>
        <v>Longman Knit Parts Mfg. Co. 1335</v>
      </c>
      <c r="D836" s="16">
        <v>913</v>
      </c>
      <c r="E836" s="9" t="s">
        <v>42</v>
      </c>
      <c r="F836" s="9"/>
      <c r="G836" s="24">
        <v>44279</v>
      </c>
      <c r="H836" s="24"/>
      <c r="I836" s="24"/>
      <c r="J836" s="24">
        <v>44279</v>
      </c>
      <c r="K836" s="24">
        <v>45008</v>
      </c>
      <c r="L836" s="32">
        <v>3</v>
      </c>
      <c r="M836" s="8" t="s">
        <v>3170</v>
      </c>
      <c r="N836" s="8"/>
      <c r="O836" s="19">
        <v>9872635643</v>
      </c>
      <c r="P836" s="8"/>
      <c r="Q836" s="8" t="s">
        <v>4937</v>
      </c>
      <c r="R836" s="8"/>
      <c r="S836" s="8" t="s">
        <v>1994</v>
      </c>
      <c r="T836" s="29" t="s">
        <v>3171</v>
      </c>
      <c r="U836" s="8" t="s">
        <v>1787</v>
      </c>
      <c r="V836" s="8" t="s">
        <v>23</v>
      </c>
      <c r="W836" s="193">
        <v>1</v>
      </c>
      <c r="X836" s="8">
        <v>3</v>
      </c>
      <c r="Y836" s="8">
        <v>3</v>
      </c>
      <c r="Z836" s="8">
        <v>5</v>
      </c>
      <c r="AA836" s="193" t="s">
        <v>4118</v>
      </c>
      <c r="AB836" s="222"/>
    </row>
    <row r="837" spans="1:28" s="229" customFormat="1" ht="15" customHeight="1">
      <c r="A837" s="16">
        <v>836</v>
      </c>
      <c r="B837" s="14" t="s">
        <v>3172</v>
      </c>
      <c r="C837" s="14" t="str">
        <f>_xlfn.CONCAT(B837&amp;" "&amp;W837&amp;X837&amp;Y837&amp;Z837)</f>
        <v>Kewal Engg Pvt Ltd 8032</v>
      </c>
      <c r="D837" s="16">
        <v>912</v>
      </c>
      <c r="E837" s="9" t="s">
        <v>42</v>
      </c>
      <c r="F837" s="9"/>
      <c r="G837" s="24">
        <v>44283</v>
      </c>
      <c r="H837" s="24"/>
      <c r="I837" s="24"/>
      <c r="J837" s="24">
        <v>44283</v>
      </c>
      <c r="K837" s="24">
        <v>44647</v>
      </c>
      <c r="L837" s="32">
        <v>3</v>
      </c>
      <c r="M837" s="8" t="s">
        <v>3173</v>
      </c>
      <c r="N837" s="8"/>
      <c r="O837" s="19" t="s">
        <v>3174</v>
      </c>
      <c r="P837" s="8" t="s">
        <v>1812</v>
      </c>
      <c r="Q837" s="8" t="s">
        <v>4938</v>
      </c>
      <c r="R837" s="8" t="s">
        <v>3175</v>
      </c>
      <c r="S837" s="8" t="s">
        <v>21</v>
      </c>
      <c r="T837" s="29" t="s">
        <v>3176</v>
      </c>
      <c r="U837" s="8" t="s">
        <v>22</v>
      </c>
      <c r="V837" s="8" t="s">
        <v>23</v>
      </c>
      <c r="W837" s="193">
        <v>8</v>
      </c>
      <c r="X837" s="8">
        <v>0</v>
      </c>
      <c r="Y837" s="8">
        <v>3</v>
      </c>
      <c r="Z837" s="8">
        <v>2</v>
      </c>
      <c r="AA837" s="193" t="s">
        <v>4118</v>
      </c>
      <c r="AB837" s="222"/>
    </row>
    <row r="838" spans="1:28" s="229" customFormat="1" ht="15" customHeight="1">
      <c r="A838" s="16">
        <v>837</v>
      </c>
      <c r="B838" s="14" t="s">
        <v>3177</v>
      </c>
      <c r="C838" s="14" t="str">
        <f>_xlfn.CONCAT(B838&amp;" "&amp;W838&amp;X838&amp;Y838&amp;Z838)</f>
        <v>Lakshmi Machine Works Ltd 4161</v>
      </c>
      <c r="D838" s="16">
        <v>961</v>
      </c>
      <c r="E838" s="9" t="s">
        <v>2082</v>
      </c>
      <c r="F838" s="9"/>
      <c r="G838" s="24">
        <v>44284</v>
      </c>
      <c r="H838" s="24"/>
      <c r="I838" s="24"/>
      <c r="J838" s="24">
        <v>44621</v>
      </c>
      <c r="K838" s="24">
        <v>44985</v>
      </c>
      <c r="L838" s="32">
        <v>3</v>
      </c>
      <c r="M838" s="8" t="s">
        <v>3178</v>
      </c>
      <c r="N838" s="8" t="s">
        <v>3179</v>
      </c>
      <c r="O838" s="19" t="s">
        <v>3180</v>
      </c>
      <c r="P838" s="8" t="s">
        <v>3181</v>
      </c>
      <c r="Q838" s="8" t="s">
        <v>4939</v>
      </c>
      <c r="R838" s="8" t="s">
        <v>448</v>
      </c>
      <c r="S838" s="8" t="s">
        <v>101</v>
      </c>
      <c r="T838" s="29" t="s">
        <v>3131</v>
      </c>
      <c r="U838" s="8" t="s">
        <v>38</v>
      </c>
      <c r="V838" s="8" t="s">
        <v>23</v>
      </c>
      <c r="W838" s="193">
        <v>4</v>
      </c>
      <c r="X838" s="8">
        <v>1</v>
      </c>
      <c r="Y838" s="8">
        <v>6</v>
      </c>
      <c r="Z838" s="8">
        <v>1</v>
      </c>
      <c r="AA838" s="193" t="s">
        <v>4148</v>
      </c>
      <c r="AB838" s="222"/>
    </row>
    <row r="839" spans="1:28" s="229" customFormat="1" ht="15" customHeight="1">
      <c r="A839" s="16">
        <v>838</v>
      </c>
      <c r="B839" s="14" t="s">
        <v>3182</v>
      </c>
      <c r="C839" s="14" t="str">
        <f>_xlfn.CONCAT(B839&amp;" "&amp;W839&amp;X839&amp;Y839&amp;Z839)</f>
        <v>Nidhi Metal Auto Components Pvt Ltd 1161</v>
      </c>
      <c r="D839" s="16">
        <v>914</v>
      </c>
      <c r="E839" s="9" t="s">
        <v>42</v>
      </c>
      <c r="F839" s="9"/>
      <c r="G839" s="24">
        <v>44284</v>
      </c>
      <c r="H839" s="24"/>
      <c r="I839" s="24"/>
      <c r="J839" s="24">
        <v>44284</v>
      </c>
      <c r="K839" s="24">
        <v>45013</v>
      </c>
      <c r="L839" s="32">
        <v>3</v>
      </c>
      <c r="M839" s="8" t="s">
        <v>3183</v>
      </c>
      <c r="N839" s="8" t="s">
        <v>3184</v>
      </c>
      <c r="O839" s="19">
        <v>7838555477</v>
      </c>
      <c r="P839" s="8" t="s">
        <v>3185</v>
      </c>
      <c r="Q839" s="8" t="s">
        <v>4940</v>
      </c>
      <c r="R839" s="8"/>
      <c r="S839" s="8" t="s">
        <v>454</v>
      </c>
      <c r="T839" s="29" t="s">
        <v>3186</v>
      </c>
      <c r="U839" s="8" t="s">
        <v>429</v>
      </c>
      <c r="V839" s="8" t="s">
        <v>23</v>
      </c>
      <c r="W839" s="193">
        <v>1</v>
      </c>
      <c r="X839" s="8">
        <v>1</v>
      </c>
      <c r="Y839" s="8">
        <v>6</v>
      </c>
      <c r="Z839" s="8">
        <v>1</v>
      </c>
      <c r="AA839" s="193" t="s">
        <v>4118</v>
      </c>
      <c r="AB839" s="222"/>
    </row>
    <row r="840" spans="1:28" s="229" customFormat="1" ht="15" customHeight="1">
      <c r="A840" s="16">
        <v>839</v>
      </c>
      <c r="B840" s="14" t="s">
        <v>3187</v>
      </c>
      <c r="C840" s="14" t="str">
        <f>_xlfn.CONCAT(B840&amp;" "&amp;W840&amp;X840&amp;Y840&amp;Z840)</f>
        <v>Varrmas Elassto Seals 4131</v>
      </c>
      <c r="D840" s="16">
        <v>918</v>
      </c>
      <c r="E840" s="9" t="s">
        <v>42</v>
      </c>
      <c r="F840" s="9"/>
      <c r="G840" s="24">
        <v>44286</v>
      </c>
      <c r="H840" s="24"/>
      <c r="I840" s="24"/>
      <c r="J840" s="24">
        <v>44286</v>
      </c>
      <c r="K840" s="24">
        <v>44650</v>
      </c>
      <c r="L840" s="32">
        <v>3</v>
      </c>
      <c r="M840" s="8" t="s">
        <v>3188</v>
      </c>
      <c r="N840" s="8" t="s">
        <v>28</v>
      </c>
      <c r="O840" s="19">
        <v>9894798933</v>
      </c>
      <c r="P840" s="8" t="s">
        <v>3189</v>
      </c>
      <c r="Q840" s="8" t="s">
        <v>4941</v>
      </c>
      <c r="R840" s="8" t="s">
        <v>3190</v>
      </c>
      <c r="S840" s="8" t="s">
        <v>101</v>
      </c>
      <c r="T840" s="29" t="s">
        <v>3191</v>
      </c>
      <c r="U840" s="8" t="s">
        <v>38</v>
      </c>
      <c r="V840" s="8" t="s">
        <v>23</v>
      </c>
      <c r="W840" s="193">
        <v>4</v>
      </c>
      <c r="X840" s="8">
        <v>1</v>
      </c>
      <c r="Y840" s="8">
        <v>3</v>
      </c>
      <c r="Z840" s="8">
        <v>1</v>
      </c>
      <c r="AA840" s="193" t="s">
        <v>4148</v>
      </c>
      <c r="AB840" s="222"/>
    </row>
    <row r="841" spans="1:28" s="229" customFormat="1" ht="15" customHeight="1">
      <c r="A841" s="16">
        <v>840</v>
      </c>
      <c r="B841" s="14" t="s">
        <v>3192</v>
      </c>
      <c r="C841" s="14" t="str">
        <f>_xlfn.CONCAT(B841&amp;" "&amp;W841&amp;X841&amp;Y841&amp;Z841)</f>
        <v>Pamp Precision Manufacturing India Pvt Ltd 1313</v>
      </c>
      <c r="D841" s="16">
        <v>915</v>
      </c>
      <c r="E841" s="9" t="s">
        <v>42</v>
      </c>
      <c r="F841" s="9"/>
      <c r="G841" s="24">
        <v>44303</v>
      </c>
      <c r="H841" s="24"/>
      <c r="I841" s="24"/>
      <c r="J841" s="24">
        <v>44303</v>
      </c>
      <c r="K841" s="24">
        <v>45032</v>
      </c>
      <c r="L841" s="32">
        <v>3</v>
      </c>
      <c r="M841" s="8" t="s">
        <v>3193</v>
      </c>
      <c r="N841" s="8"/>
      <c r="O841" s="19">
        <v>9718258624</v>
      </c>
      <c r="P841" s="8" t="s">
        <v>3194</v>
      </c>
      <c r="Q841" s="8" t="s">
        <v>4942</v>
      </c>
      <c r="R841" s="8"/>
      <c r="S841" s="8" t="s">
        <v>3195</v>
      </c>
      <c r="T841" s="29" t="s">
        <v>3196</v>
      </c>
      <c r="U841" s="8" t="s">
        <v>429</v>
      </c>
      <c r="V841" s="8" t="s">
        <v>23</v>
      </c>
      <c r="W841" s="193">
        <v>1</v>
      </c>
      <c r="X841" s="8">
        <v>3</v>
      </c>
      <c r="Y841" s="8">
        <v>1</v>
      </c>
      <c r="Z841" s="8">
        <v>3</v>
      </c>
      <c r="AA841" s="193" t="s">
        <v>4118</v>
      </c>
      <c r="AB841" s="222"/>
    </row>
    <row r="842" spans="1:28" s="229" customFormat="1" ht="15" customHeight="1">
      <c r="A842" s="16">
        <v>841</v>
      </c>
      <c r="B842" s="14" t="s">
        <v>3197</v>
      </c>
      <c r="C842" s="14" t="str">
        <f>_xlfn.CONCAT(B842&amp;" "&amp;W842&amp;X842&amp;Y842&amp;Z842)</f>
        <v>Belz Instruments Pvt Ltd 1161</v>
      </c>
      <c r="D842" s="16">
        <v>859</v>
      </c>
      <c r="E842" s="9" t="s">
        <v>90</v>
      </c>
      <c r="F842" s="9"/>
      <c r="G842" s="24">
        <v>44303</v>
      </c>
      <c r="H842" s="24"/>
      <c r="I842" s="24"/>
      <c r="J842" s="24">
        <v>44303</v>
      </c>
      <c r="K842" s="24">
        <v>44667</v>
      </c>
      <c r="L842" s="32">
        <v>3</v>
      </c>
      <c r="M842" s="8"/>
      <c r="N842" s="8"/>
      <c r="O842" s="19"/>
      <c r="P842" s="8"/>
      <c r="Q842" s="8" t="s">
        <v>4943</v>
      </c>
      <c r="R842" s="8"/>
      <c r="S842" s="8" t="s">
        <v>454</v>
      </c>
      <c r="T842" s="29" t="s">
        <v>3198</v>
      </c>
      <c r="U842" s="8" t="s">
        <v>429</v>
      </c>
      <c r="V842" s="8" t="s">
        <v>23</v>
      </c>
      <c r="W842" s="193">
        <v>1</v>
      </c>
      <c r="X842" s="8">
        <v>1</v>
      </c>
      <c r="Y842" s="8">
        <v>6</v>
      </c>
      <c r="Z842" s="8">
        <v>1</v>
      </c>
      <c r="AA842" s="193" t="s">
        <v>4118</v>
      </c>
      <c r="AB842" s="222"/>
    </row>
    <row r="843" spans="1:28" s="229" customFormat="1" ht="15" customHeight="1">
      <c r="A843" s="16">
        <v>842</v>
      </c>
      <c r="B843" s="14" t="s">
        <v>3199</v>
      </c>
      <c r="C843" s="14" t="str">
        <f>_xlfn.CONCAT(B843&amp;" "&amp;W843&amp;X843&amp;Y843&amp;Z843)</f>
        <v>Accurate Industrial Machining (TopFlite Components) 8023</v>
      </c>
      <c r="D843" s="16">
        <v>917</v>
      </c>
      <c r="E843" s="9" t="s">
        <v>42</v>
      </c>
      <c r="F843" s="9"/>
      <c r="G843" s="24">
        <v>44309</v>
      </c>
      <c r="H843" s="24"/>
      <c r="I843" s="24"/>
      <c r="J843" s="24">
        <v>44309</v>
      </c>
      <c r="K843" s="24">
        <v>44673</v>
      </c>
      <c r="L843" s="32">
        <v>3</v>
      </c>
      <c r="M843" s="8" t="s">
        <v>3200</v>
      </c>
      <c r="N843" s="8" t="s">
        <v>17</v>
      </c>
      <c r="O843" s="19" t="s">
        <v>3201</v>
      </c>
      <c r="P843" s="8" t="s">
        <v>3202</v>
      </c>
      <c r="Q843" s="8" t="s">
        <v>4944</v>
      </c>
      <c r="R843" s="8" t="s">
        <v>3203</v>
      </c>
      <c r="S843" s="8" t="s">
        <v>21</v>
      </c>
      <c r="T843" s="29" t="s">
        <v>3204</v>
      </c>
      <c r="U843" s="8" t="s">
        <v>22</v>
      </c>
      <c r="V843" s="8" t="s">
        <v>23</v>
      </c>
      <c r="W843" s="193">
        <v>8</v>
      </c>
      <c r="X843" s="8">
        <v>0</v>
      </c>
      <c r="Y843" s="8">
        <v>2</v>
      </c>
      <c r="Z843" s="8">
        <v>3</v>
      </c>
      <c r="AA843" s="193" t="s">
        <v>4118</v>
      </c>
      <c r="AB843" s="222"/>
    </row>
    <row r="844" spans="1:28" s="229" customFormat="1" ht="15" customHeight="1">
      <c r="A844" s="16">
        <v>843</v>
      </c>
      <c r="B844" s="14" t="s">
        <v>3205</v>
      </c>
      <c r="C844" s="14" t="str">
        <f>_xlfn.CONCAT(B844&amp;" "&amp;W844&amp;X844&amp;Y844&amp;Z844)</f>
        <v>Hoffen Plastics Pvt Ltd 6021</v>
      </c>
      <c r="D844" s="16">
        <v>962</v>
      </c>
      <c r="E844" s="9" t="s">
        <v>2082</v>
      </c>
      <c r="F844" s="9"/>
      <c r="G844" s="24">
        <v>44313</v>
      </c>
      <c r="H844" s="24"/>
      <c r="I844" s="24"/>
      <c r="J844" s="24">
        <v>44313</v>
      </c>
      <c r="K844" s="24">
        <v>44677</v>
      </c>
      <c r="L844" s="32">
        <v>3</v>
      </c>
      <c r="M844" s="8" t="s">
        <v>3206</v>
      </c>
      <c r="N844" s="8" t="s">
        <v>17</v>
      </c>
      <c r="O844" s="19">
        <v>9493287497</v>
      </c>
      <c r="P844" s="8" t="s">
        <v>3207</v>
      </c>
      <c r="Q844" s="8" t="s">
        <v>4945</v>
      </c>
      <c r="R844" s="8" t="s">
        <v>3208</v>
      </c>
      <c r="S844" s="8" t="s">
        <v>53</v>
      </c>
      <c r="T844" s="29">
        <v>500037</v>
      </c>
      <c r="U844" s="8" t="s">
        <v>1844</v>
      </c>
      <c r="V844" s="8" t="s">
        <v>23</v>
      </c>
      <c r="W844" s="193">
        <v>6</v>
      </c>
      <c r="X844" s="8">
        <v>0</v>
      </c>
      <c r="Y844" s="8">
        <v>2</v>
      </c>
      <c r="Z844" s="8">
        <v>1</v>
      </c>
      <c r="AA844" s="193" t="s">
        <v>4148</v>
      </c>
      <c r="AB844" s="222"/>
    </row>
    <row r="845" spans="1:28" s="229" customFormat="1" ht="15" customHeight="1">
      <c r="A845" s="16">
        <v>844</v>
      </c>
      <c r="B845" s="14" t="s">
        <v>3209</v>
      </c>
      <c r="C845" s="14" t="str">
        <f>_xlfn.CONCAT(B845&amp;" "&amp;W845&amp;X845&amp;Y845&amp;Z845)</f>
        <v>IM Gears Pvt Ltd 4041</v>
      </c>
      <c r="D845" s="16">
        <v>963</v>
      </c>
      <c r="E845" s="9" t="s">
        <v>2082</v>
      </c>
      <c r="F845" s="9"/>
      <c r="G845" s="24">
        <v>44321</v>
      </c>
      <c r="H845" s="24"/>
      <c r="I845" s="24"/>
      <c r="J845" s="24">
        <v>44321</v>
      </c>
      <c r="K845" s="24">
        <v>44685</v>
      </c>
      <c r="L845" s="32">
        <v>3</v>
      </c>
      <c r="M845" s="8" t="s">
        <v>3210</v>
      </c>
      <c r="N845" s="8" t="s">
        <v>3211</v>
      </c>
      <c r="O845" s="19">
        <v>9841292792</v>
      </c>
      <c r="P845" s="8" t="s">
        <v>3212</v>
      </c>
      <c r="Q845" s="8" t="s">
        <v>4946</v>
      </c>
      <c r="R845" s="8" t="s">
        <v>3213</v>
      </c>
      <c r="S845" s="8" t="s">
        <v>37</v>
      </c>
      <c r="T845" s="29" t="s">
        <v>3214</v>
      </c>
      <c r="U845" s="8" t="s">
        <v>38</v>
      </c>
      <c r="V845" s="8" t="s">
        <v>23</v>
      </c>
      <c r="W845" s="193">
        <v>4</v>
      </c>
      <c r="X845" s="8">
        <v>0</v>
      </c>
      <c r="Y845" s="8">
        <v>4</v>
      </c>
      <c r="Z845" s="8">
        <v>1</v>
      </c>
      <c r="AA845" s="193" t="s">
        <v>4148</v>
      </c>
      <c r="AB845" s="222"/>
    </row>
    <row r="846" spans="1:28" s="229" customFormat="1" ht="15" customHeight="1">
      <c r="A846" s="16">
        <v>845</v>
      </c>
      <c r="B846" s="14" t="s">
        <v>3215</v>
      </c>
      <c r="C846" s="14" t="str">
        <f>_xlfn.CONCAT(B846&amp;" "&amp;W846&amp;X846&amp;Y846&amp;Z846)</f>
        <v>Aditya Dispomed Products Pvt Ltd 1111</v>
      </c>
      <c r="D846" s="16">
        <v>976</v>
      </c>
      <c r="E846" s="9" t="s">
        <v>42</v>
      </c>
      <c r="F846" s="9"/>
      <c r="G846" s="24">
        <v>44356</v>
      </c>
      <c r="H846" s="24"/>
      <c r="I846" s="24"/>
      <c r="J846" s="24">
        <v>45813</v>
      </c>
      <c r="K846" s="24">
        <v>46177</v>
      </c>
      <c r="L846" s="32">
        <v>3</v>
      </c>
      <c r="M846" s="8" t="s">
        <v>3216</v>
      </c>
      <c r="N846" s="8"/>
      <c r="O846" s="19">
        <v>9350931535</v>
      </c>
      <c r="P846" s="8" t="s">
        <v>2313</v>
      </c>
      <c r="Q846" s="8" t="s">
        <v>4947</v>
      </c>
      <c r="R846" s="8"/>
      <c r="S846" s="8" t="s">
        <v>2599</v>
      </c>
      <c r="T846" s="29" t="s">
        <v>3217</v>
      </c>
      <c r="U846" s="8" t="s">
        <v>429</v>
      </c>
      <c r="V846" s="8" t="s">
        <v>23</v>
      </c>
      <c r="W846" s="193">
        <v>1</v>
      </c>
      <c r="X846" s="8">
        <v>1</v>
      </c>
      <c r="Y846" s="8">
        <v>1</v>
      </c>
      <c r="Z846" s="8">
        <v>1</v>
      </c>
      <c r="AA846" s="193" t="s">
        <v>4118</v>
      </c>
      <c r="AB846" s="222"/>
    </row>
    <row r="847" spans="1:28" s="229" customFormat="1" ht="15" customHeight="1">
      <c r="A847" s="16">
        <v>846</v>
      </c>
      <c r="B847" s="14" t="s">
        <v>2177</v>
      </c>
      <c r="C847" s="14" t="str">
        <f>_xlfn.CONCAT(B847&amp;" "&amp;W847&amp;X847&amp;Y847&amp;Z847)</f>
        <v>Vasantha Tool Crafts Pvt Ltd 6021</v>
      </c>
      <c r="D847" s="16">
        <v>964</v>
      </c>
      <c r="E847" s="9" t="s">
        <v>2082</v>
      </c>
      <c r="F847" s="9"/>
      <c r="G847" s="24">
        <v>44375</v>
      </c>
      <c r="H847" s="24"/>
      <c r="I847" s="24"/>
      <c r="J847" s="24">
        <v>44375</v>
      </c>
      <c r="K847" s="24">
        <v>45104</v>
      </c>
      <c r="L847" s="32">
        <v>3</v>
      </c>
      <c r="M847" s="8" t="s">
        <v>3218</v>
      </c>
      <c r="N847" s="8" t="s">
        <v>3219</v>
      </c>
      <c r="O847" s="19">
        <v>9963947812</v>
      </c>
      <c r="P847" s="8" t="s">
        <v>3220</v>
      </c>
      <c r="Q847" s="8" t="s">
        <v>4948</v>
      </c>
      <c r="R847" s="8" t="s">
        <v>56</v>
      </c>
      <c r="S847" s="8" t="s">
        <v>53</v>
      </c>
      <c r="T847" s="29" t="s">
        <v>3221</v>
      </c>
      <c r="U847" s="8" t="s">
        <v>1844</v>
      </c>
      <c r="V847" s="8" t="s">
        <v>23</v>
      </c>
      <c r="W847" s="193">
        <v>6</v>
      </c>
      <c r="X847" s="8">
        <v>0</v>
      </c>
      <c r="Y847" s="8">
        <v>2</v>
      </c>
      <c r="Z847" s="8">
        <v>1</v>
      </c>
      <c r="AA847" s="193" t="s">
        <v>4148</v>
      </c>
      <c r="AB847" s="222"/>
    </row>
    <row r="848" spans="1:28" s="229" customFormat="1" ht="15" customHeight="1">
      <c r="A848" s="16">
        <v>847</v>
      </c>
      <c r="B848" s="14" t="s">
        <v>3222</v>
      </c>
      <c r="C848" s="14" t="str">
        <f>_xlfn.CONCAT(B848&amp;" "&amp;W848&amp;X848&amp;Y848&amp;Z848)</f>
        <v>Matta Drawing Works 1161</v>
      </c>
      <c r="D848" s="16">
        <v>980</v>
      </c>
      <c r="E848" s="9" t="s">
        <v>42</v>
      </c>
      <c r="F848" s="9"/>
      <c r="G848" s="24">
        <v>44377</v>
      </c>
      <c r="H848" s="24"/>
      <c r="I848" s="24"/>
      <c r="J848" s="24">
        <v>44377</v>
      </c>
      <c r="K848" s="24">
        <v>45106</v>
      </c>
      <c r="L848" s="32">
        <v>3</v>
      </c>
      <c r="M848" s="8" t="s">
        <v>3223</v>
      </c>
      <c r="N848" s="8"/>
      <c r="O848" s="19">
        <v>9810035476</v>
      </c>
      <c r="P848" s="8" t="s">
        <v>3224</v>
      </c>
      <c r="Q848" s="8" t="s">
        <v>4949</v>
      </c>
      <c r="R848" s="8"/>
      <c r="S848" s="8" t="s">
        <v>454</v>
      </c>
      <c r="T848" s="29" t="s">
        <v>3186</v>
      </c>
      <c r="U848" s="8" t="s">
        <v>429</v>
      </c>
      <c r="V848" s="8" t="s">
        <v>23</v>
      </c>
      <c r="W848" s="193">
        <v>1</v>
      </c>
      <c r="X848" s="8">
        <v>1</v>
      </c>
      <c r="Y848" s="8">
        <v>6</v>
      </c>
      <c r="Z848" s="8">
        <v>1</v>
      </c>
      <c r="AA848" s="193" t="s">
        <v>4118</v>
      </c>
      <c r="AB848" s="222"/>
    </row>
    <row r="849" spans="1:28" s="229" customFormat="1" ht="15" customHeight="1">
      <c r="A849" s="16">
        <v>848</v>
      </c>
      <c r="B849" s="14" t="s">
        <v>3225</v>
      </c>
      <c r="C849" s="14" t="str">
        <f>_xlfn.CONCAT(B849&amp;" "&amp;W849&amp;X849&amp;Y849&amp;Z849)</f>
        <v>RVB Shorlube Industry Pvt Ltd 1054</v>
      </c>
      <c r="D849" s="16">
        <v>919</v>
      </c>
      <c r="E849" s="9" t="s">
        <v>42</v>
      </c>
      <c r="F849" s="9"/>
      <c r="G849" s="24">
        <v>44377</v>
      </c>
      <c r="H849" s="24"/>
      <c r="I849" s="24"/>
      <c r="J849" s="24">
        <v>44377</v>
      </c>
      <c r="K849" s="24">
        <v>44741</v>
      </c>
      <c r="L849" s="32">
        <v>3</v>
      </c>
      <c r="M849" s="8" t="s">
        <v>3226</v>
      </c>
      <c r="N849" s="8" t="s">
        <v>2154</v>
      </c>
      <c r="O849" s="19">
        <v>7706970024</v>
      </c>
      <c r="P849" s="8" t="s">
        <v>3227</v>
      </c>
      <c r="Q849" s="8" t="s">
        <v>4950</v>
      </c>
      <c r="R849" s="8"/>
      <c r="S849" s="8" t="s">
        <v>1305</v>
      </c>
      <c r="T849" s="29" t="s">
        <v>3228</v>
      </c>
      <c r="U849" s="8" t="s">
        <v>184</v>
      </c>
      <c r="V849" s="8" t="s">
        <v>23</v>
      </c>
      <c r="W849" s="193">
        <v>1</v>
      </c>
      <c r="X849" s="8">
        <v>0</v>
      </c>
      <c r="Y849" s="8">
        <v>5</v>
      </c>
      <c r="Z849" s="8">
        <v>4</v>
      </c>
      <c r="AA849" s="193" t="s">
        <v>4118</v>
      </c>
      <c r="AB849" s="222"/>
    </row>
    <row r="850" spans="1:28" s="229" customFormat="1" ht="15" customHeight="1">
      <c r="A850" s="16">
        <v>849</v>
      </c>
      <c r="B850" s="14" t="s">
        <v>3229</v>
      </c>
      <c r="C850" s="14" t="str">
        <f>_xlfn.CONCAT(B850&amp;" "&amp;W850&amp;X850&amp;Y850&amp;Z850)</f>
        <v>Unnati Engineers 2301</v>
      </c>
      <c r="D850" s="16">
        <v>977</v>
      </c>
      <c r="E850" s="9" t="s">
        <v>42</v>
      </c>
      <c r="F850" s="9"/>
      <c r="G850" s="24">
        <v>44396</v>
      </c>
      <c r="H850" s="24"/>
      <c r="I850" s="24"/>
      <c r="J850" s="24">
        <v>44396</v>
      </c>
      <c r="K850" s="24">
        <v>44760</v>
      </c>
      <c r="L850" s="32">
        <v>3</v>
      </c>
      <c r="M850" s="8" t="s">
        <v>3230</v>
      </c>
      <c r="N850" s="8"/>
      <c r="O850" s="19">
        <v>9673479671</v>
      </c>
      <c r="P850" s="8" t="s">
        <v>502</v>
      </c>
      <c r="Q850" s="8" t="s">
        <v>4951</v>
      </c>
      <c r="R850" s="8"/>
      <c r="S850" s="8" t="s">
        <v>321</v>
      </c>
      <c r="T850" s="29" t="s">
        <v>3231</v>
      </c>
      <c r="U850" s="8" t="s">
        <v>172</v>
      </c>
      <c r="V850" s="8" t="s">
        <v>23</v>
      </c>
      <c r="W850" s="193">
        <v>2</v>
      </c>
      <c r="X850" s="8">
        <v>3</v>
      </c>
      <c r="Y850" s="8">
        <v>0</v>
      </c>
      <c r="Z850" s="8">
        <v>1</v>
      </c>
      <c r="AA850" s="193" t="s">
        <v>5215</v>
      </c>
      <c r="AB850" s="222"/>
    </row>
    <row r="851" spans="1:28" s="229" customFormat="1" ht="15" customHeight="1">
      <c r="A851" s="16">
        <v>850</v>
      </c>
      <c r="B851" s="14" t="s">
        <v>986</v>
      </c>
      <c r="C851" s="14" t="str">
        <f>_xlfn.CONCAT(B851&amp;" "&amp;W851&amp;X851&amp;Y851&amp;Z851)</f>
        <v>Aurolab 4101</v>
      </c>
      <c r="D851" s="16">
        <v>979</v>
      </c>
      <c r="E851" s="9" t="s">
        <v>42</v>
      </c>
      <c r="F851" s="9"/>
      <c r="G851" s="24">
        <v>44402</v>
      </c>
      <c r="H851" s="24"/>
      <c r="I851" s="24"/>
      <c r="J851" s="24">
        <v>44623</v>
      </c>
      <c r="K851" s="24">
        <v>44987</v>
      </c>
      <c r="L851" s="32">
        <v>3</v>
      </c>
      <c r="M851" s="8" t="s">
        <v>3232</v>
      </c>
      <c r="N851" s="8" t="s">
        <v>3233</v>
      </c>
      <c r="O851" s="19">
        <v>9994788553</v>
      </c>
      <c r="P851" s="8" t="s">
        <v>2841</v>
      </c>
      <c r="Q851" s="8" t="s">
        <v>4952</v>
      </c>
      <c r="R851" s="8" t="s">
        <v>990</v>
      </c>
      <c r="S851" s="8" t="s">
        <v>894</v>
      </c>
      <c r="T851" s="29" t="s">
        <v>3168</v>
      </c>
      <c r="U851" s="8" t="s">
        <v>38</v>
      </c>
      <c r="V851" s="8" t="s">
        <v>23</v>
      </c>
      <c r="W851" s="193">
        <v>4</v>
      </c>
      <c r="X851" s="8">
        <v>1</v>
      </c>
      <c r="Y851" s="8">
        <v>0</v>
      </c>
      <c r="Z851" s="8">
        <v>1</v>
      </c>
      <c r="AA851" s="193" t="s">
        <v>4148</v>
      </c>
      <c r="AB851" s="222"/>
    </row>
    <row r="852" spans="1:28" s="229" customFormat="1" ht="15" customHeight="1">
      <c r="A852" s="16">
        <v>851</v>
      </c>
      <c r="B852" s="14" t="s">
        <v>3234</v>
      </c>
      <c r="C852" s="14" t="str">
        <f>_xlfn.CONCAT(B852&amp;" "&amp;W852&amp;X852&amp;Y852&amp;Z852)</f>
        <v>IMAC Cables India Pvt Ltd 4022</v>
      </c>
      <c r="D852" s="16">
        <v>857</v>
      </c>
      <c r="E852" s="9" t="s">
        <v>90</v>
      </c>
      <c r="F852" s="9"/>
      <c r="G852" s="24">
        <v>44403</v>
      </c>
      <c r="H852" s="24"/>
      <c r="I852" s="24"/>
      <c r="J852" s="24">
        <v>44403</v>
      </c>
      <c r="K852" s="24">
        <v>44767</v>
      </c>
      <c r="L852" s="32">
        <v>3</v>
      </c>
      <c r="M852" s="8" t="s">
        <v>3235</v>
      </c>
      <c r="N852" s="8"/>
      <c r="O852" s="19">
        <v>9940079312</v>
      </c>
      <c r="P852" s="8" t="s">
        <v>2241</v>
      </c>
      <c r="Q852" s="8" t="s">
        <v>4953</v>
      </c>
      <c r="R852" s="8" t="s">
        <v>944</v>
      </c>
      <c r="S852" s="8" t="s">
        <v>37</v>
      </c>
      <c r="T852" s="29" t="s">
        <v>3236</v>
      </c>
      <c r="U852" s="8" t="s">
        <v>38</v>
      </c>
      <c r="V852" s="8" t="s">
        <v>23</v>
      </c>
      <c r="W852" s="193">
        <v>4</v>
      </c>
      <c r="X852" s="8">
        <v>0</v>
      </c>
      <c r="Y852" s="8">
        <v>2</v>
      </c>
      <c r="Z852" s="8">
        <v>2</v>
      </c>
      <c r="AA852" s="193" t="s">
        <v>4148</v>
      </c>
      <c r="AB852" s="222"/>
    </row>
    <row r="853" spans="1:28" s="229" customFormat="1" ht="15" customHeight="1">
      <c r="A853" s="16">
        <v>852</v>
      </c>
      <c r="B853" s="14" t="s">
        <v>3237</v>
      </c>
      <c r="C853" s="14" t="str">
        <f>_xlfn.CONCAT(B853&amp;" "&amp;W853&amp;X853&amp;Y853&amp;Z853)</f>
        <v>Sri Balaji Assemblies &amp; Plastics Pvt Ltd 4022</v>
      </c>
      <c r="D853" s="16">
        <v>920</v>
      </c>
      <c r="E853" s="9" t="s">
        <v>90</v>
      </c>
      <c r="F853" s="9"/>
      <c r="G853" s="24">
        <v>44417</v>
      </c>
      <c r="H853" s="24"/>
      <c r="I853" s="24"/>
      <c r="J853" s="24">
        <v>44417</v>
      </c>
      <c r="K853" s="24">
        <v>44781</v>
      </c>
      <c r="L853" s="32">
        <v>3</v>
      </c>
      <c r="M853" s="8" t="s">
        <v>3238</v>
      </c>
      <c r="N853" s="8" t="s">
        <v>1155</v>
      </c>
      <c r="O853" s="19">
        <v>9884047334</v>
      </c>
      <c r="P853" s="8" t="s">
        <v>3239</v>
      </c>
      <c r="Q853" s="8" t="s">
        <v>4954</v>
      </c>
      <c r="R853" s="8" t="s">
        <v>944</v>
      </c>
      <c r="S853" s="8" t="s">
        <v>37</v>
      </c>
      <c r="T853" s="29" t="s">
        <v>3240</v>
      </c>
      <c r="U853" s="8" t="s">
        <v>38</v>
      </c>
      <c r="V853" s="8" t="s">
        <v>23</v>
      </c>
      <c r="W853" s="193">
        <v>4</v>
      </c>
      <c r="X853" s="8">
        <v>0</v>
      </c>
      <c r="Y853" s="8">
        <v>2</v>
      </c>
      <c r="Z853" s="8">
        <v>2</v>
      </c>
      <c r="AA853" s="193" t="s">
        <v>4148</v>
      </c>
      <c r="AB853" s="222"/>
    </row>
    <row r="854" spans="1:28" s="229" customFormat="1" ht="15" customHeight="1">
      <c r="A854" s="16">
        <v>853</v>
      </c>
      <c r="B854" s="14" t="s">
        <v>3241</v>
      </c>
      <c r="C854" s="14" t="str">
        <f>_xlfn.CONCAT(B854&amp;" "&amp;W854&amp;X854&amp;Y854&amp;Z854)</f>
        <v>Excel Metal Engg Pvt Ltd 8051</v>
      </c>
      <c r="D854" s="16">
        <v>858</v>
      </c>
      <c r="E854" s="9" t="s">
        <v>90</v>
      </c>
      <c r="F854" s="9"/>
      <c r="G854" s="24">
        <v>44425</v>
      </c>
      <c r="H854" s="24"/>
      <c r="I854" s="24"/>
      <c r="J854" s="24">
        <v>44425</v>
      </c>
      <c r="K854" s="24">
        <v>44789</v>
      </c>
      <c r="L854" s="32">
        <v>3</v>
      </c>
      <c r="M854" s="8" t="s">
        <v>3242</v>
      </c>
      <c r="N854" s="8" t="s">
        <v>2244</v>
      </c>
      <c r="O854" s="19">
        <v>9900091865</v>
      </c>
      <c r="P854" s="8" t="s">
        <v>2196</v>
      </c>
      <c r="Q854" s="8" t="s">
        <v>4955</v>
      </c>
      <c r="R854" s="8" t="s">
        <v>1512</v>
      </c>
      <c r="S854" s="8" t="s">
        <v>21</v>
      </c>
      <c r="T854" s="29" t="s">
        <v>3063</v>
      </c>
      <c r="U854" s="8" t="s">
        <v>22</v>
      </c>
      <c r="V854" s="8" t="s">
        <v>23</v>
      </c>
      <c r="W854" s="193">
        <v>8</v>
      </c>
      <c r="X854" s="8">
        <v>0</v>
      </c>
      <c r="Y854" s="8">
        <v>5</v>
      </c>
      <c r="Z854" s="8">
        <v>1</v>
      </c>
      <c r="AA854" s="193" t="s">
        <v>4118</v>
      </c>
      <c r="AB854" s="222"/>
    </row>
    <row r="855" spans="1:28" s="229" customFormat="1" ht="15" customHeight="1">
      <c r="A855" s="16">
        <v>854</v>
      </c>
      <c r="B855" s="14" t="s">
        <v>3243</v>
      </c>
      <c r="C855" s="14" t="str">
        <f>_xlfn.CONCAT(B855&amp;" "&amp;W855&amp;X855&amp;Y855&amp;Z855)</f>
        <v>Alliance Metal India 5401</v>
      </c>
      <c r="D855" s="16">
        <v>978</v>
      </c>
      <c r="E855" s="9" t="s">
        <v>42</v>
      </c>
      <c r="F855" s="9"/>
      <c r="G855" s="24">
        <v>44426</v>
      </c>
      <c r="H855" s="24"/>
      <c r="I855" s="24"/>
      <c r="J855" s="24">
        <v>44426</v>
      </c>
      <c r="K855" s="24">
        <v>44790</v>
      </c>
      <c r="L855" s="32">
        <v>3</v>
      </c>
      <c r="M855" s="8" t="s">
        <v>3244</v>
      </c>
      <c r="N855" s="8" t="s">
        <v>3245</v>
      </c>
      <c r="O855" s="19">
        <v>9879823475</v>
      </c>
      <c r="P855" s="8" t="s">
        <v>375</v>
      </c>
      <c r="Q855" s="8" t="s">
        <v>4956</v>
      </c>
      <c r="R855" s="8" t="s">
        <v>3246</v>
      </c>
      <c r="S855" s="8" t="s">
        <v>571</v>
      </c>
      <c r="T855" s="29" t="s">
        <v>3143</v>
      </c>
      <c r="U855" s="8" t="s">
        <v>144</v>
      </c>
      <c r="V855" s="8" t="s">
        <v>23</v>
      </c>
      <c r="W855" s="193">
        <v>5</v>
      </c>
      <c r="X855" s="8">
        <v>4</v>
      </c>
      <c r="Y855" s="8">
        <v>0</v>
      </c>
      <c r="Z855" s="8">
        <v>1</v>
      </c>
      <c r="AA855" s="193" t="s">
        <v>4137</v>
      </c>
      <c r="AB855" s="222"/>
    </row>
    <row r="856" spans="1:28" s="229" customFormat="1" ht="15" customHeight="1">
      <c r="A856" s="16">
        <v>855</v>
      </c>
      <c r="B856" s="14" t="s">
        <v>3247</v>
      </c>
      <c r="C856" s="14" t="str">
        <f>_xlfn.CONCAT(B856&amp;" "&amp;W856&amp;X856&amp;Y856&amp;Z856)</f>
        <v>Vscon Engg Pvt Ltd 1131</v>
      </c>
      <c r="D856" s="16">
        <v>981</v>
      </c>
      <c r="E856" s="9" t="s">
        <v>42</v>
      </c>
      <c r="F856" s="9"/>
      <c r="G856" s="24">
        <v>44433</v>
      </c>
      <c r="H856" s="24"/>
      <c r="I856" s="24"/>
      <c r="J856" s="24">
        <v>44433</v>
      </c>
      <c r="K856" s="24">
        <v>45162</v>
      </c>
      <c r="L856" s="32">
        <v>3</v>
      </c>
      <c r="M856" s="8" t="s">
        <v>3248</v>
      </c>
      <c r="N856" s="8"/>
      <c r="O856" s="19">
        <v>7827271027</v>
      </c>
      <c r="P856" s="8" t="s">
        <v>2589</v>
      </c>
      <c r="Q856" s="8" t="s">
        <v>4957</v>
      </c>
      <c r="R856" s="8" t="s">
        <v>3249</v>
      </c>
      <c r="S856" s="8" t="s">
        <v>681</v>
      </c>
      <c r="T856" s="29" t="s">
        <v>3250</v>
      </c>
      <c r="U856" s="8" t="s">
        <v>81</v>
      </c>
      <c r="V856" s="8" t="s">
        <v>23</v>
      </c>
      <c r="W856" s="193">
        <v>1</v>
      </c>
      <c r="X856" s="8">
        <v>1</v>
      </c>
      <c r="Y856" s="8">
        <v>3</v>
      </c>
      <c r="Z856" s="8">
        <v>1</v>
      </c>
      <c r="AA856" s="193" t="s">
        <v>4118</v>
      </c>
      <c r="AB856" s="222"/>
    </row>
    <row r="857" spans="1:28" s="229" customFormat="1" ht="15" customHeight="1">
      <c r="A857" s="16">
        <v>856</v>
      </c>
      <c r="B857" s="14" t="s">
        <v>3251</v>
      </c>
      <c r="C857" s="14" t="str">
        <f>_xlfn.CONCAT(B857&amp;" "&amp;W857&amp;X857&amp;Y857&amp;Z857)</f>
        <v>Reckitt Benckiser India Pvt Ltd 1111</v>
      </c>
      <c r="D857" s="16">
        <v>982</v>
      </c>
      <c r="E857" s="9" t="s">
        <v>42</v>
      </c>
      <c r="F857" s="9"/>
      <c r="G857" s="24">
        <v>44440</v>
      </c>
      <c r="H857" s="24"/>
      <c r="I857" s="24"/>
      <c r="J857" s="24">
        <v>44440</v>
      </c>
      <c r="K857" s="24">
        <v>44804</v>
      </c>
      <c r="L857" s="32">
        <v>3</v>
      </c>
      <c r="M857" s="8" t="s">
        <v>3252</v>
      </c>
      <c r="N857" s="8"/>
      <c r="O857" s="19"/>
      <c r="P857" s="8" t="s">
        <v>3253</v>
      </c>
      <c r="Q857" s="8" t="s">
        <v>4958</v>
      </c>
      <c r="R857" s="8" t="s">
        <v>3254</v>
      </c>
      <c r="S857" s="8" t="s">
        <v>428</v>
      </c>
      <c r="T857" s="29" t="s">
        <v>3255</v>
      </c>
      <c r="U857" s="8" t="s">
        <v>429</v>
      </c>
      <c r="V857" s="8" t="s">
        <v>23</v>
      </c>
      <c r="W857" s="193">
        <v>1</v>
      </c>
      <c r="X857" s="8">
        <v>1</v>
      </c>
      <c r="Y857" s="8">
        <v>1</v>
      </c>
      <c r="Z857" s="8">
        <v>1</v>
      </c>
      <c r="AA857" s="193" t="s">
        <v>4118</v>
      </c>
      <c r="AB857" s="222"/>
    </row>
    <row r="858" spans="1:28" s="229" customFormat="1" ht="15" customHeight="1">
      <c r="A858" s="16">
        <v>857</v>
      </c>
      <c r="B858" s="14" t="s">
        <v>3256</v>
      </c>
      <c r="C858" s="14" t="str">
        <f>_xlfn.CONCAT(B858&amp;" "&amp;W858&amp;X858&amp;Y858&amp;Z858)</f>
        <v>Shankar Moulding Pvt Ltd 1162</v>
      </c>
      <c r="D858" s="16">
        <v>923</v>
      </c>
      <c r="E858" s="9" t="s">
        <v>90</v>
      </c>
      <c r="F858" s="9"/>
      <c r="G858" s="24">
        <v>44440</v>
      </c>
      <c r="H858" s="24"/>
      <c r="I858" s="24"/>
      <c r="J858" s="24">
        <v>45891</v>
      </c>
      <c r="K858" s="24">
        <v>46255</v>
      </c>
      <c r="L858" s="32">
        <v>3</v>
      </c>
      <c r="M858" s="8" t="s">
        <v>3257</v>
      </c>
      <c r="N858" s="8" t="s">
        <v>3258</v>
      </c>
      <c r="O858" s="19">
        <v>9999021677</v>
      </c>
      <c r="P858" s="8" t="s">
        <v>3259</v>
      </c>
      <c r="Q858" s="8" t="s">
        <v>4959</v>
      </c>
      <c r="R858" s="8"/>
      <c r="S858" s="8" t="s">
        <v>681</v>
      </c>
      <c r="T858" s="29" t="s">
        <v>3260</v>
      </c>
      <c r="U858" s="8" t="s">
        <v>81</v>
      </c>
      <c r="V858" s="8" t="s">
        <v>23</v>
      </c>
      <c r="W858" s="193">
        <v>1</v>
      </c>
      <c r="X858" s="8">
        <v>1</v>
      </c>
      <c r="Y858" s="8">
        <v>6</v>
      </c>
      <c r="Z858" s="8">
        <v>2</v>
      </c>
      <c r="AA858" s="193" t="s">
        <v>4118</v>
      </c>
      <c r="AB858" s="222"/>
    </row>
    <row r="859" spans="1:28" s="229" customFormat="1" ht="15" customHeight="1">
      <c r="A859" s="16">
        <v>858</v>
      </c>
      <c r="B859" s="14" t="s">
        <v>3261</v>
      </c>
      <c r="C859" s="14" t="str">
        <f>_xlfn.CONCAT(B859&amp;" "&amp;W859&amp;X859&amp;Y859&amp;Z859)</f>
        <v>Pavna Industries Ltd 1153</v>
      </c>
      <c r="D859" s="16">
        <v>922</v>
      </c>
      <c r="E859" s="9" t="s">
        <v>90</v>
      </c>
      <c r="F859" s="9"/>
      <c r="G859" s="24">
        <v>44440</v>
      </c>
      <c r="H859" s="24"/>
      <c r="I859" s="24"/>
      <c r="J859" s="24">
        <v>45308</v>
      </c>
      <c r="K859" s="24">
        <v>45673</v>
      </c>
      <c r="L859" s="32">
        <v>3</v>
      </c>
      <c r="M859" s="8" t="s">
        <v>3262</v>
      </c>
      <c r="N859" s="8" t="s">
        <v>2154</v>
      </c>
      <c r="O859" s="19">
        <v>8006409320</v>
      </c>
      <c r="P859" s="8" t="s">
        <v>3263</v>
      </c>
      <c r="Q859" s="8" t="s">
        <v>4960</v>
      </c>
      <c r="R859" s="8"/>
      <c r="S859" s="8" t="s">
        <v>1721</v>
      </c>
      <c r="T859" s="29" t="s">
        <v>3264</v>
      </c>
      <c r="U859" s="8" t="s">
        <v>184</v>
      </c>
      <c r="V859" s="8" t="s">
        <v>23</v>
      </c>
      <c r="W859" s="193">
        <v>1</v>
      </c>
      <c r="X859" s="8">
        <v>1</v>
      </c>
      <c r="Y859" s="8">
        <v>5</v>
      </c>
      <c r="Z859" s="8">
        <v>3</v>
      </c>
      <c r="AA859" s="193" t="s">
        <v>4118</v>
      </c>
      <c r="AB859" s="222"/>
    </row>
    <row r="860" spans="1:28" s="229" customFormat="1" ht="15" customHeight="1">
      <c r="A860" s="16">
        <v>859</v>
      </c>
      <c r="B860" s="14" t="s">
        <v>3265</v>
      </c>
      <c r="C860" s="14" t="str">
        <f>_xlfn.CONCAT(B860&amp;" "&amp;W860&amp;X860&amp;Y860&amp;Z860)</f>
        <v>Vertex Auto Components 8013</v>
      </c>
      <c r="D860" s="16">
        <v>965</v>
      </c>
      <c r="E860" s="9" t="s">
        <v>2082</v>
      </c>
      <c r="F860" s="9"/>
      <c r="G860" s="24">
        <v>44443</v>
      </c>
      <c r="H860" s="24"/>
      <c r="I860" s="24"/>
      <c r="J860" s="24">
        <v>44443</v>
      </c>
      <c r="K860" s="24">
        <v>45538</v>
      </c>
      <c r="L860" s="32">
        <v>3</v>
      </c>
      <c r="M860" s="8" t="s">
        <v>3266</v>
      </c>
      <c r="N860" s="8" t="s">
        <v>3267</v>
      </c>
      <c r="O860" s="19">
        <v>9840513023</v>
      </c>
      <c r="P860" s="8"/>
      <c r="Q860" s="8" t="s">
        <v>4961</v>
      </c>
      <c r="R860" s="8"/>
      <c r="S860" s="8" t="s">
        <v>121</v>
      </c>
      <c r="T860" s="29" t="s">
        <v>3268</v>
      </c>
      <c r="U860" s="8" t="s">
        <v>38</v>
      </c>
      <c r="V860" s="8" t="s">
        <v>23</v>
      </c>
      <c r="W860" s="193">
        <v>8</v>
      </c>
      <c r="X860" s="8">
        <v>0</v>
      </c>
      <c r="Y860" s="8">
        <v>1</v>
      </c>
      <c r="Z860" s="8">
        <v>3</v>
      </c>
      <c r="AA860" s="193" t="s">
        <v>4118</v>
      </c>
      <c r="AB860" s="222"/>
    </row>
    <row r="861" spans="1:28" s="229" customFormat="1" ht="15" customHeight="1">
      <c r="A861" s="16">
        <v>860</v>
      </c>
      <c r="B861" s="14" t="s">
        <v>3269</v>
      </c>
      <c r="C861" s="14" t="str">
        <f>_xlfn.CONCAT(B861&amp;" "&amp;W861&amp;X861&amp;Y861&amp;Z861)</f>
        <v>Accura Toolings 8051</v>
      </c>
      <c r="D861" s="16">
        <v>984</v>
      </c>
      <c r="E861" s="9" t="s">
        <v>42</v>
      </c>
      <c r="F861" s="9"/>
      <c r="G861" s="24">
        <v>44445</v>
      </c>
      <c r="H861" s="24"/>
      <c r="I861" s="24"/>
      <c r="J861" s="24">
        <v>44445</v>
      </c>
      <c r="K861" s="24">
        <v>44809</v>
      </c>
      <c r="L861" s="32">
        <v>3</v>
      </c>
      <c r="M861" s="8" t="s">
        <v>3270</v>
      </c>
      <c r="N861" s="8"/>
      <c r="O861" s="19" t="s">
        <v>3271</v>
      </c>
      <c r="P861" s="8" t="s">
        <v>3272</v>
      </c>
      <c r="Q861" s="8" t="s">
        <v>4962</v>
      </c>
      <c r="R861" s="8" t="s">
        <v>1512</v>
      </c>
      <c r="S861" s="8" t="s">
        <v>21</v>
      </c>
      <c r="T861" s="29" t="s">
        <v>3063</v>
      </c>
      <c r="U861" s="8" t="s">
        <v>22</v>
      </c>
      <c r="V861" s="8" t="s">
        <v>23</v>
      </c>
      <c r="W861" s="193">
        <v>8</v>
      </c>
      <c r="X861" s="8">
        <v>0</v>
      </c>
      <c r="Y861" s="8">
        <v>5</v>
      </c>
      <c r="Z861" s="8">
        <v>1</v>
      </c>
      <c r="AA861" s="193" t="s">
        <v>4118</v>
      </c>
      <c r="AB861" s="222"/>
    </row>
    <row r="862" spans="1:28" s="229" customFormat="1" ht="15" customHeight="1">
      <c r="A862" s="16">
        <v>861</v>
      </c>
      <c r="B862" s="14" t="s">
        <v>3273</v>
      </c>
      <c r="C862" s="14" t="str">
        <f>_xlfn.CONCAT(B862&amp;" "&amp;W862&amp;X862&amp;Y862&amp;Z862)</f>
        <v>Pragathi Tools and Dies 8041</v>
      </c>
      <c r="D862" s="16">
        <v>986</v>
      </c>
      <c r="E862" s="9" t="s">
        <v>42</v>
      </c>
      <c r="F862" s="9"/>
      <c r="G862" s="24">
        <v>44459</v>
      </c>
      <c r="H862" s="24"/>
      <c r="I862" s="24"/>
      <c r="J862" s="24">
        <v>44459</v>
      </c>
      <c r="K862" s="24">
        <v>44823</v>
      </c>
      <c r="L862" s="32">
        <v>3</v>
      </c>
      <c r="M862" s="8" t="s">
        <v>3274</v>
      </c>
      <c r="N862" s="8" t="s">
        <v>17</v>
      </c>
      <c r="O862" s="19" t="s">
        <v>3275</v>
      </c>
      <c r="P862" s="8" t="s">
        <v>2763</v>
      </c>
      <c r="Q862" s="8" t="s">
        <v>4963</v>
      </c>
      <c r="R862" s="8" t="s">
        <v>2764</v>
      </c>
      <c r="S862" s="8" t="s">
        <v>21</v>
      </c>
      <c r="T862" s="29" t="s">
        <v>3276</v>
      </c>
      <c r="U862" s="8" t="s">
        <v>22</v>
      </c>
      <c r="V862" s="8" t="s">
        <v>23</v>
      </c>
      <c r="W862" s="193">
        <v>8</v>
      </c>
      <c r="X862" s="8">
        <v>0</v>
      </c>
      <c r="Y862" s="8">
        <v>4</v>
      </c>
      <c r="Z862" s="8">
        <v>1</v>
      </c>
      <c r="AA862" s="193" t="s">
        <v>4118</v>
      </c>
      <c r="AB862" s="222"/>
    </row>
    <row r="863" spans="1:28" s="229" customFormat="1" ht="15" customHeight="1">
      <c r="A863" s="16">
        <v>862</v>
      </c>
      <c r="B863" s="14" t="s">
        <v>3277</v>
      </c>
      <c r="C863" s="14" t="str">
        <f>_xlfn.CONCAT(B863&amp;" "&amp;W863&amp;X863&amp;Y863&amp;Z863)</f>
        <v>Lamda Components Pvt Ltd 8012</v>
      </c>
      <c r="D863" s="16">
        <v>924</v>
      </c>
      <c r="E863" s="9" t="s">
        <v>90</v>
      </c>
      <c r="F863" s="9"/>
      <c r="G863" s="24">
        <v>44460</v>
      </c>
      <c r="H863" s="24"/>
      <c r="I863" s="24"/>
      <c r="J863" s="24">
        <v>44460</v>
      </c>
      <c r="K863" s="24">
        <v>44824</v>
      </c>
      <c r="L863" s="32">
        <v>3</v>
      </c>
      <c r="M863" s="8" t="s">
        <v>3278</v>
      </c>
      <c r="N863" s="8" t="s">
        <v>3098</v>
      </c>
      <c r="O863" s="19"/>
      <c r="P863" s="8" t="s">
        <v>2830</v>
      </c>
      <c r="Q863" s="8" t="s">
        <v>4964</v>
      </c>
      <c r="R863" s="8"/>
      <c r="S863" s="8" t="s">
        <v>21</v>
      </c>
      <c r="T863" s="29" t="s">
        <v>3279</v>
      </c>
      <c r="U863" s="8" t="s">
        <v>22</v>
      </c>
      <c r="V863" s="8" t="s">
        <v>23</v>
      </c>
      <c r="W863" s="193">
        <v>8</v>
      </c>
      <c r="X863" s="8">
        <v>0</v>
      </c>
      <c r="Y863" s="8">
        <v>1</v>
      </c>
      <c r="Z863" s="8">
        <v>2</v>
      </c>
      <c r="AA863" s="193" t="s">
        <v>4118</v>
      </c>
      <c r="AB863" s="222"/>
    </row>
    <row r="864" spans="1:28" s="229" customFormat="1" ht="15" customHeight="1">
      <c r="A864" s="16">
        <v>863</v>
      </c>
      <c r="B864" s="14" t="s">
        <v>3280</v>
      </c>
      <c r="C864" s="14" t="str">
        <f>_xlfn.CONCAT(B864&amp;" "&amp;W864&amp;X864&amp;Y864&amp;Z864)</f>
        <v>Egearz Pvt Ltd 2451</v>
      </c>
      <c r="D864" s="16">
        <v>925</v>
      </c>
      <c r="E864" s="9" t="s">
        <v>90</v>
      </c>
      <c r="F864" s="9"/>
      <c r="G864" s="24">
        <v>44461</v>
      </c>
      <c r="H864" s="24"/>
      <c r="I864" s="24"/>
      <c r="J864" s="24">
        <v>45203</v>
      </c>
      <c r="K864" s="24">
        <v>45568</v>
      </c>
      <c r="L864" s="32">
        <v>3</v>
      </c>
      <c r="M864" s="8" t="s">
        <v>3281</v>
      </c>
      <c r="N864" s="8" t="s">
        <v>2154</v>
      </c>
      <c r="O864" s="19">
        <v>7020265893</v>
      </c>
      <c r="P864" s="8" t="s">
        <v>3282</v>
      </c>
      <c r="Q864" s="8" t="s">
        <v>4965</v>
      </c>
      <c r="R864" s="8" t="s">
        <v>3283</v>
      </c>
      <c r="S864" s="8" t="s">
        <v>3284</v>
      </c>
      <c r="T864" s="29" t="s">
        <v>3285</v>
      </c>
      <c r="U864" s="8" t="s">
        <v>172</v>
      </c>
      <c r="V864" s="8" t="s">
        <v>23</v>
      </c>
      <c r="W864" s="193">
        <v>2</v>
      </c>
      <c r="X864" s="8">
        <v>4</v>
      </c>
      <c r="Y864" s="8">
        <v>5</v>
      </c>
      <c r="Z864" s="8">
        <v>1</v>
      </c>
      <c r="AA864" s="193" t="s">
        <v>4151</v>
      </c>
      <c r="AB864" s="222"/>
    </row>
    <row r="865" spans="1:28" s="229" customFormat="1" ht="15" customHeight="1">
      <c r="A865" s="16">
        <v>864</v>
      </c>
      <c r="B865" s="14" t="s">
        <v>3286</v>
      </c>
      <c r="C865" s="14" t="str">
        <f>_xlfn.CONCAT(B865&amp;" "&amp;W865&amp;X865&amp;Y865&amp;Z865)</f>
        <v>Gandhi Springs Pvt Ltd 1111</v>
      </c>
      <c r="D865" s="16">
        <v>989</v>
      </c>
      <c r="E865" s="9" t="s">
        <v>42</v>
      </c>
      <c r="F865" s="9"/>
      <c r="G865" s="24">
        <v>44480</v>
      </c>
      <c r="H865" s="24"/>
      <c r="I865" s="24"/>
      <c r="J865" s="24">
        <v>44480</v>
      </c>
      <c r="K865" s="24">
        <v>45208</v>
      </c>
      <c r="L865" s="32">
        <v>3</v>
      </c>
      <c r="M865" s="8" t="s">
        <v>3287</v>
      </c>
      <c r="N865" s="8"/>
      <c r="O865" s="19">
        <v>9810022642</v>
      </c>
      <c r="P865" s="8" t="s">
        <v>2313</v>
      </c>
      <c r="Q865" s="8" t="s">
        <v>4966</v>
      </c>
      <c r="R865" s="8" t="s">
        <v>2375</v>
      </c>
      <c r="S865" s="8" t="s">
        <v>428</v>
      </c>
      <c r="T865" s="29" t="s">
        <v>3217</v>
      </c>
      <c r="U865" s="8" t="s">
        <v>429</v>
      </c>
      <c r="V865" s="8" t="s">
        <v>23</v>
      </c>
      <c r="W865" s="193">
        <v>1</v>
      </c>
      <c r="X865" s="8">
        <v>1</v>
      </c>
      <c r="Y865" s="8">
        <v>1</v>
      </c>
      <c r="Z865" s="8">
        <v>1</v>
      </c>
      <c r="AA865" s="193" t="s">
        <v>4118</v>
      </c>
      <c r="AB865" s="222"/>
    </row>
    <row r="866" spans="1:28" s="229" customFormat="1" ht="15" customHeight="1">
      <c r="A866" s="16">
        <v>865</v>
      </c>
      <c r="B866" s="14" t="s">
        <v>3288</v>
      </c>
      <c r="C866" s="14" t="str">
        <f>_xlfn.CONCAT(B866&amp;" "&amp;W866&amp;X866&amp;Y866&amp;Z866)</f>
        <v>Maxmould 2112</v>
      </c>
      <c r="D866" s="16">
        <v>985</v>
      </c>
      <c r="E866" s="9" t="s">
        <v>42</v>
      </c>
      <c r="F866" s="9"/>
      <c r="G866" s="24">
        <v>44481</v>
      </c>
      <c r="H866" s="24"/>
      <c r="I866" s="24"/>
      <c r="J866" s="24">
        <v>44481</v>
      </c>
      <c r="K866" s="24">
        <v>44845</v>
      </c>
      <c r="L866" s="32">
        <v>3</v>
      </c>
      <c r="M866" s="8" t="s">
        <v>3289</v>
      </c>
      <c r="N866" s="8"/>
      <c r="O866" s="19" t="s">
        <v>3290</v>
      </c>
      <c r="P866" s="8" t="s">
        <v>3291</v>
      </c>
      <c r="Q866" s="8" t="s">
        <v>4967</v>
      </c>
      <c r="R866" s="8" t="s">
        <v>3292</v>
      </c>
      <c r="S866" s="8" t="s">
        <v>178</v>
      </c>
      <c r="T866" s="29" t="s">
        <v>3293</v>
      </c>
      <c r="U866" s="8" t="s">
        <v>172</v>
      </c>
      <c r="V866" s="8" t="s">
        <v>23</v>
      </c>
      <c r="W866" s="193">
        <v>2</v>
      </c>
      <c r="X866" s="8">
        <v>1</v>
      </c>
      <c r="Y866" s="8">
        <v>1</v>
      </c>
      <c r="Z866" s="8">
        <v>2</v>
      </c>
      <c r="AA866" s="193" t="s">
        <v>4118</v>
      </c>
      <c r="AB866" s="222"/>
    </row>
    <row r="867" spans="1:28" s="229" customFormat="1" ht="15" customHeight="1">
      <c r="A867" s="16">
        <v>866</v>
      </c>
      <c r="B867" s="14" t="s">
        <v>3294</v>
      </c>
      <c r="C867" s="14" t="str">
        <f>_xlfn.CONCAT(B867&amp;" "&amp;W867&amp;X867&amp;Y867&amp;Z867)</f>
        <v>Radium Creation Ltd 2111</v>
      </c>
      <c r="D867" s="16">
        <v>991</v>
      </c>
      <c r="E867" s="9" t="s">
        <v>42</v>
      </c>
      <c r="F867" s="9"/>
      <c r="G867" s="24">
        <v>44490</v>
      </c>
      <c r="H867" s="24"/>
      <c r="I867" s="24"/>
      <c r="J867" s="24">
        <v>44490</v>
      </c>
      <c r="K867" s="24">
        <v>44854</v>
      </c>
      <c r="L867" s="32">
        <v>3</v>
      </c>
      <c r="M867" s="8"/>
      <c r="N867" s="8"/>
      <c r="O867" s="19"/>
      <c r="P867" s="8" t="s">
        <v>3295</v>
      </c>
      <c r="Q867" s="8" t="s">
        <v>4968</v>
      </c>
      <c r="R867" s="8" t="s">
        <v>3296</v>
      </c>
      <c r="S867" s="8" t="s">
        <v>2931</v>
      </c>
      <c r="T867" s="29" t="s">
        <v>3297</v>
      </c>
      <c r="U867" s="8" t="s">
        <v>144</v>
      </c>
      <c r="V867" s="8" t="s">
        <v>23</v>
      </c>
      <c r="W867" s="193">
        <v>2</v>
      </c>
      <c r="X867" s="8">
        <v>1</v>
      </c>
      <c r="Y867" s="8">
        <v>1</v>
      </c>
      <c r="Z867" s="8">
        <v>1</v>
      </c>
      <c r="AA867" s="193" t="s">
        <v>4118</v>
      </c>
      <c r="AB867" s="222"/>
    </row>
    <row r="868" spans="1:28" s="229" customFormat="1" ht="15" customHeight="1">
      <c r="A868" s="16">
        <v>867</v>
      </c>
      <c r="B868" s="14" t="s">
        <v>2768</v>
      </c>
      <c r="C868" s="14" t="str">
        <f>_xlfn.CONCAT(B868&amp;" "&amp;W868&amp;X868&amp;Y868&amp;Z868)</f>
        <v>Microtech Polymers 4024</v>
      </c>
      <c r="D868" s="16">
        <v>966</v>
      </c>
      <c r="E868" s="9" t="s">
        <v>2082</v>
      </c>
      <c r="F868" s="9"/>
      <c r="G868" s="24">
        <v>44492</v>
      </c>
      <c r="H868" s="24"/>
      <c r="I868" s="24"/>
      <c r="J868" s="24">
        <v>44494</v>
      </c>
      <c r="K868" s="24">
        <v>44858</v>
      </c>
      <c r="L868" s="32">
        <v>3</v>
      </c>
      <c r="M868" s="8" t="s">
        <v>2769</v>
      </c>
      <c r="N868" s="8"/>
      <c r="O868" s="19"/>
      <c r="P868" s="8" t="s">
        <v>3298</v>
      </c>
      <c r="Q868" s="8" t="s">
        <v>4969</v>
      </c>
      <c r="R868" s="8" t="s">
        <v>2619</v>
      </c>
      <c r="S868" s="8" t="s">
        <v>37</v>
      </c>
      <c r="T868" s="29">
        <v>641004</v>
      </c>
      <c r="U868" s="8" t="s">
        <v>38</v>
      </c>
      <c r="V868" s="8" t="s">
        <v>23</v>
      </c>
      <c r="W868" s="193">
        <v>4</v>
      </c>
      <c r="X868" s="8">
        <v>0</v>
      </c>
      <c r="Y868" s="8">
        <v>2</v>
      </c>
      <c r="Z868" s="8">
        <v>4</v>
      </c>
      <c r="AA868" s="193" t="s">
        <v>4148</v>
      </c>
      <c r="AB868" s="222"/>
    </row>
    <row r="869" spans="1:28" s="229" customFormat="1" ht="15" customHeight="1">
      <c r="A869" s="16">
        <v>868</v>
      </c>
      <c r="B869" s="14" t="s">
        <v>3299</v>
      </c>
      <c r="C869" s="14" t="str">
        <f>_xlfn.CONCAT(B869&amp;" "&amp;W869&amp;X869&amp;Y869&amp;Z869)</f>
        <v>Umiya Pharma Tech 5011</v>
      </c>
      <c r="D869" s="16">
        <v>992</v>
      </c>
      <c r="E869" s="9" t="s">
        <v>42</v>
      </c>
      <c r="F869" s="9"/>
      <c r="G869" s="24">
        <v>44510</v>
      </c>
      <c r="H869" s="24"/>
      <c r="I869" s="24"/>
      <c r="J869" s="24">
        <v>44510</v>
      </c>
      <c r="K869" s="24">
        <v>44874</v>
      </c>
      <c r="L869" s="32">
        <v>3</v>
      </c>
      <c r="M869" s="8" t="s">
        <v>3300</v>
      </c>
      <c r="N869" s="8"/>
      <c r="O869" s="19">
        <v>8200762516</v>
      </c>
      <c r="P869" s="8" t="s">
        <v>3301</v>
      </c>
      <c r="Q869" s="8" t="s">
        <v>4970</v>
      </c>
      <c r="R869" s="8" t="s">
        <v>3302</v>
      </c>
      <c r="S869" s="8" t="s">
        <v>143</v>
      </c>
      <c r="T869" s="29" t="s">
        <v>3303</v>
      </c>
      <c r="U869" s="8" t="s">
        <v>144</v>
      </c>
      <c r="V869" s="8" t="s">
        <v>23</v>
      </c>
      <c r="W869" s="193">
        <v>5</v>
      </c>
      <c r="X869" s="8">
        <v>0</v>
      </c>
      <c r="Y869" s="8">
        <v>1</v>
      </c>
      <c r="Z869" s="8">
        <v>1</v>
      </c>
      <c r="AA869" s="193" t="s">
        <v>4118</v>
      </c>
      <c r="AB869" s="222"/>
    </row>
    <row r="870" spans="1:28" s="229" customFormat="1" ht="15" customHeight="1">
      <c r="A870" s="16">
        <v>869</v>
      </c>
      <c r="B870" s="14" t="s">
        <v>2750</v>
      </c>
      <c r="C870" s="14" t="str">
        <f>_xlfn.CONCAT(B870&amp;" "&amp;W870&amp;X870&amp;Y870&amp;Z870)</f>
        <v>A.G. Industries 8031</v>
      </c>
      <c r="D870" s="16">
        <v>990</v>
      </c>
      <c r="E870" s="9" t="s">
        <v>42</v>
      </c>
      <c r="F870" s="9"/>
      <c r="G870" s="24">
        <v>44513</v>
      </c>
      <c r="H870" s="24"/>
      <c r="I870" s="24"/>
      <c r="J870" s="24">
        <v>44513</v>
      </c>
      <c r="K870" s="24">
        <v>44877</v>
      </c>
      <c r="L870" s="32">
        <v>3</v>
      </c>
      <c r="M870" s="8" t="s">
        <v>3304</v>
      </c>
      <c r="N870" s="8" t="s">
        <v>151</v>
      </c>
      <c r="O870" s="19">
        <v>9886748330</v>
      </c>
      <c r="P870" s="8" t="s">
        <v>3305</v>
      </c>
      <c r="Q870" s="8" t="s">
        <v>4971</v>
      </c>
      <c r="R870" s="8" t="s">
        <v>3306</v>
      </c>
      <c r="S870" s="8" t="s">
        <v>21</v>
      </c>
      <c r="T870" s="29" t="s">
        <v>3307</v>
      </c>
      <c r="U870" s="8" t="s">
        <v>22</v>
      </c>
      <c r="V870" s="8" t="s">
        <v>23</v>
      </c>
      <c r="W870" s="193">
        <v>8</v>
      </c>
      <c r="X870" s="8">
        <v>0</v>
      </c>
      <c r="Y870" s="8">
        <v>3</v>
      </c>
      <c r="Z870" s="8">
        <v>1</v>
      </c>
      <c r="AA870" s="193" t="s">
        <v>4118</v>
      </c>
      <c r="AB870" s="222"/>
    </row>
    <row r="871" spans="1:28" s="229" customFormat="1" ht="15" customHeight="1">
      <c r="A871" s="16">
        <v>870</v>
      </c>
      <c r="B871" s="14" t="s">
        <v>3308</v>
      </c>
      <c r="C871" s="14" t="str">
        <f>_xlfn.CONCAT(B871&amp;" "&amp;W871&amp;X871&amp;Y871&amp;Z871)</f>
        <v>Polycab India Ltd  2111</v>
      </c>
      <c r="D871" s="16">
        <v>995</v>
      </c>
      <c r="E871" s="9" t="s">
        <v>42</v>
      </c>
      <c r="F871" s="9"/>
      <c r="G871" s="24">
        <v>44527</v>
      </c>
      <c r="H871" s="24"/>
      <c r="I871" s="24"/>
      <c r="J871" s="24">
        <v>44527</v>
      </c>
      <c r="K871" s="24">
        <v>44891</v>
      </c>
      <c r="L871" s="32">
        <v>3</v>
      </c>
      <c r="M871" s="8" t="s">
        <v>3309</v>
      </c>
      <c r="N871" s="8" t="s">
        <v>1155</v>
      </c>
      <c r="O871" s="19">
        <v>9819961455</v>
      </c>
      <c r="P871" s="8" t="s">
        <v>3310</v>
      </c>
      <c r="Q871" s="8" t="s">
        <v>4972</v>
      </c>
      <c r="R871" s="8" t="s">
        <v>3311</v>
      </c>
      <c r="S871" s="8" t="s">
        <v>3312</v>
      </c>
      <c r="T871" s="29" t="s">
        <v>3313</v>
      </c>
      <c r="U871" s="8" t="s">
        <v>774</v>
      </c>
      <c r="V871" s="8" t="s">
        <v>23</v>
      </c>
      <c r="W871" s="193">
        <v>2</v>
      </c>
      <c r="X871" s="8">
        <v>1</v>
      </c>
      <c r="Y871" s="8">
        <v>1</v>
      </c>
      <c r="Z871" s="8">
        <v>1</v>
      </c>
      <c r="AA871" s="193" t="s">
        <v>4118</v>
      </c>
      <c r="AB871" s="222"/>
    </row>
    <row r="872" spans="1:28" s="229" customFormat="1" ht="15" customHeight="1">
      <c r="A872" s="16">
        <v>871</v>
      </c>
      <c r="B872" s="14" t="s">
        <v>3314</v>
      </c>
      <c r="C872" s="14" t="str">
        <f>_xlfn.CONCAT(B872&amp;" "&amp;W872&amp;X872&amp;Y872&amp;Z872)</f>
        <v>Nexteer Automotive India Pvt Ltd 2421</v>
      </c>
      <c r="D872" s="16">
        <v>967</v>
      </c>
      <c r="E872" s="9" t="s">
        <v>2082</v>
      </c>
      <c r="F872" s="9"/>
      <c r="G872" s="24">
        <v>44527</v>
      </c>
      <c r="H872" s="24"/>
      <c r="I872" s="24"/>
      <c r="J872" s="24">
        <v>44527</v>
      </c>
      <c r="K872" s="24">
        <v>44891</v>
      </c>
      <c r="L872" s="32">
        <v>3</v>
      </c>
      <c r="M872" s="8" t="s">
        <v>3315</v>
      </c>
      <c r="N872" s="8"/>
      <c r="O872" s="19" t="s">
        <v>3316</v>
      </c>
      <c r="P872" s="8" t="s">
        <v>1812</v>
      </c>
      <c r="Q872" s="8" t="s">
        <v>4973</v>
      </c>
      <c r="R872" s="8" t="s">
        <v>3317</v>
      </c>
      <c r="S872" s="8" t="s">
        <v>215</v>
      </c>
      <c r="T872" s="29" t="s">
        <v>3116</v>
      </c>
      <c r="U872" s="8" t="s">
        <v>172</v>
      </c>
      <c r="V872" s="8" t="s">
        <v>23</v>
      </c>
      <c r="W872" s="193">
        <v>2</v>
      </c>
      <c r="X872" s="8">
        <v>4</v>
      </c>
      <c r="Y872" s="8">
        <v>2</v>
      </c>
      <c r="Z872" s="8">
        <v>1</v>
      </c>
      <c r="AA872" s="193" t="s">
        <v>4151</v>
      </c>
      <c r="AB872" s="222"/>
    </row>
    <row r="873" spans="1:28" s="229" customFormat="1" ht="15" customHeight="1">
      <c r="A873" s="16">
        <v>872</v>
      </c>
      <c r="B873" s="14" t="s">
        <v>3318</v>
      </c>
      <c r="C873" s="14" t="str">
        <f>_xlfn.CONCAT(B873&amp;" "&amp;W873&amp;X873&amp;Y873&amp;Z873)</f>
        <v>Impact Tool Crafts Pvt Ltd 2411</v>
      </c>
      <c r="D873" s="16">
        <v>993</v>
      </c>
      <c r="E873" s="9" t="s">
        <v>42</v>
      </c>
      <c r="F873" s="9"/>
      <c r="G873" s="24">
        <v>44533</v>
      </c>
      <c r="H873" s="24"/>
      <c r="I873" s="24"/>
      <c r="J873" s="24">
        <v>44533</v>
      </c>
      <c r="K873" s="24">
        <v>44897</v>
      </c>
      <c r="L873" s="32">
        <v>3</v>
      </c>
      <c r="M873" s="8" t="s">
        <v>3319</v>
      </c>
      <c r="N873" s="8" t="s">
        <v>151</v>
      </c>
      <c r="O873" s="19">
        <v>8237628093</v>
      </c>
      <c r="P873" s="8" t="s">
        <v>1629</v>
      </c>
      <c r="Q873" s="8" t="s">
        <v>4974</v>
      </c>
      <c r="R873" s="8" t="s">
        <v>214</v>
      </c>
      <c r="S873" s="8" t="s">
        <v>215</v>
      </c>
      <c r="T873" s="29" t="s">
        <v>3320</v>
      </c>
      <c r="U873" s="8" t="s">
        <v>172</v>
      </c>
      <c r="V873" s="8" t="s">
        <v>23</v>
      </c>
      <c r="W873" s="193">
        <v>2</v>
      </c>
      <c r="X873" s="8">
        <v>4</v>
      </c>
      <c r="Y873" s="8">
        <v>1</v>
      </c>
      <c r="Z873" s="8">
        <v>1</v>
      </c>
      <c r="AA873" s="193" t="s">
        <v>4150</v>
      </c>
      <c r="AB873" s="222"/>
    </row>
    <row r="874" spans="1:28" s="229" customFormat="1" ht="15" customHeight="1">
      <c r="A874" s="16">
        <v>873</v>
      </c>
      <c r="B874" s="14" t="s">
        <v>2896</v>
      </c>
      <c r="C874" s="14" t="str">
        <f>_xlfn.CONCAT(B874&amp;" "&amp;W874&amp;X874&amp;Y874&amp;Z874)</f>
        <v>C &amp; S Electric Ltd 1042</v>
      </c>
      <c r="D874" s="16">
        <v>998</v>
      </c>
      <c r="E874" s="9" t="s">
        <v>42</v>
      </c>
      <c r="F874" s="9"/>
      <c r="G874" s="24">
        <v>44555</v>
      </c>
      <c r="H874" s="24"/>
      <c r="I874" s="24"/>
      <c r="J874" s="24">
        <v>45278</v>
      </c>
      <c r="K874" s="24">
        <v>45643</v>
      </c>
      <c r="L874" s="32">
        <v>3</v>
      </c>
      <c r="M874" s="8"/>
      <c r="N874" s="8"/>
      <c r="O874" s="19"/>
      <c r="P874" s="8" t="s">
        <v>3321</v>
      </c>
      <c r="Q874" s="8" t="s">
        <v>4975</v>
      </c>
      <c r="R874" s="8" t="s">
        <v>834</v>
      </c>
      <c r="S874" s="8" t="s">
        <v>835</v>
      </c>
      <c r="T874" s="29" t="s">
        <v>3322</v>
      </c>
      <c r="U874" s="8" t="s">
        <v>836</v>
      </c>
      <c r="V874" s="8" t="s">
        <v>23</v>
      </c>
      <c r="W874" s="193">
        <v>1</v>
      </c>
      <c r="X874" s="8">
        <v>0</v>
      </c>
      <c r="Y874" s="8">
        <v>4</v>
      </c>
      <c r="Z874" s="8">
        <v>2</v>
      </c>
      <c r="AA874" s="193" t="s">
        <v>4118</v>
      </c>
      <c r="AB874" s="222"/>
    </row>
    <row r="875" spans="1:28" s="229" customFormat="1" ht="15" customHeight="1">
      <c r="A875" s="16">
        <v>874</v>
      </c>
      <c r="B875" s="14" t="s">
        <v>3323</v>
      </c>
      <c r="C875" s="14" t="str">
        <f>_xlfn.CONCAT(B875&amp;" "&amp;W875&amp;X875&amp;Y875&amp;Z875)</f>
        <v>Luxor International Pvt Ltd 1151</v>
      </c>
      <c r="D875" s="16">
        <v>996</v>
      </c>
      <c r="E875" s="9" t="s">
        <v>42</v>
      </c>
      <c r="F875" s="9"/>
      <c r="G875" s="24">
        <v>44559</v>
      </c>
      <c r="H875" s="24"/>
      <c r="I875" s="24"/>
      <c r="J875" s="24">
        <v>44559</v>
      </c>
      <c r="K875" s="24">
        <v>45654</v>
      </c>
      <c r="L875" s="32">
        <v>3</v>
      </c>
      <c r="M875" s="8"/>
      <c r="N875" s="8"/>
      <c r="O875" s="19">
        <v>9871390469</v>
      </c>
      <c r="P875" s="8" t="s">
        <v>2484</v>
      </c>
      <c r="Q875" s="8" t="s">
        <v>4976</v>
      </c>
      <c r="R875" s="8"/>
      <c r="S875" s="8" t="s">
        <v>185</v>
      </c>
      <c r="T875" s="29" t="s">
        <v>3324</v>
      </c>
      <c r="U875" s="8" t="s">
        <v>184</v>
      </c>
      <c r="V875" s="8" t="s">
        <v>23</v>
      </c>
      <c r="W875" s="193">
        <v>1</v>
      </c>
      <c r="X875" s="8">
        <v>1</v>
      </c>
      <c r="Y875" s="8">
        <v>5</v>
      </c>
      <c r="Z875" s="8">
        <v>1</v>
      </c>
      <c r="AA875" s="193" t="s">
        <v>4118</v>
      </c>
      <c r="AB875" s="222"/>
    </row>
    <row r="876" spans="1:28" s="229" customFormat="1" ht="15" customHeight="1">
      <c r="A876" s="16">
        <v>875</v>
      </c>
      <c r="B876" s="14" t="s">
        <v>3325</v>
      </c>
      <c r="C876" s="14" t="str">
        <f>_xlfn.CONCAT(B876&amp;" "&amp;W876&amp;X876&amp;Y876&amp;Z876)</f>
        <v>PMI Global Technologies Pvt Ltd 4023</v>
      </c>
      <c r="D876" s="16">
        <v>997</v>
      </c>
      <c r="E876" s="9" t="s">
        <v>42</v>
      </c>
      <c r="F876" s="9"/>
      <c r="G876" s="24">
        <v>44567</v>
      </c>
      <c r="H876" s="24"/>
      <c r="I876" s="24"/>
      <c r="J876" s="24">
        <v>44567</v>
      </c>
      <c r="K876" s="24">
        <v>44931</v>
      </c>
      <c r="L876" s="32">
        <v>3</v>
      </c>
      <c r="M876" s="8" t="s">
        <v>3326</v>
      </c>
      <c r="N876" s="8" t="s">
        <v>3327</v>
      </c>
      <c r="O876" s="19">
        <v>7338746885</v>
      </c>
      <c r="P876" s="8" t="s">
        <v>3328</v>
      </c>
      <c r="Q876" s="8" t="s">
        <v>4977</v>
      </c>
      <c r="R876" s="8" t="s">
        <v>3329</v>
      </c>
      <c r="S876" s="8" t="s">
        <v>37</v>
      </c>
      <c r="T876" s="29" t="s">
        <v>3330</v>
      </c>
      <c r="U876" s="8" t="s">
        <v>38</v>
      </c>
      <c r="V876" s="8" t="s">
        <v>23</v>
      </c>
      <c r="W876" s="193">
        <v>4</v>
      </c>
      <c r="X876" s="8">
        <v>0</v>
      </c>
      <c r="Y876" s="8">
        <v>2</v>
      </c>
      <c r="Z876" s="8">
        <v>3</v>
      </c>
      <c r="AA876" s="193" t="s">
        <v>4148</v>
      </c>
      <c r="AB876" s="222"/>
    </row>
    <row r="877" spans="1:28" s="229" customFormat="1" ht="15" customHeight="1">
      <c r="A877" s="16">
        <v>876</v>
      </c>
      <c r="B877" s="14" t="s">
        <v>2726</v>
      </c>
      <c r="C877" s="14" t="str">
        <f>_xlfn.CONCAT(B877&amp;" "&amp;W877&amp;X877&amp;Y877&amp;Z877)</f>
        <v>Shigan Quantum Technologies Pvt Ltd 1111</v>
      </c>
      <c r="D877" s="16">
        <v>928</v>
      </c>
      <c r="E877" s="9" t="s">
        <v>90</v>
      </c>
      <c r="F877" s="9"/>
      <c r="G877" s="24">
        <v>44579</v>
      </c>
      <c r="H877" s="24"/>
      <c r="I877" s="24"/>
      <c r="J877" s="24">
        <v>44579</v>
      </c>
      <c r="K877" s="24">
        <v>44943</v>
      </c>
      <c r="L877" s="32">
        <v>3</v>
      </c>
      <c r="M877" s="8" t="s">
        <v>3331</v>
      </c>
      <c r="N877" s="8" t="s">
        <v>968</v>
      </c>
      <c r="O877" s="19">
        <v>9599902752</v>
      </c>
      <c r="P877" s="8" t="s">
        <v>3332</v>
      </c>
      <c r="Q877" s="8" t="s">
        <v>4978</v>
      </c>
      <c r="R877" s="8" t="s">
        <v>2313</v>
      </c>
      <c r="S877" s="8" t="s">
        <v>428</v>
      </c>
      <c r="T877" s="29" t="s">
        <v>3333</v>
      </c>
      <c r="U877" s="8" t="s">
        <v>429</v>
      </c>
      <c r="V877" s="8" t="s">
        <v>23</v>
      </c>
      <c r="W877" s="193">
        <v>1</v>
      </c>
      <c r="X877" s="8">
        <v>1</v>
      </c>
      <c r="Y877" s="8">
        <v>1</v>
      </c>
      <c r="Z877" s="8">
        <v>1</v>
      </c>
      <c r="AA877" s="193" t="s">
        <v>4118</v>
      </c>
      <c r="AB877" s="222"/>
    </row>
    <row r="878" spans="1:28" s="229" customFormat="1" ht="15" customHeight="1">
      <c r="A878" s="16">
        <v>877</v>
      </c>
      <c r="B878" s="14" t="s">
        <v>3334</v>
      </c>
      <c r="C878" s="14" t="str">
        <f>_xlfn.CONCAT(B878&amp;" "&amp;W878&amp;X878&amp;Y878&amp;Z878)</f>
        <v>Steelman Broaches Pvt Ltd 1333</v>
      </c>
      <c r="D878" s="16">
        <v>1001</v>
      </c>
      <c r="E878" s="9" t="s">
        <v>42</v>
      </c>
      <c r="F878" s="9"/>
      <c r="G878" s="24">
        <v>44590</v>
      </c>
      <c r="H878" s="24"/>
      <c r="I878" s="24"/>
      <c r="J878" s="24">
        <v>44590</v>
      </c>
      <c r="K878" s="24">
        <v>45319</v>
      </c>
      <c r="L878" s="32">
        <v>3</v>
      </c>
      <c r="M878" s="8" t="s">
        <v>3335</v>
      </c>
      <c r="N878" s="8"/>
      <c r="O878" s="19">
        <v>9888369930</v>
      </c>
      <c r="P878" s="8" t="s">
        <v>3336</v>
      </c>
      <c r="Q878" s="8" t="s">
        <v>4979</v>
      </c>
      <c r="R878" s="8"/>
      <c r="S878" s="8" t="s">
        <v>3337</v>
      </c>
      <c r="T878" s="29" t="s">
        <v>3338</v>
      </c>
      <c r="U878" s="8" t="s">
        <v>1787</v>
      </c>
      <c r="V878" s="8" t="s">
        <v>23</v>
      </c>
      <c r="W878" s="193">
        <v>1</v>
      </c>
      <c r="X878" s="8">
        <v>3</v>
      </c>
      <c r="Y878" s="8">
        <v>3</v>
      </c>
      <c r="Z878" s="8">
        <v>3</v>
      </c>
      <c r="AA878" s="193" t="s">
        <v>4118</v>
      </c>
      <c r="AB878" s="222"/>
    </row>
    <row r="879" spans="1:28" s="229" customFormat="1" ht="15" customHeight="1">
      <c r="A879" s="16">
        <v>878</v>
      </c>
      <c r="B879" s="14" t="s">
        <v>2230</v>
      </c>
      <c r="C879" s="14" t="str">
        <f>_xlfn.CONCAT(B879&amp;" "&amp;W879&amp;X879&amp;Y879&amp;Z879)</f>
        <v>Brakes India Pvt Ltd 4041</v>
      </c>
      <c r="D879" s="16">
        <v>927</v>
      </c>
      <c r="E879" s="9" t="s">
        <v>90</v>
      </c>
      <c r="F879" s="9"/>
      <c r="G879" s="24">
        <v>44593</v>
      </c>
      <c r="H879" s="24"/>
      <c r="I879" s="24"/>
      <c r="J879" s="24">
        <v>44593</v>
      </c>
      <c r="K879" s="24">
        <v>44957</v>
      </c>
      <c r="L879" s="32">
        <v>3</v>
      </c>
      <c r="M879" s="8" t="s">
        <v>3339</v>
      </c>
      <c r="N879" s="8" t="s">
        <v>3340</v>
      </c>
      <c r="O879" s="19" t="s">
        <v>3341</v>
      </c>
      <c r="P879" s="8" t="s">
        <v>3342</v>
      </c>
      <c r="Q879" s="8" t="s">
        <v>4980</v>
      </c>
      <c r="R879" s="8" t="s">
        <v>961</v>
      </c>
      <c r="S879" s="8" t="s">
        <v>37</v>
      </c>
      <c r="T879" s="29" t="s">
        <v>3343</v>
      </c>
      <c r="U879" s="8" t="s">
        <v>38</v>
      </c>
      <c r="V879" s="8" t="s">
        <v>23</v>
      </c>
      <c r="W879" s="193">
        <v>4</v>
      </c>
      <c r="X879" s="8">
        <v>0</v>
      </c>
      <c r="Y879" s="8">
        <v>4</v>
      </c>
      <c r="Z879" s="8">
        <v>1</v>
      </c>
      <c r="AA879" s="193" t="s">
        <v>4148</v>
      </c>
      <c r="AB879" s="222"/>
    </row>
    <row r="880" spans="1:28" s="229" customFormat="1" ht="15" customHeight="1">
      <c r="A880" s="16">
        <v>879</v>
      </c>
      <c r="B880" s="14" t="s">
        <v>3344</v>
      </c>
      <c r="C880" s="14" t="str">
        <f>_xlfn.CONCAT(B880&amp;" "&amp;W880&amp;X880&amp;Y880&amp;Z880)</f>
        <v>Niraj Engg  2301</v>
      </c>
      <c r="D880" s="16">
        <v>999</v>
      </c>
      <c r="E880" s="9" t="s">
        <v>42</v>
      </c>
      <c r="F880" s="9"/>
      <c r="G880" s="24">
        <v>44601</v>
      </c>
      <c r="H880" s="24"/>
      <c r="I880" s="24"/>
      <c r="J880" s="24">
        <v>44601</v>
      </c>
      <c r="K880" s="24">
        <v>44965</v>
      </c>
      <c r="L880" s="32">
        <v>3</v>
      </c>
      <c r="M880" s="8" t="s">
        <v>3345</v>
      </c>
      <c r="N880" s="8"/>
      <c r="O880" s="19"/>
      <c r="P880" s="8" t="s">
        <v>3346</v>
      </c>
      <c r="Q880" s="8" t="s">
        <v>4981</v>
      </c>
      <c r="R880" s="8" t="s">
        <v>3347</v>
      </c>
      <c r="S880" s="8" t="s">
        <v>321</v>
      </c>
      <c r="T880" s="29" t="s">
        <v>3135</v>
      </c>
      <c r="U880" s="8" t="s">
        <v>172</v>
      </c>
      <c r="V880" s="8" t="s">
        <v>23</v>
      </c>
      <c r="W880" s="193">
        <v>2</v>
      </c>
      <c r="X880" s="8">
        <v>3</v>
      </c>
      <c r="Y880" s="8">
        <v>0</v>
      </c>
      <c r="Z880" s="8">
        <v>1</v>
      </c>
      <c r="AA880" s="193" t="s">
        <v>5215</v>
      </c>
      <c r="AB880" s="222"/>
    </row>
    <row r="881" spans="1:28" s="229" customFormat="1" ht="15" customHeight="1">
      <c r="A881" s="16">
        <v>880</v>
      </c>
      <c r="B881" s="14" t="s">
        <v>2401</v>
      </c>
      <c r="C881" s="14" t="str">
        <f>_xlfn.CONCAT(B881&amp;" "&amp;W881&amp;X881&amp;Y881&amp;Z881)</f>
        <v>Oswin Industries 1334</v>
      </c>
      <c r="D881" s="16">
        <v>929</v>
      </c>
      <c r="E881" s="9" t="s">
        <v>90</v>
      </c>
      <c r="F881" s="9"/>
      <c r="G881" s="24">
        <v>44608</v>
      </c>
      <c r="H881" s="24"/>
      <c r="I881" s="24"/>
      <c r="J881" s="24">
        <v>44608</v>
      </c>
      <c r="K881" s="24">
        <v>45337</v>
      </c>
      <c r="L881" s="32">
        <v>3</v>
      </c>
      <c r="M881" s="8" t="s">
        <v>3348</v>
      </c>
      <c r="N881" s="8"/>
      <c r="O881" s="19">
        <v>9872685267</v>
      </c>
      <c r="P881" s="8" t="s">
        <v>2934</v>
      </c>
      <c r="Q881" s="8" t="s">
        <v>4982</v>
      </c>
      <c r="R881" s="8" t="s">
        <v>3349</v>
      </c>
      <c r="S881" s="8" t="s">
        <v>2935</v>
      </c>
      <c r="T881" s="29">
        <v>140507</v>
      </c>
      <c r="U881" s="8" t="s">
        <v>1787</v>
      </c>
      <c r="V881" s="8" t="s">
        <v>23</v>
      </c>
      <c r="W881" s="193">
        <v>1</v>
      </c>
      <c r="X881" s="8">
        <v>3</v>
      </c>
      <c r="Y881" s="8">
        <v>3</v>
      </c>
      <c r="Z881" s="8">
        <v>4</v>
      </c>
      <c r="AA881" s="193" t="s">
        <v>4118</v>
      </c>
      <c r="AB881" s="222"/>
    </row>
    <row r="882" spans="1:28" s="229" customFormat="1" ht="15" customHeight="1">
      <c r="A882" s="16">
        <v>881</v>
      </c>
      <c r="B882" s="14" t="s">
        <v>3350</v>
      </c>
      <c r="C882" s="14" t="str">
        <f>_xlfn.CONCAT(B882&amp;" "&amp;W882&amp;X882&amp;Y882&amp;Z882)</f>
        <v>EL-Chico Clutch Pvt Ltd 1161</v>
      </c>
      <c r="D882" s="16">
        <v>969</v>
      </c>
      <c r="E882" s="9" t="s">
        <v>2082</v>
      </c>
      <c r="F882" s="9"/>
      <c r="G882" s="24">
        <v>44613</v>
      </c>
      <c r="H882" s="24"/>
      <c r="I882" s="24"/>
      <c r="J882" s="24">
        <v>44613</v>
      </c>
      <c r="K882" s="24">
        <v>45342</v>
      </c>
      <c r="L882" s="32">
        <v>3</v>
      </c>
      <c r="M882" s="8" t="s">
        <v>3351</v>
      </c>
      <c r="N882" s="8"/>
      <c r="O882" s="19">
        <v>9871992354</v>
      </c>
      <c r="P882" s="8"/>
      <c r="Q882" s="8" t="s">
        <v>4983</v>
      </c>
      <c r="R882" s="8"/>
      <c r="S882" s="8" t="s">
        <v>454</v>
      </c>
      <c r="T882" s="29" t="s">
        <v>3352</v>
      </c>
      <c r="U882" s="8" t="s">
        <v>429</v>
      </c>
      <c r="V882" s="8" t="s">
        <v>23</v>
      </c>
      <c r="W882" s="193">
        <v>1</v>
      </c>
      <c r="X882" s="8">
        <v>1</v>
      </c>
      <c r="Y882" s="8">
        <v>6</v>
      </c>
      <c r="Z882" s="8">
        <v>1</v>
      </c>
      <c r="AA882" s="193" t="s">
        <v>4118</v>
      </c>
      <c r="AB882" s="222"/>
    </row>
    <row r="883" spans="1:28" s="229" customFormat="1" ht="15" customHeight="1">
      <c r="A883" s="16">
        <v>882</v>
      </c>
      <c r="B883" s="14" t="s">
        <v>3353</v>
      </c>
      <c r="C883" s="14" t="str">
        <f>_xlfn.CONCAT(B883&amp;" "&amp;W883&amp;X883&amp;Y883&amp;Z883)</f>
        <v>G.N.Surgicals 1141</v>
      </c>
      <c r="D883" s="16">
        <v>1004</v>
      </c>
      <c r="E883" s="9" t="s">
        <v>42</v>
      </c>
      <c r="F883" s="9"/>
      <c r="G883" s="24">
        <v>44624</v>
      </c>
      <c r="H883" s="24"/>
      <c r="I883" s="24"/>
      <c r="J883" s="24">
        <v>44624</v>
      </c>
      <c r="K883" s="24">
        <v>44987</v>
      </c>
      <c r="L883" s="32">
        <v>3</v>
      </c>
      <c r="M883" s="8" t="s">
        <v>3354</v>
      </c>
      <c r="N883" s="8"/>
      <c r="O883" s="19">
        <v>9549884777</v>
      </c>
      <c r="P883" s="8" t="s">
        <v>3355</v>
      </c>
      <c r="Q883" s="8" t="s">
        <v>4984</v>
      </c>
      <c r="R883" s="8" t="s">
        <v>3356</v>
      </c>
      <c r="S883" s="8" t="s">
        <v>1233</v>
      </c>
      <c r="T883" s="29" t="s">
        <v>3357</v>
      </c>
      <c r="U883" s="8" t="s">
        <v>184</v>
      </c>
      <c r="V883" s="8" t="s">
        <v>23</v>
      </c>
      <c r="W883" s="193">
        <v>1</v>
      </c>
      <c r="X883" s="8">
        <v>1</v>
      </c>
      <c r="Y883" s="8">
        <v>4</v>
      </c>
      <c r="Z883" s="8">
        <v>1</v>
      </c>
      <c r="AA883" s="193" t="s">
        <v>4118</v>
      </c>
      <c r="AB883" s="222"/>
    </row>
    <row r="884" spans="1:28" s="229" customFormat="1" ht="15" customHeight="1">
      <c r="A884" s="16">
        <v>883</v>
      </c>
      <c r="B884" s="14" t="s">
        <v>3358</v>
      </c>
      <c r="C884" s="14" t="str">
        <f>_xlfn.CONCAT(B884&amp;" "&amp;W884&amp;X884&amp;Y884&amp;Z884)</f>
        <v>Rapid Industries (Hydrobenz Industries Pvt Ltd) 5301</v>
      </c>
      <c r="D884" s="16">
        <v>968</v>
      </c>
      <c r="E884" s="9" t="s">
        <v>3359</v>
      </c>
      <c r="F884" s="9"/>
      <c r="G884" s="24">
        <v>44624</v>
      </c>
      <c r="H884" s="24"/>
      <c r="I884" s="24"/>
      <c r="J884" s="24">
        <v>44624</v>
      </c>
      <c r="K884" s="24">
        <v>44987</v>
      </c>
      <c r="L884" s="32">
        <v>3</v>
      </c>
      <c r="M884" s="8" t="s">
        <v>3360</v>
      </c>
      <c r="N884" s="8" t="s">
        <v>3361</v>
      </c>
      <c r="O884" s="19" t="s">
        <v>3362</v>
      </c>
      <c r="P884" s="8" t="s">
        <v>3363</v>
      </c>
      <c r="Q884" s="8" t="s">
        <v>4985</v>
      </c>
      <c r="R884" s="8" t="s">
        <v>3364</v>
      </c>
      <c r="S884" s="8" t="s">
        <v>1131</v>
      </c>
      <c r="T884" s="29" t="s">
        <v>3365</v>
      </c>
      <c r="U884" s="8" t="s">
        <v>144</v>
      </c>
      <c r="V884" s="8" t="s">
        <v>23</v>
      </c>
      <c r="W884" s="193">
        <v>5</v>
      </c>
      <c r="X884" s="8">
        <v>3</v>
      </c>
      <c r="Y884" s="8">
        <v>0</v>
      </c>
      <c r="Z884" s="8">
        <v>1</v>
      </c>
      <c r="AA884" s="193" t="s">
        <v>4135</v>
      </c>
      <c r="AB884" s="222"/>
    </row>
    <row r="885" spans="1:28" s="229" customFormat="1" ht="15" customHeight="1">
      <c r="A885" s="16">
        <v>884</v>
      </c>
      <c r="B885" s="14" t="s">
        <v>3366</v>
      </c>
      <c r="C885" s="14" t="str">
        <f>_xlfn.CONCAT(B885&amp;" "&amp;W885&amp;X885&amp;Y885&amp;Z885)</f>
        <v>Shree Engineers 2411</v>
      </c>
      <c r="D885" s="16">
        <v>1003</v>
      </c>
      <c r="E885" s="9" t="s">
        <v>42</v>
      </c>
      <c r="F885" s="9"/>
      <c r="G885" s="24">
        <v>44625</v>
      </c>
      <c r="H885" s="24"/>
      <c r="I885" s="24"/>
      <c r="J885" s="24">
        <v>44625</v>
      </c>
      <c r="K885" s="24">
        <v>45720</v>
      </c>
      <c r="L885" s="32">
        <v>3</v>
      </c>
      <c r="M885" s="8" t="s">
        <v>3367</v>
      </c>
      <c r="N885" s="8" t="s">
        <v>3361</v>
      </c>
      <c r="O885" s="19">
        <v>9822027255</v>
      </c>
      <c r="P885" s="8" t="s">
        <v>3368</v>
      </c>
      <c r="Q885" s="8" t="s">
        <v>4986</v>
      </c>
      <c r="R885" s="8" t="s">
        <v>3369</v>
      </c>
      <c r="S885" s="8" t="s">
        <v>215</v>
      </c>
      <c r="T885" s="29" t="s">
        <v>3370</v>
      </c>
      <c r="U885" s="8" t="s">
        <v>172</v>
      </c>
      <c r="V885" s="8" t="s">
        <v>23</v>
      </c>
      <c r="W885" s="193">
        <v>2</v>
      </c>
      <c r="X885" s="8">
        <v>4</v>
      </c>
      <c r="Y885" s="8">
        <v>1</v>
      </c>
      <c r="Z885" s="8">
        <v>1</v>
      </c>
      <c r="AA885" s="193" t="s">
        <v>4150</v>
      </c>
      <c r="AB885" s="222"/>
    </row>
    <row r="886" spans="1:28" s="229" customFormat="1" ht="15" customHeight="1">
      <c r="A886" s="16">
        <v>885</v>
      </c>
      <c r="B886" s="14" t="s">
        <v>3371</v>
      </c>
      <c r="C886" s="14" t="str">
        <f>_xlfn.CONCAT(B886&amp;" "&amp;W886&amp;X886&amp;Y886&amp;Z886)</f>
        <v>S R Enterprises 8033</v>
      </c>
      <c r="D886" s="16">
        <v>930</v>
      </c>
      <c r="E886" s="9" t="s">
        <v>90</v>
      </c>
      <c r="F886" s="9"/>
      <c r="G886" s="24">
        <v>44641</v>
      </c>
      <c r="H886" s="24"/>
      <c r="I886" s="24"/>
      <c r="J886" s="24">
        <v>44641</v>
      </c>
      <c r="K886" s="24">
        <v>45005</v>
      </c>
      <c r="L886" s="32">
        <v>3</v>
      </c>
      <c r="M886" s="8" t="s">
        <v>3372</v>
      </c>
      <c r="N886" s="8"/>
      <c r="O886" s="19">
        <v>9620788023</v>
      </c>
      <c r="P886" s="8" t="s">
        <v>3373</v>
      </c>
      <c r="Q886" s="8" t="s">
        <v>4987</v>
      </c>
      <c r="R886" s="8" t="s">
        <v>3374</v>
      </c>
      <c r="S886" s="8" t="s">
        <v>275</v>
      </c>
      <c r="T886" s="29" t="s">
        <v>3375</v>
      </c>
      <c r="U886" s="8" t="s">
        <v>22</v>
      </c>
      <c r="V886" s="8" t="s">
        <v>23</v>
      </c>
      <c r="W886" s="193">
        <v>8</v>
      </c>
      <c r="X886" s="8">
        <v>0</v>
      </c>
      <c r="Y886" s="8">
        <v>3</v>
      </c>
      <c r="Z886" s="8">
        <v>3</v>
      </c>
      <c r="AA886" s="193" t="s">
        <v>4118</v>
      </c>
      <c r="AB886" s="222"/>
    </row>
    <row r="887" spans="1:28" s="229" customFormat="1" ht="15" customHeight="1">
      <c r="A887" s="16">
        <v>886</v>
      </c>
      <c r="B887" s="14" t="s">
        <v>3376</v>
      </c>
      <c r="C887" s="14" t="str">
        <f>_xlfn.CONCAT(B887&amp;" "&amp;W887&amp;X887&amp;Y887&amp;Z887)</f>
        <v>Micro Tech 4161</v>
      </c>
      <c r="D887" s="16">
        <v>988</v>
      </c>
      <c r="E887" s="9" t="s">
        <v>42</v>
      </c>
      <c r="F887" s="9"/>
      <c r="G887" s="24">
        <v>44642</v>
      </c>
      <c r="H887" s="24"/>
      <c r="I887" s="24"/>
      <c r="J887" s="24">
        <v>44642</v>
      </c>
      <c r="K887" s="24">
        <v>45006</v>
      </c>
      <c r="L887" s="32">
        <v>3</v>
      </c>
      <c r="M887" s="8" t="s">
        <v>3377</v>
      </c>
      <c r="N887" s="8"/>
      <c r="O887" s="19">
        <v>9944796108</v>
      </c>
      <c r="P887" s="8" t="s">
        <v>3378</v>
      </c>
      <c r="Q887" s="8" t="s">
        <v>4988</v>
      </c>
      <c r="R887" s="8" t="s">
        <v>3379</v>
      </c>
      <c r="S887" s="8" t="s">
        <v>101</v>
      </c>
      <c r="T887" s="29" t="s">
        <v>3380</v>
      </c>
      <c r="U887" s="8" t="s">
        <v>38</v>
      </c>
      <c r="V887" s="8" t="s">
        <v>23</v>
      </c>
      <c r="W887" s="193">
        <v>4</v>
      </c>
      <c r="X887" s="8">
        <v>1</v>
      </c>
      <c r="Y887" s="8">
        <v>6</v>
      </c>
      <c r="Z887" s="8">
        <v>1</v>
      </c>
      <c r="AA887" s="193" t="s">
        <v>4148</v>
      </c>
      <c r="AB887" s="222"/>
    </row>
    <row r="888" spans="1:28" s="229" customFormat="1" ht="15" customHeight="1">
      <c r="A888" s="16">
        <v>887</v>
      </c>
      <c r="B888" s="14" t="s">
        <v>3381</v>
      </c>
      <c r="C888" s="14" t="str">
        <f>_xlfn.CONCAT(B888&amp;" "&amp;W888&amp;X888&amp;Y888&amp;Z888)</f>
        <v>Grindstar Tools and Machinery (Shabari Impacts) 8051</v>
      </c>
      <c r="D888" s="16" t="s">
        <v>5222</v>
      </c>
      <c r="E888" s="9" t="s">
        <v>42</v>
      </c>
      <c r="F888" s="9"/>
      <c r="G888" s="24">
        <v>44644</v>
      </c>
      <c r="H888" s="24"/>
      <c r="I888" s="24"/>
      <c r="J888" s="24">
        <v>45009</v>
      </c>
      <c r="K888" s="24">
        <v>45008</v>
      </c>
      <c r="L888" s="32">
        <v>3</v>
      </c>
      <c r="M888" s="8" t="s">
        <v>3382</v>
      </c>
      <c r="N888" s="8"/>
      <c r="O888" s="19">
        <v>9900083477</v>
      </c>
      <c r="P888" s="8" t="s">
        <v>3383</v>
      </c>
      <c r="Q888" s="8" t="s">
        <v>4989</v>
      </c>
      <c r="R888" s="8" t="s">
        <v>1512</v>
      </c>
      <c r="S888" s="8" t="s">
        <v>21</v>
      </c>
      <c r="T888" s="29" t="s">
        <v>3063</v>
      </c>
      <c r="U888" s="8" t="s">
        <v>22</v>
      </c>
      <c r="V888" s="8" t="s">
        <v>23</v>
      </c>
      <c r="W888" s="193">
        <v>8</v>
      </c>
      <c r="X888" s="8">
        <v>0</v>
      </c>
      <c r="Y888" s="8">
        <v>5</v>
      </c>
      <c r="Z888" s="8">
        <v>1</v>
      </c>
      <c r="AA888" s="193" t="s">
        <v>4118</v>
      </c>
      <c r="AB888" s="222"/>
    </row>
    <row r="889" spans="1:28" s="229" customFormat="1" ht="15" customHeight="1">
      <c r="A889" s="16">
        <v>888</v>
      </c>
      <c r="B889" s="14" t="s">
        <v>2629</v>
      </c>
      <c r="C889" s="14" t="str">
        <f>_xlfn.CONCAT(B889&amp;" "&amp;W889&amp;X889&amp;Y889&amp;Z889)</f>
        <v>Sujay Industries 8012</v>
      </c>
      <c r="D889" s="16">
        <v>1008</v>
      </c>
      <c r="E889" s="9" t="s">
        <v>42</v>
      </c>
      <c r="F889" s="9"/>
      <c r="G889" s="24">
        <v>44648</v>
      </c>
      <c r="H889" s="24"/>
      <c r="I889" s="24"/>
      <c r="J889" s="24">
        <v>44648</v>
      </c>
      <c r="K889" s="24">
        <v>45012</v>
      </c>
      <c r="L889" s="32">
        <v>3</v>
      </c>
      <c r="M889" s="8" t="s">
        <v>3384</v>
      </c>
      <c r="N889" s="8"/>
      <c r="O889" s="19">
        <v>8722940086</v>
      </c>
      <c r="P889" s="8" t="s">
        <v>3385</v>
      </c>
      <c r="Q889" s="8" t="s">
        <v>4990</v>
      </c>
      <c r="R889" s="8"/>
      <c r="S889" s="8" t="s">
        <v>21</v>
      </c>
      <c r="T889" s="29" t="s">
        <v>3386</v>
      </c>
      <c r="U889" s="8" t="s">
        <v>22</v>
      </c>
      <c r="V889" s="8" t="s">
        <v>23</v>
      </c>
      <c r="W889" s="193">
        <v>8</v>
      </c>
      <c r="X889" s="8">
        <v>0</v>
      </c>
      <c r="Y889" s="8">
        <v>1</v>
      </c>
      <c r="Z889" s="8">
        <v>2</v>
      </c>
      <c r="AA889" s="193" t="s">
        <v>4118</v>
      </c>
      <c r="AB889" s="222"/>
    </row>
    <row r="890" spans="1:28" s="229" customFormat="1" ht="15" customHeight="1">
      <c r="A890" s="16">
        <v>889</v>
      </c>
      <c r="B890" s="14" t="s">
        <v>3387</v>
      </c>
      <c r="C890" s="14" t="str">
        <f>_xlfn.CONCAT(B890&amp;" "&amp;W890&amp;X890&amp;Y890&amp;Z890)</f>
        <v>V.S.R. Private Limited 4101</v>
      </c>
      <c r="D890" s="16">
        <v>970</v>
      </c>
      <c r="E890" s="9" t="s">
        <v>2082</v>
      </c>
      <c r="F890" s="9"/>
      <c r="G890" s="24">
        <v>44651</v>
      </c>
      <c r="H890" s="24"/>
      <c r="I890" s="24"/>
      <c r="J890" s="24">
        <v>44651</v>
      </c>
      <c r="K890" s="24">
        <v>45015</v>
      </c>
      <c r="L890" s="32">
        <v>3</v>
      </c>
      <c r="M890" s="8" t="s">
        <v>3388</v>
      </c>
      <c r="N890" s="8"/>
      <c r="O890" s="19">
        <v>9600038668</v>
      </c>
      <c r="P890" s="8" t="s">
        <v>3389</v>
      </c>
      <c r="Q890" s="8" t="s">
        <v>4991</v>
      </c>
      <c r="R890" s="8"/>
      <c r="S890" s="8" t="s">
        <v>894</v>
      </c>
      <c r="T890" s="29" t="s">
        <v>3390</v>
      </c>
      <c r="U890" s="8" t="s">
        <v>22</v>
      </c>
      <c r="V890" s="8" t="s">
        <v>23</v>
      </c>
      <c r="W890" s="193">
        <v>4</v>
      </c>
      <c r="X890" s="8">
        <v>1</v>
      </c>
      <c r="Y890" s="8">
        <v>0</v>
      </c>
      <c r="Z890" s="8">
        <v>1</v>
      </c>
      <c r="AA890" s="193" t="s">
        <v>4148</v>
      </c>
      <c r="AB890" s="222"/>
    </row>
    <row r="891" spans="1:28" s="229" customFormat="1" ht="15" customHeight="1">
      <c r="A891" s="16">
        <v>890</v>
      </c>
      <c r="B891" s="14" t="s">
        <v>2754</v>
      </c>
      <c r="C891" s="14" t="str">
        <f>_xlfn.CONCAT(B891&amp;" "&amp;W891&amp;X891&amp;Y891&amp;Z891)</f>
        <v>Motherson Techno Tools Limited 1151</v>
      </c>
      <c r="D891" s="16">
        <v>1009</v>
      </c>
      <c r="E891" s="9" t="s">
        <v>3391</v>
      </c>
      <c r="F891" s="9"/>
      <c r="G891" s="24">
        <v>44655</v>
      </c>
      <c r="H891" s="24"/>
      <c r="I891" s="24"/>
      <c r="J891" s="24">
        <v>44655</v>
      </c>
      <c r="K891" s="24">
        <v>45385</v>
      </c>
      <c r="L891" s="32">
        <v>3</v>
      </c>
      <c r="M891" s="8" t="s">
        <v>3392</v>
      </c>
      <c r="N891" s="8" t="s">
        <v>3393</v>
      </c>
      <c r="O891" s="19">
        <v>9311166029</v>
      </c>
      <c r="P891" s="8" t="s">
        <v>2756</v>
      </c>
      <c r="Q891" s="8" t="s">
        <v>4992</v>
      </c>
      <c r="R891" s="8"/>
      <c r="S891" s="8" t="s">
        <v>185</v>
      </c>
      <c r="T891" s="29" t="s">
        <v>3091</v>
      </c>
      <c r="U891" s="8" t="s">
        <v>184</v>
      </c>
      <c r="V891" s="8" t="s">
        <v>23</v>
      </c>
      <c r="W891" s="193">
        <v>1</v>
      </c>
      <c r="X891" s="8">
        <v>1</v>
      </c>
      <c r="Y891" s="8">
        <v>5</v>
      </c>
      <c r="Z891" s="8">
        <v>1</v>
      </c>
      <c r="AA891" s="193" t="s">
        <v>4118</v>
      </c>
      <c r="AB891" s="222"/>
    </row>
    <row r="892" spans="1:28" s="229" customFormat="1" ht="15" customHeight="1">
      <c r="A892" s="16">
        <v>891</v>
      </c>
      <c r="B892" s="14" t="s">
        <v>3053</v>
      </c>
      <c r="C892" s="14" t="str">
        <f>_xlfn.CONCAT(B892&amp;" "&amp;W892&amp;X892&amp;Y892&amp;Z892)</f>
        <v>Terminal Technologies (I) Pvt Ltd 2112</v>
      </c>
      <c r="D892" s="16">
        <v>1005</v>
      </c>
      <c r="E892" s="9" t="s">
        <v>42</v>
      </c>
      <c r="F892" s="9"/>
      <c r="G892" s="24">
        <v>44664</v>
      </c>
      <c r="H892" s="24"/>
      <c r="I892" s="24"/>
      <c r="J892" s="24">
        <v>44664</v>
      </c>
      <c r="K892" s="24">
        <v>45394</v>
      </c>
      <c r="L892" s="32">
        <v>3</v>
      </c>
      <c r="M892" s="8" t="s">
        <v>3394</v>
      </c>
      <c r="N892" s="8"/>
      <c r="O892" s="19">
        <v>9545455067</v>
      </c>
      <c r="P892" s="8" t="s">
        <v>2141</v>
      </c>
      <c r="Q892" s="8" t="s">
        <v>4817</v>
      </c>
      <c r="R892" s="8" t="s">
        <v>2557</v>
      </c>
      <c r="S892" s="8" t="s">
        <v>178</v>
      </c>
      <c r="T892" s="29" t="s">
        <v>3293</v>
      </c>
      <c r="U892" s="8" t="s">
        <v>172</v>
      </c>
      <c r="V892" s="8" t="s">
        <v>23</v>
      </c>
      <c r="W892" s="193">
        <v>2</v>
      </c>
      <c r="X892" s="8">
        <v>1</v>
      </c>
      <c r="Y892" s="8">
        <v>1</v>
      </c>
      <c r="Z892" s="8">
        <v>2</v>
      </c>
      <c r="AA892" s="193" t="s">
        <v>4118</v>
      </c>
      <c r="AB892" s="222"/>
    </row>
    <row r="893" spans="1:28" s="229" customFormat="1" ht="15" customHeight="1">
      <c r="A893" s="16">
        <v>892</v>
      </c>
      <c r="B893" s="14" t="s">
        <v>3053</v>
      </c>
      <c r="C893" s="14" t="str">
        <f>_xlfn.CONCAT(B893&amp;" "&amp;W893&amp;X893&amp;Y893&amp;Z893)</f>
        <v>Terminal Technologies (I) Pvt Ltd 2421</v>
      </c>
      <c r="D893" s="16">
        <v>1006</v>
      </c>
      <c r="E893" s="9" t="s">
        <v>42</v>
      </c>
      <c r="F893" s="9"/>
      <c r="G893" s="24">
        <v>44664</v>
      </c>
      <c r="H893" s="24"/>
      <c r="I893" s="24"/>
      <c r="J893" s="24">
        <v>44664</v>
      </c>
      <c r="K893" s="24">
        <v>45394</v>
      </c>
      <c r="L893" s="32">
        <v>3</v>
      </c>
      <c r="M893" s="8" t="s">
        <v>3057</v>
      </c>
      <c r="N893" s="8" t="s">
        <v>2537</v>
      </c>
      <c r="O893" s="19">
        <v>9545455045</v>
      </c>
      <c r="P893" s="8" t="s">
        <v>3395</v>
      </c>
      <c r="Q893" s="8" t="s">
        <v>4993</v>
      </c>
      <c r="R893" s="8" t="s">
        <v>480</v>
      </c>
      <c r="S893" s="8" t="s">
        <v>215</v>
      </c>
      <c r="T893" s="29" t="s">
        <v>3116</v>
      </c>
      <c r="U893" s="8" t="s">
        <v>172</v>
      </c>
      <c r="V893" s="8" t="s">
        <v>23</v>
      </c>
      <c r="W893" s="193">
        <v>2</v>
      </c>
      <c r="X893" s="8">
        <v>4</v>
      </c>
      <c r="Y893" s="8">
        <v>2</v>
      </c>
      <c r="Z893" s="8">
        <v>1</v>
      </c>
      <c r="AA893" s="193" t="s">
        <v>4151</v>
      </c>
      <c r="AB893" s="222"/>
    </row>
    <row r="894" spans="1:28" s="229" customFormat="1" ht="15" customHeight="1">
      <c r="A894" s="16">
        <v>893</v>
      </c>
      <c r="B894" s="14" t="s">
        <v>3053</v>
      </c>
      <c r="C894" s="14" t="str">
        <f>_xlfn.CONCAT(B894&amp;" "&amp;W894&amp;X894&amp;Y894&amp;Z894)</f>
        <v>Terminal Technologies (I) Pvt Ltd 2421</v>
      </c>
      <c r="D894" s="16">
        <v>1007</v>
      </c>
      <c r="E894" s="9" t="s">
        <v>42</v>
      </c>
      <c r="F894" s="9"/>
      <c r="G894" s="24">
        <v>44664</v>
      </c>
      <c r="H894" s="24"/>
      <c r="I894" s="24"/>
      <c r="J894" s="24">
        <v>44664</v>
      </c>
      <c r="K894" s="24">
        <v>45394</v>
      </c>
      <c r="L894" s="32">
        <v>3</v>
      </c>
      <c r="M894" s="8" t="s">
        <v>3057</v>
      </c>
      <c r="N894" s="8" t="s">
        <v>2537</v>
      </c>
      <c r="O894" s="19">
        <v>9545455045</v>
      </c>
      <c r="P894" s="8" t="s">
        <v>3395</v>
      </c>
      <c r="Q894" s="8" t="s">
        <v>4993</v>
      </c>
      <c r="R894" s="8" t="s">
        <v>480</v>
      </c>
      <c r="S894" s="8" t="s">
        <v>215</v>
      </c>
      <c r="T894" s="29" t="s">
        <v>3116</v>
      </c>
      <c r="U894" s="8" t="s">
        <v>172</v>
      </c>
      <c r="V894" s="8" t="s">
        <v>23</v>
      </c>
      <c r="W894" s="193">
        <v>2</v>
      </c>
      <c r="X894" s="8">
        <v>4</v>
      </c>
      <c r="Y894" s="8">
        <v>2</v>
      </c>
      <c r="Z894" s="8">
        <v>1</v>
      </c>
      <c r="AA894" s="193" t="s">
        <v>4151</v>
      </c>
      <c r="AB894" s="222"/>
    </row>
    <row r="895" spans="1:28" s="229" customFormat="1" ht="15" customHeight="1">
      <c r="A895" s="16">
        <v>894</v>
      </c>
      <c r="B895" s="14" t="s">
        <v>3396</v>
      </c>
      <c r="C895" s="14" t="str">
        <f>_xlfn.CONCAT(B895&amp;" "&amp;W895&amp;X895&amp;Y895&amp;Z895)</f>
        <v>Hisar Steels Pvt Ltd 0000</v>
      </c>
      <c r="D895" s="16">
        <v>1010</v>
      </c>
      <c r="E895" s="9" t="s">
        <v>42</v>
      </c>
      <c r="F895" s="9"/>
      <c r="G895" s="24">
        <v>44667</v>
      </c>
      <c r="H895" s="24"/>
      <c r="I895" s="24"/>
      <c r="J895" s="24">
        <v>44667</v>
      </c>
      <c r="K895" s="24">
        <v>45397</v>
      </c>
      <c r="L895" s="32">
        <v>3</v>
      </c>
      <c r="M895" s="8" t="s">
        <v>3397</v>
      </c>
      <c r="N895" s="8"/>
      <c r="O895" s="19">
        <v>9996477640</v>
      </c>
      <c r="P895" s="8" t="s">
        <v>3398</v>
      </c>
      <c r="Q895" s="8" t="s">
        <v>4994</v>
      </c>
      <c r="R895" s="8"/>
      <c r="S895" s="8" t="s">
        <v>3399</v>
      </c>
      <c r="T895" s="29" t="s">
        <v>3400</v>
      </c>
      <c r="U895" s="8" t="s">
        <v>429</v>
      </c>
      <c r="V895" s="8" t="s">
        <v>23</v>
      </c>
      <c r="W895" s="193">
        <v>0</v>
      </c>
      <c r="X895" s="8">
        <v>0</v>
      </c>
      <c r="Y895" s="8">
        <v>0</v>
      </c>
      <c r="Z895" s="8">
        <v>0</v>
      </c>
      <c r="AA895" s="193">
        <v>0</v>
      </c>
      <c r="AB895" s="222"/>
    </row>
    <row r="896" spans="1:28" s="229" customFormat="1" ht="15" customHeight="1">
      <c r="A896" s="16">
        <v>895</v>
      </c>
      <c r="B896" s="14" t="s">
        <v>3401</v>
      </c>
      <c r="C896" s="14" t="str">
        <f>_xlfn.CONCAT(B896&amp;" "&amp;W896&amp;X896&amp;Y896&amp;Z896)</f>
        <v>Coindia Modern Tool Room 4161</v>
      </c>
      <c r="D896" s="16">
        <v>971</v>
      </c>
      <c r="E896" s="9" t="s">
        <v>2082</v>
      </c>
      <c r="F896" s="9"/>
      <c r="G896" s="24">
        <v>44673</v>
      </c>
      <c r="H896" s="24"/>
      <c r="I896" s="24"/>
      <c r="J896" s="24">
        <v>44673</v>
      </c>
      <c r="K896" s="24">
        <v>45038</v>
      </c>
      <c r="L896" s="32">
        <v>3</v>
      </c>
      <c r="M896" s="8" t="s">
        <v>3402</v>
      </c>
      <c r="N896" s="8" t="s">
        <v>3403</v>
      </c>
      <c r="O896" s="19">
        <v>9944111479</v>
      </c>
      <c r="P896" s="8" t="s">
        <v>3404</v>
      </c>
      <c r="Q896" s="8" t="s">
        <v>4995</v>
      </c>
      <c r="R896" s="8" t="s">
        <v>3405</v>
      </c>
      <c r="S896" s="8" t="s">
        <v>101</v>
      </c>
      <c r="T896" s="29" t="s">
        <v>3406</v>
      </c>
      <c r="U896" s="8" t="s">
        <v>38</v>
      </c>
      <c r="V896" s="8" t="s">
        <v>23</v>
      </c>
      <c r="W896" s="193">
        <v>4</v>
      </c>
      <c r="X896" s="8">
        <v>1</v>
      </c>
      <c r="Y896" s="8">
        <v>6</v>
      </c>
      <c r="Z896" s="8">
        <v>1</v>
      </c>
      <c r="AA896" s="193" t="s">
        <v>4148</v>
      </c>
      <c r="AB896" s="222"/>
    </row>
    <row r="897" spans="1:28" s="229" customFormat="1" ht="15" customHeight="1">
      <c r="A897" s="16">
        <v>896</v>
      </c>
      <c r="B897" s="14" t="s">
        <v>3407</v>
      </c>
      <c r="C897" s="14" t="str">
        <f>_xlfn.CONCAT(B897&amp;" "&amp;W897&amp;X897&amp;Y897&amp;Z897)</f>
        <v>Future Brake Components 1162</v>
      </c>
      <c r="D897" s="16">
        <v>1012</v>
      </c>
      <c r="E897" s="9" t="s">
        <v>42</v>
      </c>
      <c r="F897" s="9"/>
      <c r="G897" s="24">
        <v>44673</v>
      </c>
      <c r="H897" s="24"/>
      <c r="I897" s="24"/>
      <c r="J897" s="24">
        <v>44673</v>
      </c>
      <c r="K897" s="24">
        <v>45038</v>
      </c>
      <c r="L897" s="32">
        <v>3</v>
      </c>
      <c r="M897" s="8" t="s">
        <v>3408</v>
      </c>
      <c r="N897" s="8" t="s">
        <v>3409</v>
      </c>
      <c r="O897" s="19">
        <v>9599917664</v>
      </c>
      <c r="P897" s="8" t="s">
        <v>3410</v>
      </c>
      <c r="Q897" s="8" t="s">
        <v>4996</v>
      </c>
      <c r="R897" s="8"/>
      <c r="S897" s="8" t="s">
        <v>80</v>
      </c>
      <c r="T897" s="29" t="s">
        <v>3411</v>
      </c>
      <c r="U897" s="8" t="s">
        <v>81</v>
      </c>
      <c r="V897" s="8" t="s">
        <v>23</v>
      </c>
      <c r="W897" s="193">
        <v>1</v>
      </c>
      <c r="X897" s="8">
        <v>1</v>
      </c>
      <c r="Y897" s="8">
        <v>6</v>
      </c>
      <c r="Z897" s="8">
        <v>2</v>
      </c>
      <c r="AA897" s="193" t="s">
        <v>4118</v>
      </c>
      <c r="AB897" s="222"/>
    </row>
    <row r="898" spans="1:28" s="229" customFormat="1" ht="15" customHeight="1">
      <c r="A898" s="16">
        <v>897</v>
      </c>
      <c r="B898" s="14" t="s">
        <v>3412</v>
      </c>
      <c r="C898" s="14" t="str">
        <f>_xlfn.CONCAT(B898&amp;" "&amp;W898&amp;X898&amp;Y898&amp;Z898)</f>
        <v>Coptec 2111</v>
      </c>
      <c r="D898" s="16">
        <v>932</v>
      </c>
      <c r="E898" s="9" t="s">
        <v>90</v>
      </c>
      <c r="F898" s="9"/>
      <c r="G898" s="24">
        <v>44683</v>
      </c>
      <c r="H898" s="24"/>
      <c r="I898" s="24"/>
      <c r="J898" s="24">
        <v>44683</v>
      </c>
      <c r="K898" s="24">
        <v>45047</v>
      </c>
      <c r="L898" s="32">
        <v>3</v>
      </c>
      <c r="M898" s="8" t="s">
        <v>3413</v>
      </c>
      <c r="N898" s="8" t="s">
        <v>3414</v>
      </c>
      <c r="O898" s="19">
        <v>8237745815</v>
      </c>
      <c r="P898" s="8" t="s">
        <v>3415</v>
      </c>
      <c r="Q898" s="8" t="s">
        <v>4997</v>
      </c>
      <c r="R898" s="8" t="s">
        <v>3416</v>
      </c>
      <c r="S898" s="8" t="s">
        <v>1550</v>
      </c>
      <c r="T898" s="29" t="s">
        <v>3417</v>
      </c>
      <c r="U898" s="8" t="s">
        <v>3418</v>
      </c>
      <c r="V898" s="8" t="s">
        <v>23</v>
      </c>
      <c r="W898" s="193">
        <v>2</v>
      </c>
      <c r="X898" s="8">
        <v>1</v>
      </c>
      <c r="Y898" s="8">
        <v>1</v>
      </c>
      <c r="Z898" s="8">
        <v>1</v>
      </c>
      <c r="AA898" s="193" t="s">
        <v>4118</v>
      </c>
      <c r="AB898" s="222"/>
    </row>
    <row r="899" spans="1:28" s="229" customFormat="1" ht="15" customHeight="1">
      <c r="A899" s="16">
        <v>898</v>
      </c>
      <c r="B899" s="14" t="s">
        <v>3419</v>
      </c>
      <c r="C899" s="14" t="str">
        <f>_xlfn.CONCAT(B899&amp;" "&amp;W899&amp;X899&amp;Y899&amp;Z899)</f>
        <v>Canbus Audio International 1162</v>
      </c>
      <c r="D899" s="16">
        <v>983</v>
      </c>
      <c r="E899" s="9" t="s">
        <v>42</v>
      </c>
      <c r="F899" s="9"/>
      <c r="G899" s="24">
        <v>44683</v>
      </c>
      <c r="H899" s="24"/>
      <c r="I899" s="24"/>
      <c r="J899" s="24">
        <v>44683</v>
      </c>
      <c r="K899" s="24">
        <v>45413</v>
      </c>
      <c r="L899" s="32">
        <v>3</v>
      </c>
      <c r="M899" s="8" t="s">
        <v>3420</v>
      </c>
      <c r="N899" s="8"/>
      <c r="O899" s="19">
        <v>8882205720</v>
      </c>
      <c r="P899" s="8" t="s">
        <v>2375</v>
      </c>
      <c r="Q899" s="8" t="s">
        <v>4998</v>
      </c>
      <c r="R899" s="8" t="s">
        <v>1812</v>
      </c>
      <c r="S899" s="8" t="s">
        <v>80</v>
      </c>
      <c r="T899" s="29" t="s">
        <v>3421</v>
      </c>
      <c r="U899" s="8" t="s">
        <v>81</v>
      </c>
      <c r="V899" s="8" t="s">
        <v>23</v>
      </c>
      <c r="W899" s="193">
        <v>1</v>
      </c>
      <c r="X899" s="8">
        <v>1</v>
      </c>
      <c r="Y899" s="8">
        <v>6</v>
      </c>
      <c r="Z899" s="8">
        <v>2</v>
      </c>
      <c r="AA899" s="193" t="s">
        <v>4118</v>
      </c>
      <c r="AB899" s="222"/>
    </row>
    <row r="900" spans="1:28" s="229" customFormat="1" ht="15" customHeight="1">
      <c r="A900" s="16">
        <v>899</v>
      </c>
      <c r="B900" s="14" t="s">
        <v>3422</v>
      </c>
      <c r="C900" s="14" t="str">
        <f>_xlfn.CONCAT(B900&amp;" "&amp;W900&amp;X900&amp;Y900&amp;Z900)</f>
        <v>Indian Writing Instruments Pvt Ltd 2301</v>
      </c>
      <c r="D900" s="16">
        <v>1011</v>
      </c>
      <c r="E900" s="9" t="s">
        <v>42</v>
      </c>
      <c r="F900" s="9"/>
      <c r="G900" s="24">
        <v>44699</v>
      </c>
      <c r="H900" s="24"/>
      <c r="I900" s="24"/>
      <c r="J900" s="24">
        <v>44699</v>
      </c>
      <c r="K900" s="24">
        <v>45063</v>
      </c>
      <c r="L900" s="32">
        <v>3</v>
      </c>
      <c r="M900" s="8" t="s">
        <v>3423</v>
      </c>
      <c r="N900" s="8" t="s">
        <v>3424</v>
      </c>
      <c r="O900" s="19">
        <v>9421564232</v>
      </c>
      <c r="P900" s="8" t="s">
        <v>1143</v>
      </c>
      <c r="Q900" s="8" t="s">
        <v>4999</v>
      </c>
      <c r="R900" s="8"/>
      <c r="S900" s="8" t="s">
        <v>321</v>
      </c>
      <c r="T900" s="29" t="s">
        <v>3425</v>
      </c>
      <c r="U900" s="8" t="s">
        <v>172</v>
      </c>
      <c r="V900" s="8" t="s">
        <v>23</v>
      </c>
      <c r="W900" s="193">
        <v>2</v>
      </c>
      <c r="X900" s="8">
        <v>3</v>
      </c>
      <c r="Y900" s="8">
        <v>0</v>
      </c>
      <c r="Z900" s="8">
        <v>1</v>
      </c>
      <c r="AA900" s="193" t="s">
        <v>5215</v>
      </c>
      <c r="AB900" s="222"/>
    </row>
    <row r="901" spans="1:28" s="229" customFormat="1" ht="15" customHeight="1">
      <c r="A901" s="16">
        <v>900</v>
      </c>
      <c r="B901" s="14" t="s">
        <v>3426</v>
      </c>
      <c r="C901" s="14" t="str">
        <f>_xlfn.CONCAT(B901&amp;" "&amp;W901&amp;X901&amp;Y901&amp;Z901)</f>
        <v>Dynamic Transmission Ltd 2114</v>
      </c>
      <c r="D901" s="16">
        <v>987</v>
      </c>
      <c r="E901" s="9" t="s">
        <v>42</v>
      </c>
      <c r="F901" s="9"/>
      <c r="G901" s="24">
        <v>44716</v>
      </c>
      <c r="H901" s="24"/>
      <c r="I901" s="24"/>
      <c r="J901" s="24">
        <v>44716</v>
      </c>
      <c r="K901" s="24">
        <v>45446</v>
      </c>
      <c r="L901" s="32">
        <v>3</v>
      </c>
      <c r="M901" s="8" t="s">
        <v>3427</v>
      </c>
      <c r="N901" s="8"/>
      <c r="O901" s="19">
        <v>9899186201</v>
      </c>
      <c r="P901" s="8" t="s">
        <v>2313</v>
      </c>
      <c r="Q901" s="8" t="s">
        <v>5000</v>
      </c>
      <c r="R901" s="8"/>
      <c r="S901" s="8" t="s">
        <v>428</v>
      </c>
      <c r="T901" s="29">
        <v>122010</v>
      </c>
      <c r="U901" s="8" t="s">
        <v>429</v>
      </c>
      <c r="V901" s="8" t="s">
        <v>23</v>
      </c>
      <c r="W901" s="193">
        <v>2</v>
      </c>
      <c r="X901" s="8">
        <v>1</v>
      </c>
      <c r="Y901" s="8">
        <v>1</v>
      </c>
      <c r="Z901" s="8">
        <v>4</v>
      </c>
      <c r="AA901" s="193" t="s">
        <v>4148</v>
      </c>
      <c r="AB901" s="222"/>
    </row>
    <row r="902" spans="1:28" s="229" customFormat="1" ht="15" customHeight="1">
      <c r="A902" s="16">
        <v>901</v>
      </c>
      <c r="B902" s="14" t="s">
        <v>3428</v>
      </c>
      <c r="C902" s="14" t="str">
        <f>_xlfn.CONCAT(B902&amp;" "&amp;W902&amp;X902&amp;Y902&amp;Z902)</f>
        <v>Toshiba Transmission &amp; Distribution Systems(I) Pvt Ltd 6011</v>
      </c>
      <c r="D902" s="16">
        <v>1013</v>
      </c>
      <c r="E902" s="9" t="s">
        <v>42</v>
      </c>
      <c r="F902" s="9"/>
      <c r="G902" s="24">
        <v>44716</v>
      </c>
      <c r="H902" s="24"/>
      <c r="I902" s="24"/>
      <c r="J902" s="24">
        <v>44716</v>
      </c>
      <c r="K902" s="24">
        <v>45080</v>
      </c>
      <c r="L902" s="32">
        <v>3</v>
      </c>
      <c r="M902" s="8" t="s">
        <v>3429</v>
      </c>
      <c r="N902" s="8" t="s">
        <v>3430</v>
      </c>
      <c r="O902" s="19">
        <v>9100989410</v>
      </c>
      <c r="P902" s="8" t="s">
        <v>3431</v>
      </c>
      <c r="Q902" s="8" t="s">
        <v>5001</v>
      </c>
      <c r="R902" s="8"/>
      <c r="S902" s="8" t="s">
        <v>3432</v>
      </c>
      <c r="T902" s="29">
        <v>502329</v>
      </c>
      <c r="U902" s="8" t="s">
        <v>1844</v>
      </c>
      <c r="V902" s="8" t="s">
        <v>23</v>
      </c>
      <c r="W902" s="193">
        <v>6</v>
      </c>
      <c r="X902" s="8">
        <v>0</v>
      </c>
      <c r="Y902" s="8">
        <v>1</v>
      </c>
      <c r="Z902" s="8">
        <v>1</v>
      </c>
      <c r="AA902" s="193" t="s">
        <v>4148</v>
      </c>
      <c r="AB902" s="222"/>
    </row>
    <row r="903" spans="1:28" s="229" customFormat="1" ht="15" customHeight="1">
      <c r="A903" s="16">
        <v>902</v>
      </c>
      <c r="B903" s="14" t="s">
        <v>3433</v>
      </c>
      <c r="C903" s="14" t="str">
        <f>_xlfn.CONCAT(B903&amp;" "&amp;W903&amp;X903&amp;Y903&amp;Z903)</f>
        <v>Innomech Aerospace Toolings Pvt Ltd 8071</v>
      </c>
      <c r="D903" s="16">
        <v>973</v>
      </c>
      <c r="E903" s="9" t="s">
        <v>2082</v>
      </c>
      <c r="F903" s="9"/>
      <c r="G903" s="24">
        <v>44720</v>
      </c>
      <c r="H903" s="24"/>
      <c r="I903" s="24"/>
      <c r="J903" s="24">
        <v>44720</v>
      </c>
      <c r="K903" s="24">
        <v>45084</v>
      </c>
      <c r="L903" s="32">
        <v>3</v>
      </c>
      <c r="M903" s="8" t="s">
        <v>3434</v>
      </c>
      <c r="N903" s="8"/>
      <c r="O903" s="19">
        <v>9880934159</v>
      </c>
      <c r="P903" s="8" t="s">
        <v>3435</v>
      </c>
      <c r="Q903" s="8" t="s">
        <v>5002</v>
      </c>
      <c r="R903" s="8" t="s">
        <v>209</v>
      </c>
      <c r="S903" s="8" t="s">
        <v>21</v>
      </c>
      <c r="T903" s="29">
        <v>562110</v>
      </c>
      <c r="U903" s="8" t="s">
        <v>22</v>
      </c>
      <c r="V903" s="8" t="s">
        <v>23</v>
      </c>
      <c r="W903" s="193">
        <v>8</v>
      </c>
      <c r="X903" s="8">
        <v>0</v>
      </c>
      <c r="Y903" s="8">
        <v>7</v>
      </c>
      <c r="Z903" s="8">
        <v>1</v>
      </c>
      <c r="AA903" s="193" t="s">
        <v>4118</v>
      </c>
      <c r="AB903" s="222"/>
    </row>
    <row r="904" spans="1:28" s="229" customFormat="1" ht="15" customHeight="1">
      <c r="A904" s="16">
        <v>903</v>
      </c>
      <c r="B904" s="14" t="s">
        <v>3436</v>
      </c>
      <c r="C904" s="14" t="str">
        <f>_xlfn.CONCAT(B904&amp;" "&amp;W904&amp;X904&amp;Y904&amp;Z904)</f>
        <v>Alpro Extrusion Private Limited (GRK Tech Centre-Gurgaon) 8005</v>
      </c>
      <c r="D904" s="16">
        <v>1016</v>
      </c>
      <c r="E904" s="9" t="s">
        <v>42</v>
      </c>
      <c r="F904" s="9"/>
      <c r="G904" s="24">
        <v>44725</v>
      </c>
      <c r="H904" s="24"/>
      <c r="I904" s="24"/>
      <c r="J904" s="24">
        <v>44725</v>
      </c>
      <c r="K904" s="24">
        <v>45089</v>
      </c>
      <c r="L904" s="32">
        <v>3</v>
      </c>
      <c r="M904" s="8" t="s">
        <v>3437</v>
      </c>
      <c r="N904" s="8"/>
      <c r="O904" s="19" t="s">
        <v>3438</v>
      </c>
      <c r="P904" s="8" t="s">
        <v>3439</v>
      </c>
      <c r="Q904" s="8" t="s">
        <v>5003</v>
      </c>
      <c r="R904" s="8"/>
      <c r="S904" s="8" t="s">
        <v>3440</v>
      </c>
      <c r="T904" s="29">
        <v>711409</v>
      </c>
      <c r="U904" s="8" t="s">
        <v>328</v>
      </c>
      <c r="V904" s="8" t="s">
        <v>23</v>
      </c>
      <c r="W904" s="193">
        <v>8</v>
      </c>
      <c r="X904" s="8">
        <v>0</v>
      </c>
      <c r="Y904" s="8">
        <v>0</v>
      </c>
      <c r="Z904" s="8">
        <v>5</v>
      </c>
      <c r="AA904" s="193" t="s">
        <v>4118</v>
      </c>
      <c r="AB904" s="222"/>
    </row>
    <row r="905" spans="1:28" s="229" customFormat="1" ht="15" customHeight="1">
      <c r="A905" s="16">
        <v>904</v>
      </c>
      <c r="B905" s="14" t="s">
        <v>3441</v>
      </c>
      <c r="C905" s="14" t="str">
        <f>_xlfn.CONCAT(B905&amp;" "&amp;W905&amp;X905&amp;Y905&amp;Z905)</f>
        <v>Lakshmi Butt Welders 8013</v>
      </c>
      <c r="D905" s="16">
        <v>1017</v>
      </c>
      <c r="E905" s="9" t="s">
        <v>42</v>
      </c>
      <c r="F905" s="9"/>
      <c r="G905" s="24">
        <v>44727</v>
      </c>
      <c r="H905" s="24"/>
      <c r="I905" s="24"/>
      <c r="J905" s="24">
        <v>44727</v>
      </c>
      <c r="K905" s="24">
        <v>45091</v>
      </c>
      <c r="L905" s="32">
        <v>3</v>
      </c>
      <c r="M905" s="8" t="s">
        <v>3442</v>
      </c>
      <c r="N905" s="8"/>
      <c r="O905" s="19">
        <v>9345311530</v>
      </c>
      <c r="P905" s="8" t="s">
        <v>3443</v>
      </c>
      <c r="Q905" s="8" t="s">
        <v>5004</v>
      </c>
      <c r="R905" s="8" t="s">
        <v>3444</v>
      </c>
      <c r="S905" s="8" t="s">
        <v>121</v>
      </c>
      <c r="T905" s="29">
        <v>635105</v>
      </c>
      <c r="U905" s="8" t="s">
        <v>38</v>
      </c>
      <c r="V905" s="8" t="s">
        <v>23</v>
      </c>
      <c r="W905" s="193">
        <v>8</v>
      </c>
      <c r="X905" s="8">
        <v>0</v>
      </c>
      <c r="Y905" s="8">
        <v>1</v>
      </c>
      <c r="Z905" s="8">
        <v>3</v>
      </c>
      <c r="AA905" s="193" t="s">
        <v>4118</v>
      </c>
      <c r="AB905" s="222"/>
    </row>
    <row r="906" spans="1:28" s="229" customFormat="1" ht="15" customHeight="1">
      <c r="A906" s="16">
        <v>905</v>
      </c>
      <c r="B906" s="14" t="s">
        <v>3445</v>
      </c>
      <c r="C906" s="14" t="str">
        <f>_xlfn.CONCAT(B906&amp;" "&amp;W906&amp;X906&amp;Y906&amp;Z906)</f>
        <v>NIFCO India Pvt Ltd 2431</v>
      </c>
      <c r="D906" s="16">
        <v>933</v>
      </c>
      <c r="E906" s="9" t="s">
        <v>90</v>
      </c>
      <c r="F906" s="9"/>
      <c r="G906" s="24">
        <v>44727</v>
      </c>
      <c r="H906" s="24"/>
      <c r="I906" s="24"/>
      <c r="J906" s="24">
        <v>44727</v>
      </c>
      <c r="K906" s="24">
        <v>45091</v>
      </c>
      <c r="L906" s="32">
        <v>3</v>
      </c>
      <c r="M906" s="8" t="s">
        <v>3446</v>
      </c>
      <c r="N906" s="8" t="s">
        <v>3447</v>
      </c>
      <c r="O906" s="19">
        <v>9625792264</v>
      </c>
      <c r="P906" s="8" t="s">
        <v>1188</v>
      </c>
      <c r="Q906" s="8" t="s">
        <v>5005</v>
      </c>
      <c r="R906" s="8" t="s">
        <v>3448</v>
      </c>
      <c r="S906" s="8" t="s">
        <v>143</v>
      </c>
      <c r="T906" s="29">
        <v>382110</v>
      </c>
      <c r="U906" s="8" t="s">
        <v>144</v>
      </c>
      <c r="V906" s="8" t="s">
        <v>23</v>
      </c>
      <c r="W906" s="193">
        <v>2</v>
      </c>
      <c r="X906" s="8">
        <v>4</v>
      </c>
      <c r="Y906" s="8">
        <v>3</v>
      </c>
      <c r="Z906" s="8">
        <v>1</v>
      </c>
      <c r="AA906" s="193" t="s">
        <v>4151</v>
      </c>
      <c r="AB906" s="222"/>
    </row>
    <row r="907" spans="1:28" s="229" customFormat="1" ht="15" customHeight="1">
      <c r="A907" s="16">
        <v>906</v>
      </c>
      <c r="B907" s="14" t="s">
        <v>3449</v>
      </c>
      <c r="C907" s="14" t="str">
        <f>_xlfn.CONCAT(B907&amp;" "&amp;W907&amp;X907&amp;Y907&amp;Z907)</f>
        <v>RB Metrology (Deusch Motocomp Pvt. Ltd) 1132</v>
      </c>
      <c r="D907" s="16">
        <v>1019</v>
      </c>
      <c r="E907" s="9" t="s">
        <v>42</v>
      </c>
      <c r="F907" s="9"/>
      <c r="G907" s="24">
        <v>44739</v>
      </c>
      <c r="H907" s="24"/>
      <c r="I907" s="24"/>
      <c r="J907" s="24">
        <v>44739</v>
      </c>
      <c r="K907" s="24">
        <v>45469</v>
      </c>
      <c r="L907" s="32">
        <v>3</v>
      </c>
      <c r="M907" s="8" t="s">
        <v>3450</v>
      </c>
      <c r="N907" s="8"/>
      <c r="O907" s="19">
        <v>9212482031</v>
      </c>
      <c r="P907" s="8" t="s">
        <v>3451</v>
      </c>
      <c r="Q907" s="8" t="s">
        <v>5006</v>
      </c>
      <c r="R907" s="8"/>
      <c r="S907" s="8" t="s">
        <v>1103</v>
      </c>
      <c r="T907" s="29">
        <v>131001</v>
      </c>
      <c r="U907" s="8" t="s">
        <v>429</v>
      </c>
      <c r="V907" s="8" t="s">
        <v>23</v>
      </c>
      <c r="W907" s="193">
        <v>1</v>
      </c>
      <c r="X907" s="8">
        <v>1</v>
      </c>
      <c r="Y907" s="8">
        <v>3</v>
      </c>
      <c r="Z907" s="8">
        <v>2</v>
      </c>
      <c r="AA907" s="193" t="s">
        <v>4118</v>
      </c>
      <c r="AB907" s="222"/>
    </row>
    <row r="908" spans="1:28" s="229" customFormat="1" ht="15" customHeight="1">
      <c r="A908" s="16">
        <v>907</v>
      </c>
      <c r="B908" s="14" t="s">
        <v>3452</v>
      </c>
      <c r="C908" s="14" t="str">
        <f>_xlfn.CONCAT(B908&amp;" "&amp;W908&amp;X908&amp;Y908&amp;Z908)</f>
        <v>Turbo India 8041</v>
      </c>
      <c r="D908" s="16">
        <v>1014</v>
      </c>
      <c r="E908" s="9" t="s">
        <v>42</v>
      </c>
      <c r="F908" s="9"/>
      <c r="G908" s="24">
        <v>44742</v>
      </c>
      <c r="H908" s="24"/>
      <c r="I908" s="24"/>
      <c r="J908" s="24">
        <v>44742</v>
      </c>
      <c r="K908" s="24">
        <v>45106</v>
      </c>
      <c r="L908" s="32">
        <v>3</v>
      </c>
      <c r="M908" s="8" t="s">
        <v>3453</v>
      </c>
      <c r="N908" s="8" t="s">
        <v>3454</v>
      </c>
      <c r="O908" s="19">
        <v>6360162847</v>
      </c>
      <c r="P908" s="8" t="s">
        <v>2514</v>
      </c>
      <c r="Q908" s="8" t="s">
        <v>5007</v>
      </c>
      <c r="R908" s="8" t="s">
        <v>3455</v>
      </c>
      <c r="S908" s="8" t="s">
        <v>21</v>
      </c>
      <c r="T908" s="29">
        <v>560079</v>
      </c>
      <c r="U908" s="8" t="s">
        <v>22</v>
      </c>
      <c r="V908" s="8" t="s">
        <v>23</v>
      </c>
      <c r="W908" s="193">
        <v>8</v>
      </c>
      <c r="X908" s="8">
        <v>0</v>
      </c>
      <c r="Y908" s="8">
        <v>4</v>
      </c>
      <c r="Z908" s="8">
        <v>1</v>
      </c>
      <c r="AA908" s="193" t="s">
        <v>4118</v>
      </c>
      <c r="AB908" s="222"/>
    </row>
    <row r="909" spans="1:28" s="229" customFormat="1" ht="15" customHeight="1">
      <c r="A909" s="16">
        <v>908</v>
      </c>
      <c r="B909" s="14" t="s">
        <v>3456</v>
      </c>
      <c r="C909" s="14" t="str">
        <f>_xlfn.CONCAT(B909&amp;" "&amp;W909&amp;X909&amp;Y909&amp;Z909)</f>
        <v>TVS Engg Ltd 4041</v>
      </c>
      <c r="D909" s="16">
        <v>934</v>
      </c>
      <c r="E909" s="9" t="s">
        <v>90</v>
      </c>
      <c r="F909" s="9"/>
      <c r="G909" s="24">
        <v>44746</v>
      </c>
      <c r="H909" s="24"/>
      <c r="I909" s="24"/>
      <c r="J909" s="24">
        <v>44746</v>
      </c>
      <c r="K909" s="24">
        <v>45110</v>
      </c>
      <c r="L909" s="32">
        <v>3</v>
      </c>
      <c r="M909" s="8" t="s">
        <v>3457</v>
      </c>
      <c r="N909" s="8" t="s">
        <v>3458</v>
      </c>
      <c r="O909" s="19" t="s">
        <v>3459</v>
      </c>
      <c r="P909" s="8"/>
      <c r="Q909" s="8" t="s">
        <v>5008</v>
      </c>
      <c r="R909" s="8"/>
      <c r="S909" s="8" t="s">
        <v>37</v>
      </c>
      <c r="T909" s="29">
        <v>600098</v>
      </c>
      <c r="U909" s="8" t="s">
        <v>38</v>
      </c>
      <c r="V909" s="8" t="s">
        <v>23</v>
      </c>
      <c r="W909" s="193">
        <v>4</v>
      </c>
      <c r="X909" s="8">
        <v>0</v>
      </c>
      <c r="Y909" s="8">
        <v>4</v>
      </c>
      <c r="Z909" s="8">
        <v>1</v>
      </c>
      <c r="AA909" s="193" t="s">
        <v>4148</v>
      </c>
      <c r="AB909" s="222"/>
    </row>
    <row r="910" spans="1:28" s="229" customFormat="1" ht="15" customHeight="1">
      <c r="A910" s="16">
        <v>909</v>
      </c>
      <c r="B910" s="14" t="s">
        <v>3460</v>
      </c>
      <c r="C910" s="14" t="str">
        <f>_xlfn.CONCAT(B910&amp;" "&amp;W910&amp;X910&amp;Y910&amp;Z910)</f>
        <v>Excellent Hi Care Pvt Ltd 0000</v>
      </c>
      <c r="D910" s="16">
        <v>1015</v>
      </c>
      <c r="E910" s="9" t="s">
        <v>42</v>
      </c>
      <c r="F910" s="9"/>
      <c r="G910" s="24">
        <v>44746</v>
      </c>
      <c r="H910" s="24"/>
      <c r="I910" s="24"/>
      <c r="J910" s="24">
        <v>44746</v>
      </c>
      <c r="K910" s="24">
        <v>45110</v>
      </c>
      <c r="L910" s="32">
        <v>3</v>
      </c>
      <c r="M910" s="8" t="s">
        <v>3461</v>
      </c>
      <c r="N910" s="8"/>
      <c r="O910" s="19">
        <v>9094789760</v>
      </c>
      <c r="P910" s="8" t="s">
        <v>3462</v>
      </c>
      <c r="Q910" s="8" t="s">
        <v>5009</v>
      </c>
      <c r="R910" s="8" t="s">
        <v>3463</v>
      </c>
      <c r="S910" s="8" t="s">
        <v>3464</v>
      </c>
      <c r="T910" s="29">
        <v>604001</v>
      </c>
      <c r="U910" s="8" t="s">
        <v>38</v>
      </c>
      <c r="V910" s="8" t="s">
        <v>23</v>
      </c>
      <c r="W910" s="193">
        <v>0</v>
      </c>
      <c r="X910" s="8">
        <v>0</v>
      </c>
      <c r="Y910" s="8">
        <v>0</v>
      </c>
      <c r="Z910" s="8">
        <v>0</v>
      </c>
      <c r="AA910" s="193">
        <v>0</v>
      </c>
      <c r="AB910" s="222"/>
    </row>
    <row r="911" spans="1:28" s="229" customFormat="1" ht="15" customHeight="1">
      <c r="A911" s="16">
        <v>910</v>
      </c>
      <c r="B911" s="14" t="s">
        <v>3465</v>
      </c>
      <c r="C911" s="14" t="str">
        <f>_xlfn.CONCAT(B911&amp;" "&amp;W911&amp;X911&amp;Y911&amp;Z911)</f>
        <v>KTT Pharmatech 2112</v>
      </c>
      <c r="D911" s="16">
        <v>1020</v>
      </c>
      <c r="E911" s="9" t="s">
        <v>42</v>
      </c>
      <c r="F911" s="9"/>
      <c r="G911" s="24">
        <v>44747</v>
      </c>
      <c r="H911" s="24"/>
      <c r="I911" s="24"/>
      <c r="J911" s="24">
        <v>44747</v>
      </c>
      <c r="K911" s="24">
        <v>45111</v>
      </c>
      <c r="L911" s="32">
        <v>3</v>
      </c>
      <c r="M911" s="8" t="s">
        <v>3466</v>
      </c>
      <c r="N911" s="8" t="s">
        <v>3467</v>
      </c>
      <c r="O911" s="19" t="s">
        <v>3468</v>
      </c>
      <c r="P911" s="8" t="s">
        <v>3469</v>
      </c>
      <c r="Q911" s="8" t="s">
        <v>5010</v>
      </c>
      <c r="R911" s="8" t="s">
        <v>3470</v>
      </c>
      <c r="S911" s="8" t="s">
        <v>178</v>
      </c>
      <c r="T911" s="29">
        <v>401210</v>
      </c>
      <c r="U911" s="8" t="s">
        <v>172</v>
      </c>
      <c r="V911" s="8" t="s">
        <v>23</v>
      </c>
      <c r="W911" s="193">
        <v>2</v>
      </c>
      <c r="X911" s="8">
        <v>1</v>
      </c>
      <c r="Y911" s="8">
        <v>1</v>
      </c>
      <c r="Z911" s="8">
        <v>2</v>
      </c>
      <c r="AA911" s="193" t="s">
        <v>4118</v>
      </c>
      <c r="AB911" s="222"/>
    </row>
    <row r="912" spans="1:28" s="229" customFormat="1" ht="15" customHeight="1">
      <c r="A912" s="16">
        <v>911</v>
      </c>
      <c r="B912" s="14" t="s">
        <v>3471</v>
      </c>
      <c r="C912" s="14" t="str">
        <f>_xlfn.CONCAT(B912&amp;" "&amp;W912&amp;X912&amp;Y912&amp;Z912)</f>
        <v>Sandhar Automotives 8012</v>
      </c>
      <c r="D912" s="16">
        <v>972</v>
      </c>
      <c r="E912" s="9" t="s">
        <v>2082</v>
      </c>
      <c r="F912" s="9"/>
      <c r="G912" s="24">
        <v>44753</v>
      </c>
      <c r="H912" s="24"/>
      <c r="I912" s="24"/>
      <c r="J912" s="24">
        <v>44753</v>
      </c>
      <c r="K912" s="24">
        <v>45117</v>
      </c>
      <c r="L912" s="32">
        <v>3</v>
      </c>
      <c r="M912" s="8" t="s">
        <v>3472</v>
      </c>
      <c r="N912" s="8" t="s">
        <v>3473</v>
      </c>
      <c r="O912" s="19">
        <v>9538001601</v>
      </c>
      <c r="P912" s="8" t="s">
        <v>3474</v>
      </c>
      <c r="Q912" s="8" t="s">
        <v>5011</v>
      </c>
      <c r="R912" s="8" t="s">
        <v>2267</v>
      </c>
      <c r="S912" s="8" t="s">
        <v>21</v>
      </c>
      <c r="T912" s="29">
        <v>562106</v>
      </c>
      <c r="U912" s="8" t="s">
        <v>22</v>
      </c>
      <c r="V912" s="8" t="s">
        <v>23</v>
      </c>
      <c r="W912" s="193">
        <v>8</v>
      </c>
      <c r="X912" s="8">
        <v>0</v>
      </c>
      <c r="Y912" s="8">
        <v>1</v>
      </c>
      <c r="Z912" s="8">
        <v>2</v>
      </c>
      <c r="AA912" s="193" t="s">
        <v>4118</v>
      </c>
      <c r="AB912" s="222"/>
    </row>
    <row r="913" spans="1:28" s="229" customFormat="1" ht="15" customHeight="1">
      <c r="A913" s="16">
        <v>912</v>
      </c>
      <c r="B913" s="14" t="s">
        <v>3475</v>
      </c>
      <c r="C913" s="14" t="str">
        <f>_xlfn.CONCAT(B913&amp;" "&amp;W913&amp;X913&amp;Y913&amp;Z913)</f>
        <v>Medivation Bio Pvt ltd 1114</v>
      </c>
      <c r="D913" s="16">
        <v>936</v>
      </c>
      <c r="E913" s="9" t="s">
        <v>90</v>
      </c>
      <c r="F913" s="9"/>
      <c r="G913" s="24">
        <v>44753</v>
      </c>
      <c r="H913" s="24"/>
      <c r="I913" s="24"/>
      <c r="J913" s="24">
        <v>44753</v>
      </c>
      <c r="K913" s="24">
        <v>45117</v>
      </c>
      <c r="L913" s="32">
        <v>3</v>
      </c>
      <c r="M913" s="8" t="s">
        <v>3476</v>
      </c>
      <c r="N913" s="8"/>
      <c r="O913" s="19">
        <v>7383407733</v>
      </c>
      <c r="P913" s="8" t="s">
        <v>1812</v>
      </c>
      <c r="Q913" s="8" t="s">
        <v>5012</v>
      </c>
      <c r="R913" s="8" t="s">
        <v>3477</v>
      </c>
      <c r="S913" s="8" t="s">
        <v>2319</v>
      </c>
      <c r="T913" s="29">
        <v>301019</v>
      </c>
      <c r="U913" s="8" t="s">
        <v>74</v>
      </c>
      <c r="V913" s="8" t="s">
        <v>23</v>
      </c>
      <c r="W913" s="193">
        <v>1</v>
      </c>
      <c r="X913" s="8">
        <v>1</v>
      </c>
      <c r="Y913" s="8">
        <v>1</v>
      </c>
      <c r="Z913" s="8">
        <v>4</v>
      </c>
      <c r="AA913" s="193" t="s">
        <v>4118</v>
      </c>
      <c r="AB913" s="222"/>
    </row>
    <row r="914" spans="1:28" s="229" customFormat="1" ht="15" customHeight="1">
      <c r="A914" s="16">
        <v>913</v>
      </c>
      <c r="B914" s="14" t="s">
        <v>3452</v>
      </c>
      <c r="C914" s="14" t="str">
        <f>_xlfn.CONCAT(B914&amp;" "&amp;W914&amp;X914&amp;Y914&amp;Z914)</f>
        <v>Turbo India 8041</v>
      </c>
      <c r="D914" s="16">
        <v>1018</v>
      </c>
      <c r="E914" s="9" t="s">
        <v>42</v>
      </c>
      <c r="F914" s="9"/>
      <c r="G914" s="24">
        <v>44756</v>
      </c>
      <c r="H914" s="24"/>
      <c r="I914" s="24"/>
      <c r="J914" s="24">
        <v>44756</v>
      </c>
      <c r="K914" s="24">
        <v>45120</v>
      </c>
      <c r="L914" s="32">
        <v>3</v>
      </c>
      <c r="M914" s="8" t="s">
        <v>3453</v>
      </c>
      <c r="N914" s="8" t="s">
        <v>3454</v>
      </c>
      <c r="O914" s="19">
        <v>6360162847</v>
      </c>
      <c r="P914" s="8" t="s">
        <v>2514</v>
      </c>
      <c r="Q914" s="8" t="s">
        <v>5007</v>
      </c>
      <c r="R914" s="8" t="s">
        <v>3455</v>
      </c>
      <c r="S914" s="8" t="s">
        <v>21</v>
      </c>
      <c r="T914" s="29">
        <v>560079</v>
      </c>
      <c r="U914" s="8" t="s">
        <v>22</v>
      </c>
      <c r="V914" s="8" t="s">
        <v>23</v>
      </c>
      <c r="W914" s="193">
        <v>8</v>
      </c>
      <c r="X914" s="8">
        <v>0</v>
      </c>
      <c r="Y914" s="8">
        <v>4</v>
      </c>
      <c r="Z914" s="8">
        <v>1</v>
      </c>
      <c r="AA914" s="193" t="s">
        <v>4118</v>
      </c>
      <c r="AB914" s="222"/>
    </row>
    <row r="915" spans="1:28" s="229" customFormat="1" ht="15" customHeight="1">
      <c r="A915" s="16">
        <v>914</v>
      </c>
      <c r="B915" s="14" t="s">
        <v>3478</v>
      </c>
      <c r="C915" s="14" t="str">
        <f>_xlfn.CONCAT(B915&amp;" "&amp;W915&amp;X915&amp;Y915&amp;Z915)</f>
        <v>Universal Precision Screws 1122</v>
      </c>
      <c r="D915" s="16">
        <v>1022</v>
      </c>
      <c r="E915" s="9" t="s">
        <v>42</v>
      </c>
      <c r="F915" s="9"/>
      <c r="G915" s="24">
        <v>44763</v>
      </c>
      <c r="H915" s="24"/>
      <c r="I915" s="24"/>
      <c r="J915" s="24">
        <v>44763</v>
      </c>
      <c r="K915" s="24">
        <v>45127</v>
      </c>
      <c r="L915" s="32">
        <v>3</v>
      </c>
      <c r="M915" s="8" t="s">
        <v>3479</v>
      </c>
      <c r="N915" s="8" t="s">
        <v>3480</v>
      </c>
      <c r="O915" s="19" t="s">
        <v>3481</v>
      </c>
      <c r="P915" s="8" t="s">
        <v>3482</v>
      </c>
      <c r="Q915" s="8" t="s">
        <v>5013</v>
      </c>
      <c r="R915" s="8"/>
      <c r="S915" s="8" t="s">
        <v>1529</v>
      </c>
      <c r="T915" s="29">
        <v>124001</v>
      </c>
      <c r="U915" s="8" t="s">
        <v>429</v>
      </c>
      <c r="V915" s="8" t="s">
        <v>23</v>
      </c>
      <c r="W915" s="193">
        <v>1</v>
      </c>
      <c r="X915" s="8">
        <v>1</v>
      </c>
      <c r="Y915" s="8">
        <v>2</v>
      </c>
      <c r="Z915" s="8">
        <v>2</v>
      </c>
      <c r="AA915" s="193" t="s">
        <v>4118</v>
      </c>
      <c r="AB915" s="222"/>
    </row>
    <row r="916" spans="1:28" s="229" customFormat="1" ht="15" customHeight="1">
      <c r="A916" s="16">
        <v>915</v>
      </c>
      <c r="B916" s="14" t="s">
        <v>3478</v>
      </c>
      <c r="C916" s="14" t="str">
        <f>_xlfn.CONCAT(B916&amp;" "&amp;W916&amp;X916&amp;Y916&amp;Z916)</f>
        <v>Universal Precision Screws 1122</v>
      </c>
      <c r="D916" s="16">
        <v>1023</v>
      </c>
      <c r="E916" s="9" t="s">
        <v>42</v>
      </c>
      <c r="F916" s="9"/>
      <c r="G916" s="24">
        <v>44763</v>
      </c>
      <c r="H916" s="24"/>
      <c r="I916" s="24"/>
      <c r="J916" s="24">
        <v>44763</v>
      </c>
      <c r="K916" s="24">
        <v>45127</v>
      </c>
      <c r="L916" s="32">
        <v>3</v>
      </c>
      <c r="M916" s="8" t="s">
        <v>3479</v>
      </c>
      <c r="N916" s="8" t="s">
        <v>3480</v>
      </c>
      <c r="O916" s="19" t="s">
        <v>3481</v>
      </c>
      <c r="P916" s="8" t="s">
        <v>3482</v>
      </c>
      <c r="Q916" s="8" t="s">
        <v>5013</v>
      </c>
      <c r="R916" s="8"/>
      <c r="S916" s="8" t="s">
        <v>1529</v>
      </c>
      <c r="T916" s="29">
        <v>124001</v>
      </c>
      <c r="U916" s="8" t="s">
        <v>429</v>
      </c>
      <c r="V916" s="8" t="s">
        <v>23</v>
      </c>
      <c r="W916" s="193">
        <v>1</v>
      </c>
      <c r="X916" s="8">
        <v>1</v>
      </c>
      <c r="Y916" s="8">
        <v>2</v>
      </c>
      <c r="Z916" s="8">
        <v>2</v>
      </c>
      <c r="AA916" s="193" t="s">
        <v>4118</v>
      </c>
      <c r="AB916" s="222"/>
    </row>
    <row r="917" spans="1:28" s="229" customFormat="1" ht="15" customHeight="1">
      <c r="A917" s="16">
        <v>916</v>
      </c>
      <c r="B917" s="14" t="s">
        <v>3483</v>
      </c>
      <c r="C917" s="14" t="str">
        <f>_xlfn.CONCAT(B917&amp;" "&amp;W917&amp;X917&amp;Y917&amp;Z917)</f>
        <v>Sandhar Components 8012</v>
      </c>
      <c r="D917" s="16">
        <v>974</v>
      </c>
      <c r="E917" s="9" t="s">
        <v>2082</v>
      </c>
      <c r="F917" s="9"/>
      <c r="G917" s="24">
        <v>44774</v>
      </c>
      <c r="H917" s="24"/>
      <c r="I917" s="24"/>
      <c r="J917" s="24">
        <v>44774</v>
      </c>
      <c r="K917" s="24">
        <v>45138</v>
      </c>
      <c r="L917" s="32">
        <v>3</v>
      </c>
      <c r="M917" s="8" t="s">
        <v>3472</v>
      </c>
      <c r="N917" s="8" t="s">
        <v>3473</v>
      </c>
      <c r="O917" s="19">
        <v>9538001601</v>
      </c>
      <c r="P917" s="8" t="s">
        <v>3484</v>
      </c>
      <c r="Q917" s="8" t="s">
        <v>5014</v>
      </c>
      <c r="R917" s="8" t="s">
        <v>3485</v>
      </c>
      <c r="S917" s="8" t="s">
        <v>21</v>
      </c>
      <c r="T917" s="29">
        <v>562107</v>
      </c>
      <c r="U917" s="8" t="s">
        <v>22</v>
      </c>
      <c r="V917" s="8" t="s">
        <v>23</v>
      </c>
      <c r="W917" s="193">
        <v>8</v>
      </c>
      <c r="X917" s="8">
        <v>0</v>
      </c>
      <c r="Y917" s="8">
        <v>1</v>
      </c>
      <c r="Z917" s="8">
        <v>2</v>
      </c>
      <c r="AA917" s="193" t="s">
        <v>4118</v>
      </c>
      <c r="AB917" s="222"/>
    </row>
    <row r="918" spans="1:28" s="229" customFormat="1" ht="15" customHeight="1">
      <c r="A918" s="16">
        <v>917</v>
      </c>
      <c r="B918" s="14" t="s">
        <v>3486</v>
      </c>
      <c r="C918" s="14" t="str">
        <f>_xlfn.CONCAT(B918&amp;" "&amp;W918&amp;X918&amp;Y918&amp;Z918)</f>
        <v>Schneider Electric India Pvt. Ltd 5112</v>
      </c>
      <c r="D918" s="16">
        <v>937</v>
      </c>
      <c r="E918" s="9" t="s">
        <v>90</v>
      </c>
      <c r="F918" s="9"/>
      <c r="G918" s="24">
        <v>44777</v>
      </c>
      <c r="H918" s="24"/>
      <c r="I918" s="24"/>
      <c r="J918" s="24">
        <v>44777</v>
      </c>
      <c r="K918" s="24">
        <v>45141</v>
      </c>
      <c r="L918" s="32">
        <v>3</v>
      </c>
      <c r="M918" s="8" t="s">
        <v>3487</v>
      </c>
      <c r="N918" s="8" t="s">
        <v>3488</v>
      </c>
      <c r="O918" s="19">
        <v>7567286586</v>
      </c>
      <c r="P918" s="8" t="s">
        <v>2872</v>
      </c>
      <c r="Q918" s="8" t="s">
        <v>5015</v>
      </c>
      <c r="R918" s="8" t="s">
        <v>3489</v>
      </c>
      <c r="S918" s="8" t="s">
        <v>1545</v>
      </c>
      <c r="T918" s="29">
        <v>390019</v>
      </c>
      <c r="U918" s="8" t="s">
        <v>144</v>
      </c>
      <c r="V918" s="8" t="s">
        <v>23</v>
      </c>
      <c r="W918" s="193">
        <v>5</v>
      </c>
      <c r="X918" s="8">
        <v>1</v>
      </c>
      <c r="Y918" s="8">
        <v>1</v>
      </c>
      <c r="Z918" s="8">
        <v>2</v>
      </c>
      <c r="AA918" s="193" t="s">
        <v>4118</v>
      </c>
      <c r="AB918" s="222"/>
    </row>
    <row r="919" spans="1:28" s="229" customFormat="1" ht="15" customHeight="1">
      <c r="A919" s="16">
        <v>918</v>
      </c>
      <c r="B919" s="14" t="s">
        <v>3490</v>
      </c>
      <c r="C919" s="14" t="str">
        <f>_xlfn.CONCAT(B919&amp;" "&amp;W919&amp;X919&amp;Y919&amp;Z919)</f>
        <v>Bhansali Component &amp; Fasteners 2112</v>
      </c>
      <c r="D919" s="16">
        <v>938</v>
      </c>
      <c r="E919" s="9" t="s">
        <v>90</v>
      </c>
      <c r="F919" s="9"/>
      <c r="G919" s="24">
        <v>44777</v>
      </c>
      <c r="H919" s="24"/>
      <c r="I919" s="24"/>
      <c r="J919" s="24">
        <v>44777</v>
      </c>
      <c r="K919" s="24">
        <v>45141</v>
      </c>
      <c r="L919" s="32">
        <v>3</v>
      </c>
      <c r="M919" s="8" t="s">
        <v>3491</v>
      </c>
      <c r="N919" s="8" t="s">
        <v>71</v>
      </c>
      <c r="O919" s="19">
        <v>9867854088</v>
      </c>
      <c r="P919" s="8" t="s">
        <v>3291</v>
      </c>
      <c r="Q919" s="8" t="s">
        <v>5016</v>
      </c>
      <c r="R919" s="8" t="s">
        <v>3492</v>
      </c>
      <c r="S919" s="8" t="s">
        <v>178</v>
      </c>
      <c r="T919" s="29">
        <v>401208</v>
      </c>
      <c r="U919" s="8" t="s">
        <v>172</v>
      </c>
      <c r="V919" s="8" t="s">
        <v>23</v>
      </c>
      <c r="W919" s="193">
        <v>2</v>
      </c>
      <c r="X919" s="8">
        <v>1</v>
      </c>
      <c r="Y919" s="8">
        <v>1</v>
      </c>
      <c r="Z919" s="8">
        <v>2</v>
      </c>
      <c r="AA919" s="193" t="s">
        <v>4118</v>
      </c>
      <c r="AB919" s="222"/>
    </row>
    <row r="920" spans="1:28" s="229" customFormat="1" ht="15" customHeight="1">
      <c r="A920" s="16">
        <v>919</v>
      </c>
      <c r="B920" s="14" t="s">
        <v>3493</v>
      </c>
      <c r="C920" s="14" t="str">
        <f>_xlfn.CONCAT(B920&amp;" "&amp;W920&amp;X920&amp;Y920&amp;Z920)</f>
        <v>S.G.B Industries 8021</v>
      </c>
      <c r="D920" s="16">
        <v>1025</v>
      </c>
      <c r="E920" s="9" t="s">
        <v>42</v>
      </c>
      <c r="F920" s="9"/>
      <c r="G920" s="24">
        <v>44781</v>
      </c>
      <c r="H920" s="24"/>
      <c r="I920" s="24"/>
      <c r="J920" s="24">
        <v>44781</v>
      </c>
      <c r="K920" s="24">
        <v>45145</v>
      </c>
      <c r="L920" s="32">
        <v>3</v>
      </c>
      <c r="M920" s="8" t="s">
        <v>3494</v>
      </c>
      <c r="N920" s="8" t="s">
        <v>17</v>
      </c>
      <c r="O920" s="19">
        <v>9739716619</v>
      </c>
      <c r="P920" s="8" t="s">
        <v>2209</v>
      </c>
      <c r="Q920" s="8" t="s">
        <v>5017</v>
      </c>
      <c r="R920" s="8" t="s">
        <v>3495</v>
      </c>
      <c r="S920" s="8" t="s">
        <v>21</v>
      </c>
      <c r="T920" s="29">
        <v>560099</v>
      </c>
      <c r="U920" s="8" t="s">
        <v>22</v>
      </c>
      <c r="V920" s="8" t="s">
        <v>23</v>
      </c>
      <c r="W920" s="193">
        <v>8</v>
      </c>
      <c r="X920" s="8">
        <v>0</v>
      </c>
      <c r="Y920" s="8">
        <v>2</v>
      </c>
      <c r="Z920" s="8">
        <v>1</v>
      </c>
      <c r="AA920" s="193" t="s">
        <v>4118</v>
      </c>
      <c r="AB920" s="222"/>
    </row>
    <row r="921" spans="1:28" s="229" customFormat="1" ht="15" customHeight="1">
      <c r="A921" s="16">
        <v>920</v>
      </c>
      <c r="B921" s="14" t="s">
        <v>3496</v>
      </c>
      <c r="C921" s="14" t="str">
        <f>_xlfn.CONCAT(B921&amp;" "&amp;W921&amp;X921&amp;Y921&amp;Z921)</f>
        <v>Vishwakarma Tech 8051</v>
      </c>
      <c r="D921" s="16">
        <v>1021</v>
      </c>
      <c r="E921" s="9" t="s">
        <v>42</v>
      </c>
      <c r="F921" s="9"/>
      <c r="G921" s="24">
        <v>44783</v>
      </c>
      <c r="H921" s="24"/>
      <c r="I921" s="24"/>
      <c r="J921" s="24">
        <v>44783</v>
      </c>
      <c r="K921" s="24">
        <v>45147</v>
      </c>
      <c r="L921" s="32">
        <v>3</v>
      </c>
      <c r="M921" s="8" t="s">
        <v>3497</v>
      </c>
      <c r="N921" s="8" t="s">
        <v>3361</v>
      </c>
      <c r="O921" s="19">
        <v>9482597452</v>
      </c>
      <c r="P921" s="8" t="s">
        <v>3498</v>
      </c>
      <c r="Q921" s="8" t="s">
        <v>5018</v>
      </c>
      <c r="R921" s="8" t="s">
        <v>1512</v>
      </c>
      <c r="S921" s="8" t="s">
        <v>21</v>
      </c>
      <c r="T921" s="29">
        <v>560058</v>
      </c>
      <c r="U921" s="8" t="s">
        <v>22</v>
      </c>
      <c r="V921" s="8" t="s">
        <v>23</v>
      </c>
      <c r="W921" s="193">
        <v>8</v>
      </c>
      <c r="X921" s="8">
        <v>0</v>
      </c>
      <c r="Y921" s="8">
        <v>5</v>
      </c>
      <c r="Z921" s="8">
        <v>1</v>
      </c>
      <c r="AA921" s="193" t="s">
        <v>4118</v>
      </c>
      <c r="AB921" s="222"/>
    </row>
    <row r="922" spans="1:28" s="229" customFormat="1" ht="15" customHeight="1">
      <c r="A922" s="16">
        <v>921</v>
      </c>
      <c r="B922" s="14" t="s">
        <v>3499</v>
      </c>
      <c r="C922" s="14" t="str">
        <f>_xlfn.CONCAT(B922&amp;" "&amp;W922&amp;X922&amp;Y922&amp;Z922)</f>
        <v>KL Export Pvt Ltd 1161</v>
      </c>
      <c r="D922" s="16">
        <v>1002</v>
      </c>
      <c r="E922" s="9" t="s">
        <v>42</v>
      </c>
      <c r="F922" s="9"/>
      <c r="G922" s="24">
        <v>44790</v>
      </c>
      <c r="H922" s="24"/>
      <c r="I922" s="24"/>
      <c r="J922" s="24">
        <v>44790</v>
      </c>
      <c r="K922" s="24">
        <v>45154</v>
      </c>
      <c r="L922" s="32">
        <v>3</v>
      </c>
      <c r="M922" s="8"/>
      <c r="N922" s="8"/>
      <c r="O922" s="19"/>
      <c r="P922" s="8" t="s">
        <v>1157</v>
      </c>
      <c r="Q922" s="8" t="s">
        <v>5019</v>
      </c>
      <c r="R922" s="8"/>
      <c r="S922" s="8" t="s">
        <v>454</v>
      </c>
      <c r="T922" s="29" t="s">
        <v>3186</v>
      </c>
      <c r="U922" s="8" t="s">
        <v>429</v>
      </c>
      <c r="V922" s="8" t="s">
        <v>23</v>
      </c>
      <c r="W922" s="193">
        <v>1</v>
      </c>
      <c r="X922" s="8">
        <v>1</v>
      </c>
      <c r="Y922" s="8">
        <v>6</v>
      </c>
      <c r="Z922" s="8">
        <v>1</v>
      </c>
      <c r="AA922" s="193" t="s">
        <v>4118</v>
      </c>
      <c r="AB922" s="222"/>
    </row>
    <row r="923" spans="1:28" s="229" customFormat="1" ht="15" customHeight="1">
      <c r="A923" s="16">
        <v>922</v>
      </c>
      <c r="B923" s="14" t="s">
        <v>3500</v>
      </c>
      <c r="C923" s="14" t="str">
        <f>_xlfn.CONCAT(B923&amp;" "&amp;W923&amp;X923&amp;Y923&amp;Z923)</f>
        <v>AFC Elastomers Technology Pvt Ltd 5112</v>
      </c>
      <c r="D923" s="16">
        <v>939</v>
      </c>
      <c r="E923" s="9" t="s">
        <v>90</v>
      </c>
      <c r="F923" s="9"/>
      <c r="G923" s="24">
        <v>44790</v>
      </c>
      <c r="H923" s="24"/>
      <c r="I923" s="24"/>
      <c r="J923" s="24">
        <v>45826</v>
      </c>
      <c r="K923" s="24">
        <v>46555</v>
      </c>
      <c r="L923" s="32">
        <v>3</v>
      </c>
      <c r="M923" s="8" t="s">
        <v>3501</v>
      </c>
      <c r="N923" s="8" t="s">
        <v>28</v>
      </c>
      <c r="O923" s="19">
        <v>9820230783</v>
      </c>
      <c r="P923" s="8" t="s">
        <v>375</v>
      </c>
      <c r="Q923" s="8" t="s">
        <v>5020</v>
      </c>
      <c r="R923" s="8" t="s">
        <v>3502</v>
      </c>
      <c r="S923" s="8" t="s">
        <v>3503</v>
      </c>
      <c r="T923" s="29" t="s">
        <v>3504</v>
      </c>
      <c r="U923" s="8" t="s">
        <v>144</v>
      </c>
      <c r="V923" s="8" t="s">
        <v>23</v>
      </c>
      <c r="W923" s="193">
        <v>5</v>
      </c>
      <c r="X923" s="8">
        <v>1</v>
      </c>
      <c r="Y923" s="8">
        <v>1</v>
      </c>
      <c r="Z923" s="8">
        <v>2</v>
      </c>
      <c r="AA923" s="193" t="s">
        <v>4118</v>
      </c>
      <c r="AB923" s="222"/>
    </row>
    <row r="924" spans="1:28" s="229" customFormat="1" ht="15" customHeight="1">
      <c r="A924" s="16">
        <v>923</v>
      </c>
      <c r="B924" s="14" t="s">
        <v>3505</v>
      </c>
      <c r="C924" s="14" t="str">
        <f>_xlfn.CONCAT(B924&amp;" "&amp;W924&amp;X924&amp;Y924&amp;Z924)</f>
        <v>Sri Vinayaka Industries 8013</v>
      </c>
      <c r="D924" s="16">
        <v>1024</v>
      </c>
      <c r="E924" s="9" t="s">
        <v>42</v>
      </c>
      <c r="F924" s="9"/>
      <c r="G924" s="24">
        <v>44792</v>
      </c>
      <c r="H924" s="24"/>
      <c r="I924" s="24"/>
      <c r="J924" s="24">
        <v>44792</v>
      </c>
      <c r="K924" s="24">
        <v>45156</v>
      </c>
      <c r="L924" s="32">
        <v>3</v>
      </c>
      <c r="M924" s="8" t="s">
        <v>3506</v>
      </c>
      <c r="N924" s="8" t="s">
        <v>28</v>
      </c>
      <c r="O924" s="19">
        <v>9360312078</v>
      </c>
      <c r="P924" s="8" t="s">
        <v>3507</v>
      </c>
      <c r="Q924" s="8" t="s">
        <v>5021</v>
      </c>
      <c r="R924" s="8" t="s">
        <v>468</v>
      </c>
      <c r="S924" s="8" t="s">
        <v>121</v>
      </c>
      <c r="T924" s="29" t="s">
        <v>3268</v>
      </c>
      <c r="U924" s="8" t="s">
        <v>38</v>
      </c>
      <c r="V924" s="8" t="s">
        <v>23</v>
      </c>
      <c r="W924" s="193">
        <v>8</v>
      </c>
      <c r="X924" s="8">
        <v>0</v>
      </c>
      <c r="Y924" s="8">
        <v>1</v>
      </c>
      <c r="Z924" s="8">
        <v>3</v>
      </c>
      <c r="AA924" s="193" t="s">
        <v>4118</v>
      </c>
      <c r="AB924" s="222"/>
    </row>
    <row r="925" spans="1:28" s="229" customFormat="1" ht="15" customHeight="1">
      <c r="A925" s="16">
        <v>924</v>
      </c>
      <c r="B925" s="14" t="s">
        <v>3508</v>
      </c>
      <c r="C925" s="14" t="str">
        <f>_xlfn.CONCAT(B925&amp;" "&amp;W925&amp;X925&amp;Y925&amp;Z925)</f>
        <v>Unitek Engineering (Garuda Aerotech) 8051</v>
      </c>
      <c r="D925" s="16">
        <v>940</v>
      </c>
      <c r="E925" s="9" t="s">
        <v>1413</v>
      </c>
      <c r="F925" s="9"/>
      <c r="G925" s="24">
        <v>44795</v>
      </c>
      <c r="H925" s="24"/>
      <c r="I925" s="24"/>
      <c r="J925" s="24">
        <v>45889</v>
      </c>
      <c r="K925" s="24">
        <v>46253</v>
      </c>
      <c r="L925" s="32">
        <v>3</v>
      </c>
      <c r="M925" s="8" t="s">
        <v>3509</v>
      </c>
      <c r="N925" s="8" t="s">
        <v>28</v>
      </c>
      <c r="O925" s="19">
        <v>7760047865</v>
      </c>
      <c r="P925" s="8" t="s">
        <v>3510</v>
      </c>
      <c r="Q925" s="8" t="s">
        <v>5022</v>
      </c>
      <c r="R925" s="8"/>
      <c r="S925" s="8" t="s">
        <v>21</v>
      </c>
      <c r="T925" s="29" t="s">
        <v>3511</v>
      </c>
      <c r="U925" s="8" t="s">
        <v>22</v>
      </c>
      <c r="V925" s="8" t="s">
        <v>23</v>
      </c>
      <c r="W925" s="193">
        <v>8</v>
      </c>
      <c r="X925" s="8">
        <v>0</v>
      </c>
      <c r="Y925" s="8">
        <v>5</v>
      </c>
      <c r="Z925" s="8">
        <v>1</v>
      </c>
      <c r="AA925" s="193" t="s">
        <v>4118</v>
      </c>
      <c r="AB925" s="222"/>
    </row>
    <row r="926" spans="1:28" s="229" customFormat="1" ht="15" customHeight="1">
      <c r="A926" s="16">
        <v>925</v>
      </c>
      <c r="B926" s="14" t="s">
        <v>3512</v>
      </c>
      <c r="C926" s="14" t="str">
        <f>_xlfn.CONCAT(B926&amp;" "&amp;W926&amp;X926&amp;Y926&amp;Z926)</f>
        <v>Advanced Cutting Tools 8051</v>
      </c>
      <c r="D926" s="16">
        <v>916</v>
      </c>
      <c r="E926" s="9" t="s">
        <v>42</v>
      </c>
      <c r="F926" s="9"/>
      <c r="G926" s="24">
        <v>44797</v>
      </c>
      <c r="H926" s="24"/>
      <c r="I926" s="24"/>
      <c r="J926" s="24">
        <v>44797</v>
      </c>
      <c r="K926" s="24">
        <v>45161</v>
      </c>
      <c r="L926" s="32">
        <v>3</v>
      </c>
      <c r="M926" s="8" t="s">
        <v>3513</v>
      </c>
      <c r="N926" s="8" t="s">
        <v>151</v>
      </c>
      <c r="O926" s="19">
        <v>9740841641</v>
      </c>
      <c r="P926" s="8" t="s">
        <v>3514</v>
      </c>
      <c r="Q926" s="8" t="s">
        <v>5023</v>
      </c>
      <c r="R926" s="8" t="s">
        <v>3515</v>
      </c>
      <c r="S926" s="8" t="s">
        <v>21</v>
      </c>
      <c r="T926" s="29" t="s">
        <v>3063</v>
      </c>
      <c r="U926" s="8" t="s">
        <v>22</v>
      </c>
      <c r="V926" s="8" t="s">
        <v>23</v>
      </c>
      <c r="W926" s="193">
        <v>8</v>
      </c>
      <c r="X926" s="8">
        <v>0</v>
      </c>
      <c r="Y926" s="8">
        <v>5</v>
      </c>
      <c r="Z926" s="8">
        <v>1</v>
      </c>
      <c r="AA926" s="193" t="s">
        <v>4118</v>
      </c>
      <c r="AB926" s="222"/>
    </row>
    <row r="927" spans="1:28" s="229" customFormat="1" ht="15" customHeight="1">
      <c r="A927" s="16">
        <v>926</v>
      </c>
      <c r="B927" s="14" t="s">
        <v>3516</v>
      </c>
      <c r="C927" s="14" t="str">
        <f>_xlfn.CONCAT(B927&amp;" "&amp;W927&amp;X927&amp;Y927&amp;Z927)</f>
        <v>Leitz Tooling System India Pvt Ltd 8051</v>
      </c>
      <c r="D927" s="16">
        <v>975</v>
      </c>
      <c r="E927" s="9" t="s">
        <v>3069</v>
      </c>
      <c r="F927" s="9"/>
      <c r="G927" s="24">
        <v>44802</v>
      </c>
      <c r="H927" s="24"/>
      <c r="I927" s="24"/>
      <c r="J927" s="24">
        <v>44802</v>
      </c>
      <c r="K927" s="24">
        <v>45166</v>
      </c>
      <c r="L927" s="32">
        <v>3</v>
      </c>
      <c r="M927" s="8" t="s">
        <v>3517</v>
      </c>
      <c r="N927" s="8" t="s">
        <v>3518</v>
      </c>
      <c r="O927" s="19">
        <v>9148434699</v>
      </c>
      <c r="P927" s="8" t="s">
        <v>3519</v>
      </c>
      <c r="Q927" s="8" t="s">
        <v>5024</v>
      </c>
      <c r="R927" s="8" t="s">
        <v>1512</v>
      </c>
      <c r="S927" s="8" t="s">
        <v>21</v>
      </c>
      <c r="T927" s="29" t="s">
        <v>3063</v>
      </c>
      <c r="U927" s="8" t="s">
        <v>22</v>
      </c>
      <c r="V927" s="8" t="s">
        <v>23</v>
      </c>
      <c r="W927" s="193">
        <v>8</v>
      </c>
      <c r="X927" s="8">
        <v>0</v>
      </c>
      <c r="Y927" s="8">
        <v>5</v>
      </c>
      <c r="Z927" s="8">
        <v>1</v>
      </c>
      <c r="AA927" s="193" t="s">
        <v>4118</v>
      </c>
      <c r="AB927" s="222"/>
    </row>
    <row r="928" spans="1:28" s="229" customFormat="1" ht="15" customHeight="1">
      <c r="A928" s="16">
        <v>927</v>
      </c>
      <c r="B928" s="14" t="s">
        <v>3520</v>
      </c>
      <c r="C928" s="14" t="str">
        <f>_xlfn.CONCAT(B928&amp;" "&amp;W928&amp;X928&amp;Y928&amp;Z928)</f>
        <v>Toolcom Innovative Solutions Pvt Ltd 4162</v>
      </c>
      <c r="D928" s="16">
        <v>941</v>
      </c>
      <c r="E928" s="9" t="s">
        <v>90</v>
      </c>
      <c r="F928" s="9"/>
      <c r="G928" s="24">
        <v>44809</v>
      </c>
      <c r="H928" s="24"/>
      <c r="I928" s="24"/>
      <c r="J928" s="24">
        <v>44809</v>
      </c>
      <c r="K928" s="24">
        <v>45173</v>
      </c>
      <c r="L928" s="32">
        <v>3</v>
      </c>
      <c r="M928" s="8" t="s">
        <v>3521</v>
      </c>
      <c r="N928" s="8"/>
      <c r="O928" s="19">
        <v>9789365535</v>
      </c>
      <c r="P928" s="8" t="s">
        <v>3522</v>
      </c>
      <c r="Q928" s="8" t="s">
        <v>5025</v>
      </c>
      <c r="R928" s="8" t="s">
        <v>3523</v>
      </c>
      <c r="S928" s="8" t="s">
        <v>101</v>
      </c>
      <c r="T928" s="29" t="s">
        <v>3524</v>
      </c>
      <c r="U928" s="8" t="s">
        <v>38</v>
      </c>
      <c r="V928" s="8" t="s">
        <v>23</v>
      </c>
      <c r="W928" s="193">
        <v>4</v>
      </c>
      <c r="X928" s="8">
        <v>1</v>
      </c>
      <c r="Y928" s="8">
        <v>6</v>
      </c>
      <c r="Z928" s="8">
        <v>2</v>
      </c>
      <c r="AA928" s="193" t="s">
        <v>4148</v>
      </c>
      <c r="AB928" s="222"/>
    </row>
    <row r="929" spans="1:28" s="229" customFormat="1" ht="15" customHeight="1">
      <c r="A929" s="16">
        <v>928</v>
      </c>
      <c r="B929" s="14" t="s">
        <v>1917</v>
      </c>
      <c r="C929" s="14" t="str">
        <f>_xlfn.CONCAT(B929&amp;" "&amp;W929&amp;X929&amp;Y929&amp;Z929)</f>
        <v>JJG Machining Pvt Ltd 8012</v>
      </c>
      <c r="D929" s="16">
        <v>942</v>
      </c>
      <c r="E929" s="9" t="s">
        <v>90</v>
      </c>
      <c r="F929" s="9"/>
      <c r="G929" s="24">
        <v>44813</v>
      </c>
      <c r="H929" s="24"/>
      <c r="I929" s="24"/>
      <c r="J929" s="24">
        <v>45176</v>
      </c>
      <c r="K929" s="24">
        <v>45541</v>
      </c>
      <c r="L929" s="32">
        <v>3</v>
      </c>
      <c r="M929" s="8" t="s">
        <v>3525</v>
      </c>
      <c r="N929" s="8" t="s">
        <v>2537</v>
      </c>
      <c r="O929" s="19"/>
      <c r="P929" s="8" t="s">
        <v>2209</v>
      </c>
      <c r="Q929" s="8" t="s">
        <v>5026</v>
      </c>
      <c r="R929" s="8"/>
      <c r="S929" s="8" t="s">
        <v>21</v>
      </c>
      <c r="T929" s="29" t="s">
        <v>3088</v>
      </c>
      <c r="U929" s="8" t="s">
        <v>22</v>
      </c>
      <c r="V929" s="8" t="s">
        <v>23</v>
      </c>
      <c r="W929" s="193">
        <v>8</v>
      </c>
      <c r="X929" s="8">
        <v>0</v>
      </c>
      <c r="Y929" s="8">
        <v>1</v>
      </c>
      <c r="Z929" s="8">
        <v>2</v>
      </c>
      <c r="AA929" s="193" t="s">
        <v>4118</v>
      </c>
      <c r="AB929" s="222"/>
    </row>
    <row r="930" spans="1:28" s="229" customFormat="1" ht="15" customHeight="1">
      <c r="A930" s="16">
        <v>929</v>
      </c>
      <c r="B930" s="14" t="s">
        <v>3526</v>
      </c>
      <c r="C930" s="14" t="str">
        <f>_xlfn.CONCAT(B930&amp;" "&amp;W930&amp;X930&amp;Y930&amp;Z930)</f>
        <v>Timex Group Precision Engg Ltd 1151</v>
      </c>
      <c r="D930" s="16">
        <v>943</v>
      </c>
      <c r="E930" s="9" t="s">
        <v>90</v>
      </c>
      <c r="F930" s="9"/>
      <c r="G930" s="24">
        <v>44823</v>
      </c>
      <c r="H930" s="24"/>
      <c r="I930" s="24"/>
      <c r="J930" s="24">
        <v>44823</v>
      </c>
      <c r="K930" s="24">
        <v>45553</v>
      </c>
      <c r="L930" s="32">
        <v>3</v>
      </c>
      <c r="M930" s="8" t="s">
        <v>3527</v>
      </c>
      <c r="N930" s="8"/>
      <c r="O930" s="19">
        <v>9818237638</v>
      </c>
      <c r="P930" s="8"/>
      <c r="Q930" s="8" t="s">
        <v>5027</v>
      </c>
      <c r="R930" s="8"/>
      <c r="S930" s="8" t="s">
        <v>185</v>
      </c>
      <c r="T930" s="29" t="s">
        <v>3528</v>
      </c>
      <c r="U930" s="8" t="s">
        <v>184</v>
      </c>
      <c r="V930" s="8" t="s">
        <v>23</v>
      </c>
      <c r="W930" s="193">
        <v>1</v>
      </c>
      <c r="X930" s="8">
        <v>1</v>
      </c>
      <c r="Y930" s="8">
        <v>5</v>
      </c>
      <c r="Z930" s="8">
        <v>1</v>
      </c>
      <c r="AA930" s="193" t="s">
        <v>4118</v>
      </c>
      <c r="AB930" s="222"/>
    </row>
    <row r="931" spans="1:28" s="229" customFormat="1" ht="15" customHeight="1">
      <c r="A931" s="16">
        <v>930</v>
      </c>
      <c r="B931" s="14" t="s">
        <v>3529</v>
      </c>
      <c r="C931" s="14" t="str">
        <f>_xlfn.CONCAT(B931&amp;" "&amp;W931&amp;X931&amp;Y931&amp;Z931)</f>
        <v>Neha Engg Tools 1334</v>
      </c>
      <c r="D931" s="16">
        <v>1026</v>
      </c>
      <c r="E931" s="9" t="s">
        <v>42</v>
      </c>
      <c r="F931" s="9"/>
      <c r="G931" s="24">
        <v>44823</v>
      </c>
      <c r="H931" s="24"/>
      <c r="I931" s="24"/>
      <c r="J931" s="24">
        <v>44823</v>
      </c>
      <c r="K931" s="24">
        <v>45553</v>
      </c>
      <c r="L931" s="32">
        <v>3</v>
      </c>
      <c r="M931" s="8" t="s">
        <v>3530</v>
      </c>
      <c r="N931" s="8"/>
      <c r="O931" s="19">
        <v>9815065680</v>
      </c>
      <c r="P931" s="8" t="s">
        <v>79</v>
      </c>
      <c r="Q931" s="8" t="s">
        <v>5028</v>
      </c>
      <c r="R931" s="8"/>
      <c r="S931" s="8" t="s">
        <v>1738</v>
      </c>
      <c r="T931" s="29" t="s">
        <v>3531</v>
      </c>
      <c r="U931" s="8" t="s">
        <v>2294</v>
      </c>
      <c r="V931" s="8" t="s">
        <v>23</v>
      </c>
      <c r="W931" s="193">
        <v>1</v>
      </c>
      <c r="X931" s="8">
        <v>3</v>
      </c>
      <c r="Y931" s="8">
        <v>3</v>
      </c>
      <c r="Z931" s="8">
        <v>4</v>
      </c>
      <c r="AA931" s="193" t="s">
        <v>4118</v>
      </c>
      <c r="AB931" s="222"/>
    </row>
    <row r="932" spans="1:28" s="229" customFormat="1" ht="15" customHeight="1">
      <c r="A932" s="16">
        <v>931</v>
      </c>
      <c r="B932" s="14" t="s">
        <v>3532</v>
      </c>
      <c r="C932" s="14" t="str">
        <f>_xlfn.CONCAT(B932&amp;" "&amp;W932&amp;X932&amp;Y932&amp;Z932)</f>
        <v>AGS Visions Pvt Ltd 1334</v>
      </c>
      <c r="D932" s="16">
        <v>1027</v>
      </c>
      <c r="E932" s="9" t="s">
        <v>42</v>
      </c>
      <c r="F932" s="9"/>
      <c r="G932" s="24">
        <v>44823</v>
      </c>
      <c r="H932" s="24"/>
      <c r="I932" s="24"/>
      <c r="J932" s="24">
        <v>44823</v>
      </c>
      <c r="K932" s="24">
        <v>45187</v>
      </c>
      <c r="L932" s="32">
        <v>3</v>
      </c>
      <c r="M932" s="8" t="s">
        <v>3533</v>
      </c>
      <c r="N932" s="8"/>
      <c r="O932" s="19">
        <v>9988950292</v>
      </c>
      <c r="P932" s="8" t="s">
        <v>3534</v>
      </c>
      <c r="Q932" s="8" t="s">
        <v>5029</v>
      </c>
      <c r="R932" s="8" t="s">
        <v>3535</v>
      </c>
      <c r="S932" s="8" t="s">
        <v>3536</v>
      </c>
      <c r="T932" s="29" t="s">
        <v>3537</v>
      </c>
      <c r="U932" s="8" t="s">
        <v>1787</v>
      </c>
      <c r="V932" s="8" t="s">
        <v>23</v>
      </c>
      <c r="W932" s="193">
        <v>1</v>
      </c>
      <c r="X932" s="8">
        <v>3</v>
      </c>
      <c r="Y932" s="8">
        <v>3</v>
      </c>
      <c r="Z932" s="8">
        <v>4</v>
      </c>
      <c r="AA932" s="193" t="s">
        <v>4118</v>
      </c>
      <c r="AB932" s="222"/>
    </row>
    <row r="933" spans="1:28" s="229" customFormat="1" ht="15" customHeight="1">
      <c r="A933" s="16">
        <v>932</v>
      </c>
      <c r="B933" s="14" t="s">
        <v>3538</v>
      </c>
      <c r="C933" s="14" t="str">
        <f>_xlfn.CONCAT(B933&amp;" "&amp;W933&amp;X933&amp;Y933&amp;Z933)</f>
        <v>JHY Techserve Pvt Ltd 8082</v>
      </c>
      <c r="D933" s="16">
        <v>1032</v>
      </c>
      <c r="E933" s="9" t="s">
        <v>2082</v>
      </c>
      <c r="F933" s="9"/>
      <c r="G933" s="24">
        <v>44830</v>
      </c>
      <c r="H933" s="24"/>
      <c r="I933" s="24"/>
      <c r="J933" s="39">
        <v>45996</v>
      </c>
      <c r="K933" s="39">
        <v>46360</v>
      </c>
      <c r="L933" s="32">
        <v>3</v>
      </c>
      <c r="M933" s="8" t="s">
        <v>3539</v>
      </c>
      <c r="N933" s="8" t="s">
        <v>2537</v>
      </c>
      <c r="O933" s="19">
        <v>9741783940</v>
      </c>
      <c r="P933" s="8" t="s">
        <v>3540</v>
      </c>
      <c r="Q933" s="8" t="s">
        <v>5030</v>
      </c>
      <c r="R933" s="8" t="s">
        <v>3541</v>
      </c>
      <c r="S933" s="8" t="s">
        <v>507</v>
      </c>
      <c r="T933" s="29" t="s">
        <v>3542</v>
      </c>
      <c r="U933" s="8" t="s">
        <v>22</v>
      </c>
      <c r="V933" s="8" t="s">
        <v>23</v>
      </c>
      <c r="W933" s="193">
        <v>8</v>
      </c>
      <c r="X933" s="8">
        <v>0</v>
      </c>
      <c r="Y933" s="8">
        <v>8</v>
      </c>
      <c r="Z933" s="8">
        <v>2</v>
      </c>
      <c r="AA933" s="193" t="s">
        <v>4118</v>
      </c>
      <c r="AB933" s="222"/>
    </row>
    <row r="934" spans="1:28" s="229" customFormat="1" ht="15" customHeight="1">
      <c r="A934" s="16">
        <v>933</v>
      </c>
      <c r="B934" s="14" t="s">
        <v>3543</v>
      </c>
      <c r="C934" s="14" t="str">
        <f>_xlfn.CONCAT(B934&amp;" "&amp;W934&amp;X934&amp;Y934&amp;Z934)</f>
        <v>Gleason Works (India) Pvt Ltd 8071</v>
      </c>
      <c r="D934" s="16">
        <v>952</v>
      </c>
      <c r="E934" s="9" t="s">
        <v>302</v>
      </c>
      <c r="F934" s="9"/>
      <c r="G934" s="24">
        <v>44841</v>
      </c>
      <c r="H934" s="24"/>
      <c r="I934" s="24"/>
      <c r="J934" s="24">
        <v>44841</v>
      </c>
      <c r="K934" s="24">
        <v>45205</v>
      </c>
      <c r="L934" s="32">
        <v>3</v>
      </c>
      <c r="M934" s="8" t="s">
        <v>3544</v>
      </c>
      <c r="N934" s="8" t="s">
        <v>3545</v>
      </c>
      <c r="O934" s="19">
        <v>6364889278</v>
      </c>
      <c r="P934" s="8" t="s">
        <v>3546</v>
      </c>
      <c r="Q934" s="8" t="s">
        <v>5031</v>
      </c>
      <c r="R934" s="8" t="s">
        <v>2219</v>
      </c>
      <c r="S934" s="8" t="s">
        <v>21</v>
      </c>
      <c r="T934" s="29" t="s">
        <v>3547</v>
      </c>
      <c r="U934" s="8" t="s">
        <v>22</v>
      </c>
      <c r="V934" s="8" t="s">
        <v>23</v>
      </c>
      <c r="W934" s="193">
        <v>8</v>
      </c>
      <c r="X934" s="8">
        <v>0</v>
      </c>
      <c r="Y934" s="8">
        <v>7</v>
      </c>
      <c r="Z934" s="8">
        <v>1</v>
      </c>
      <c r="AA934" s="193" t="s">
        <v>4118</v>
      </c>
      <c r="AB934" s="222"/>
    </row>
    <row r="935" spans="1:28" s="229" customFormat="1" ht="15" customHeight="1">
      <c r="A935" s="16">
        <v>934</v>
      </c>
      <c r="B935" s="14" t="s">
        <v>3548</v>
      </c>
      <c r="C935" s="14" t="str">
        <f>_xlfn.CONCAT(B935&amp;" "&amp;W935&amp;X935&amp;Y935&amp;Z935)</f>
        <v>Patco Precision Components P Ltd 2301</v>
      </c>
      <c r="D935" s="16">
        <v>931</v>
      </c>
      <c r="E935" s="9" t="s">
        <v>90</v>
      </c>
      <c r="F935" s="9"/>
      <c r="G935" s="24">
        <v>44849</v>
      </c>
      <c r="H935" s="24"/>
      <c r="I935" s="24"/>
      <c r="J935" s="24">
        <v>44849</v>
      </c>
      <c r="K935" s="24">
        <v>45944</v>
      </c>
      <c r="L935" s="32">
        <v>3</v>
      </c>
      <c r="M935" s="8" t="s">
        <v>3549</v>
      </c>
      <c r="N935" s="8" t="s">
        <v>28</v>
      </c>
      <c r="O935" s="19">
        <v>9850682583</v>
      </c>
      <c r="P935" s="8" t="s">
        <v>502</v>
      </c>
      <c r="Q935" s="8" t="s">
        <v>5032</v>
      </c>
      <c r="R935" s="8"/>
      <c r="S935" s="8" t="s">
        <v>321</v>
      </c>
      <c r="T935" s="29">
        <v>422010</v>
      </c>
      <c r="U935" s="8" t="s">
        <v>172</v>
      </c>
      <c r="V935" s="8" t="s">
        <v>23</v>
      </c>
      <c r="W935" s="193">
        <v>2</v>
      </c>
      <c r="X935" s="8">
        <v>3</v>
      </c>
      <c r="Y935" s="8">
        <v>0</v>
      </c>
      <c r="Z935" s="8">
        <v>1</v>
      </c>
      <c r="AA935" s="193" t="s">
        <v>5215</v>
      </c>
      <c r="AB935" s="222"/>
    </row>
    <row r="936" spans="1:28" s="229" customFormat="1" ht="15" customHeight="1">
      <c r="A936" s="16">
        <v>935</v>
      </c>
      <c r="B936" s="14" t="s">
        <v>3550</v>
      </c>
      <c r="C936" s="14" t="str">
        <f>_xlfn.CONCAT(B936&amp;" "&amp;W936&amp;X936&amp;Y936&amp;Z936)</f>
        <v>Integral Cable and Interconnect LLP 4034</v>
      </c>
      <c r="D936" s="16">
        <v>1028</v>
      </c>
      <c r="E936" s="9" t="s">
        <v>42</v>
      </c>
      <c r="F936" s="9"/>
      <c r="G936" s="24">
        <v>44852</v>
      </c>
      <c r="H936" s="24"/>
      <c r="I936" s="24"/>
      <c r="J936" s="24">
        <v>44852</v>
      </c>
      <c r="K936" s="24">
        <v>45218</v>
      </c>
      <c r="L936" s="32">
        <v>3</v>
      </c>
      <c r="M936" s="8" t="s">
        <v>3551</v>
      </c>
      <c r="N936" s="8"/>
      <c r="O936" s="19">
        <v>8793007075</v>
      </c>
      <c r="P936" s="8" t="s">
        <v>3552</v>
      </c>
      <c r="Q936" s="8" t="s">
        <v>5033</v>
      </c>
      <c r="R936" s="8"/>
      <c r="S936" s="8" t="s">
        <v>215</v>
      </c>
      <c r="T936" s="29">
        <v>411041</v>
      </c>
      <c r="U936" s="8" t="s">
        <v>172</v>
      </c>
      <c r="V936" s="8" t="s">
        <v>23</v>
      </c>
      <c r="W936" s="193">
        <v>4</v>
      </c>
      <c r="X936" s="8">
        <v>0</v>
      </c>
      <c r="Y936" s="8">
        <v>3</v>
      </c>
      <c r="Z936" s="8">
        <v>4</v>
      </c>
      <c r="AA936" s="193" t="s">
        <v>4148</v>
      </c>
      <c r="AB936" s="222"/>
    </row>
    <row r="937" spans="1:28" s="229" customFormat="1" ht="15" customHeight="1">
      <c r="A937" s="16">
        <v>936</v>
      </c>
      <c r="B937" s="14" t="s">
        <v>3014</v>
      </c>
      <c r="C937" s="14" t="str">
        <f>_xlfn.CONCAT(B937&amp;" "&amp;W937&amp;X937&amp;Y937&amp;Z937)</f>
        <v>TGT Tech Private Limited 8051</v>
      </c>
      <c r="D937" s="16" t="s">
        <v>2826</v>
      </c>
      <c r="E937" s="9"/>
      <c r="F937" s="9"/>
      <c r="G937" s="24">
        <v>44853</v>
      </c>
      <c r="H937" s="24"/>
      <c r="I937" s="24"/>
      <c r="J937" s="24">
        <v>44853</v>
      </c>
      <c r="K937" s="24">
        <v>45217</v>
      </c>
      <c r="L937" s="32">
        <v>3</v>
      </c>
      <c r="M937" s="8" t="s">
        <v>2542</v>
      </c>
      <c r="N937" s="8" t="s">
        <v>28</v>
      </c>
      <c r="O937" s="19">
        <v>9886126239</v>
      </c>
      <c r="P937" s="8" t="s">
        <v>2543</v>
      </c>
      <c r="Q937" s="8" t="s">
        <v>5034</v>
      </c>
      <c r="R937" s="8" t="s">
        <v>1512</v>
      </c>
      <c r="S937" s="8" t="s">
        <v>21</v>
      </c>
      <c r="T937" s="29">
        <v>560058</v>
      </c>
      <c r="U937" s="8" t="s">
        <v>22</v>
      </c>
      <c r="V937" s="8" t="s">
        <v>23</v>
      </c>
      <c r="W937" s="193">
        <v>8</v>
      </c>
      <c r="X937" s="8">
        <v>0</v>
      </c>
      <c r="Y937" s="8">
        <v>5</v>
      </c>
      <c r="Z937" s="8">
        <v>1</v>
      </c>
      <c r="AA937" s="193" t="s">
        <v>4118</v>
      </c>
      <c r="AB937" s="222"/>
    </row>
    <row r="938" spans="1:28" s="229" customFormat="1" ht="15" customHeight="1">
      <c r="A938" s="16">
        <v>937</v>
      </c>
      <c r="B938" s="14" t="s">
        <v>3554</v>
      </c>
      <c r="C938" s="14" t="str">
        <f>_xlfn.CONCAT(B938&amp;" "&amp;W938&amp;X938&amp;Y938&amp;Z938)</f>
        <v>J J Glastronics Pvt. Ltd 8011</v>
      </c>
      <c r="D938" s="16">
        <v>944</v>
      </c>
      <c r="E938" s="9" t="s">
        <v>1413</v>
      </c>
      <c r="F938" s="9"/>
      <c r="G938" s="24">
        <v>44854</v>
      </c>
      <c r="H938" s="24"/>
      <c r="I938" s="24"/>
      <c r="J938" s="24">
        <v>44854</v>
      </c>
      <c r="K938" s="24">
        <v>45218</v>
      </c>
      <c r="L938" s="32">
        <v>3</v>
      </c>
      <c r="M938" s="8" t="s">
        <v>2174</v>
      </c>
      <c r="N938" s="8" t="s">
        <v>2154</v>
      </c>
      <c r="O938" s="19">
        <v>9880735123</v>
      </c>
      <c r="P938" s="8" t="s">
        <v>3555</v>
      </c>
      <c r="Q938" s="8" t="s">
        <v>5035</v>
      </c>
      <c r="R938" s="8" t="s">
        <v>3556</v>
      </c>
      <c r="S938" s="8" t="s">
        <v>21</v>
      </c>
      <c r="T938" s="29">
        <v>560100</v>
      </c>
      <c r="U938" s="8" t="s">
        <v>22</v>
      </c>
      <c r="V938" s="8" t="s">
        <v>23</v>
      </c>
      <c r="W938" s="193">
        <v>8</v>
      </c>
      <c r="X938" s="8">
        <v>0</v>
      </c>
      <c r="Y938" s="8">
        <v>1</v>
      </c>
      <c r="Z938" s="8">
        <v>1</v>
      </c>
      <c r="AA938" s="193" t="s">
        <v>4118</v>
      </c>
      <c r="AB938" s="222"/>
    </row>
    <row r="939" spans="1:28" s="229" customFormat="1" ht="15" customHeight="1">
      <c r="A939" s="16">
        <v>938</v>
      </c>
      <c r="B939" s="14" t="s">
        <v>1634</v>
      </c>
      <c r="C939" s="14" t="str">
        <f>_xlfn.CONCAT(B939&amp;" "&amp;W939&amp;X939&amp;Y939&amp;Z939)</f>
        <v>Prabha Engg Pvt Ltd 4031</v>
      </c>
      <c r="D939" s="16">
        <v>946</v>
      </c>
      <c r="E939" s="9" t="s">
        <v>90</v>
      </c>
      <c r="F939" s="9"/>
      <c r="G939" s="24">
        <v>44860</v>
      </c>
      <c r="H939" s="24"/>
      <c r="I939" s="24"/>
      <c r="J939" s="24">
        <v>44860</v>
      </c>
      <c r="K939" s="24">
        <v>45224</v>
      </c>
      <c r="L939" s="32">
        <v>3</v>
      </c>
      <c r="M939" s="8" t="s">
        <v>3557</v>
      </c>
      <c r="N939" s="8" t="s">
        <v>3558</v>
      </c>
      <c r="O939" s="19">
        <v>7094385165</v>
      </c>
      <c r="P939" s="8" t="s">
        <v>3559</v>
      </c>
      <c r="Q939" s="8" t="s">
        <v>5036</v>
      </c>
      <c r="R939" s="8" t="s">
        <v>3560</v>
      </c>
      <c r="S939" s="8" t="s">
        <v>2503</v>
      </c>
      <c r="T939" s="29">
        <v>631604</v>
      </c>
      <c r="U939" s="8" t="s">
        <v>38</v>
      </c>
      <c r="V939" s="8" t="s">
        <v>23</v>
      </c>
      <c r="W939" s="193">
        <v>4</v>
      </c>
      <c r="X939" s="8">
        <v>0</v>
      </c>
      <c r="Y939" s="8">
        <v>3</v>
      </c>
      <c r="Z939" s="8">
        <v>1</v>
      </c>
      <c r="AA939" s="193" t="s">
        <v>4148</v>
      </c>
      <c r="AB939" s="222"/>
    </row>
    <row r="940" spans="1:28" s="229" customFormat="1" ht="15" customHeight="1">
      <c r="A940" s="16">
        <v>939</v>
      </c>
      <c r="B940" s="14" t="s">
        <v>3561</v>
      </c>
      <c r="C940" s="14" t="str">
        <f>_xlfn.CONCAT(B940&amp;" "&amp;W940&amp;X940&amp;Y940&amp;Z940)</f>
        <v>Foreaxis Technology  8021</v>
      </c>
      <c r="D940" s="16">
        <v>945</v>
      </c>
      <c r="E940" s="9" t="s">
        <v>810</v>
      </c>
      <c r="F940" s="9"/>
      <c r="G940" s="24">
        <v>44862</v>
      </c>
      <c r="H940" s="24"/>
      <c r="I940" s="24"/>
      <c r="J940" s="24">
        <v>45296</v>
      </c>
      <c r="K940" s="24">
        <v>45661</v>
      </c>
      <c r="L940" s="32">
        <v>3</v>
      </c>
      <c r="M940" s="8"/>
      <c r="N940" s="8"/>
      <c r="O940" s="19"/>
      <c r="P940" s="8" t="s">
        <v>3562</v>
      </c>
      <c r="Q940" s="8" t="s">
        <v>5037</v>
      </c>
      <c r="R940" s="8"/>
      <c r="S940" s="8" t="s">
        <v>21</v>
      </c>
      <c r="T940" s="29">
        <v>560099</v>
      </c>
      <c r="U940" s="8" t="s">
        <v>22</v>
      </c>
      <c r="V940" s="8" t="s">
        <v>23</v>
      </c>
      <c r="W940" s="193">
        <v>8</v>
      </c>
      <c r="X940" s="8">
        <v>0</v>
      </c>
      <c r="Y940" s="8">
        <v>2</v>
      </c>
      <c r="Z940" s="8">
        <v>1</v>
      </c>
      <c r="AA940" s="193" t="s">
        <v>4118</v>
      </c>
      <c r="AB940" s="222"/>
    </row>
    <row r="941" spans="1:28" s="229" customFormat="1" ht="15" customHeight="1">
      <c r="A941" s="16">
        <v>940</v>
      </c>
      <c r="B941" s="14" t="s">
        <v>3563</v>
      </c>
      <c r="C941" s="14" t="str">
        <f>_xlfn.CONCAT(B941&amp;" "&amp;W941&amp;X941&amp;Y941&amp;Z941)</f>
        <v>Karthik Auto Components 8013</v>
      </c>
      <c r="D941" s="16">
        <v>1029</v>
      </c>
      <c r="E941" s="9" t="s">
        <v>3564</v>
      </c>
      <c r="F941" s="9"/>
      <c r="G941" s="24">
        <v>44868</v>
      </c>
      <c r="H941" s="24"/>
      <c r="I941" s="24"/>
      <c r="J941" s="24">
        <v>44868</v>
      </c>
      <c r="K941" s="24">
        <v>45232</v>
      </c>
      <c r="L941" s="32">
        <v>3</v>
      </c>
      <c r="M941" s="8"/>
      <c r="N941" s="8"/>
      <c r="O941" s="19"/>
      <c r="P941" s="8" t="s">
        <v>3565</v>
      </c>
      <c r="Q941" s="8" t="s">
        <v>5038</v>
      </c>
      <c r="R941" s="8" t="s">
        <v>3566</v>
      </c>
      <c r="S941" s="8" t="s">
        <v>121</v>
      </c>
      <c r="T941" s="29">
        <v>635126</v>
      </c>
      <c r="U941" s="8" t="s">
        <v>38</v>
      </c>
      <c r="V941" s="8" t="s">
        <v>23</v>
      </c>
      <c r="W941" s="193">
        <v>8</v>
      </c>
      <c r="X941" s="8">
        <v>0</v>
      </c>
      <c r="Y941" s="8">
        <v>1</v>
      </c>
      <c r="Z941" s="8">
        <v>3</v>
      </c>
      <c r="AA941" s="193" t="s">
        <v>4118</v>
      </c>
      <c r="AB941" s="222"/>
    </row>
    <row r="942" spans="1:28" s="229" customFormat="1" ht="15" customHeight="1">
      <c r="A942" s="16">
        <v>941</v>
      </c>
      <c r="B942" s="14" t="s">
        <v>3567</v>
      </c>
      <c r="C942" s="14" t="str">
        <f>_xlfn.CONCAT(B942&amp;" "&amp;W942&amp;X942&amp;Y942&amp;Z942)</f>
        <v>Nasmyth Asia  8051</v>
      </c>
      <c r="D942" s="16">
        <v>947</v>
      </c>
      <c r="E942" s="9" t="s">
        <v>90</v>
      </c>
      <c r="F942" s="9"/>
      <c r="G942" s="24">
        <v>44872</v>
      </c>
      <c r="H942" s="24"/>
      <c r="I942" s="24"/>
      <c r="J942" s="24">
        <v>45226</v>
      </c>
      <c r="K942" s="24">
        <v>45591</v>
      </c>
      <c r="L942" s="32">
        <v>3</v>
      </c>
      <c r="M942" s="8"/>
      <c r="N942" s="8"/>
      <c r="O942" s="19"/>
      <c r="P942" s="8" t="s">
        <v>1512</v>
      </c>
      <c r="Q942" s="8" t="s">
        <v>5039</v>
      </c>
      <c r="R942" s="8"/>
      <c r="S942" s="8" t="s">
        <v>21</v>
      </c>
      <c r="T942" s="29">
        <v>560058</v>
      </c>
      <c r="U942" s="8" t="s">
        <v>22</v>
      </c>
      <c r="V942" s="8" t="s">
        <v>23</v>
      </c>
      <c r="W942" s="193">
        <v>8</v>
      </c>
      <c r="X942" s="8">
        <v>0</v>
      </c>
      <c r="Y942" s="8">
        <v>5</v>
      </c>
      <c r="Z942" s="8">
        <v>1</v>
      </c>
      <c r="AA942" s="193" t="s">
        <v>4118</v>
      </c>
      <c r="AB942" s="222"/>
    </row>
    <row r="943" spans="1:28" s="229" customFormat="1" ht="15" customHeight="1">
      <c r="A943" s="16">
        <v>942</v>
      </c>
      <c r="B943" s="14" t="s">
        <v>3568</v>
      </c>
      <c r="C943" s="14" t="str">
        <f>_xlfn.CONCAT(B943&amp;" "&amp;W943&amp;X943&amp;Y943&amp;Z943)</f>
        <v>Efficient Plastech Pvt Ltd (Efficient Engg) 2112</v>
      </c>
      <c r="D943" s="16">
        <v>1031</v>
      </c>
      <c r="E943" s="9" t="s">
        <v>42</v>
      </c>
      <c r="F943" s="9"/>
      <c r="G943" s="24">
        <v>44883</v>
      </c>
      <c r="H943" s="24"/>
      <c r="I943" s="24"/>
      <c r="J943" s="24">
        <v>44883</v>
      </c>
      <c r="K943" s="24">
        <v>45247</v>
      </c>
      <c r="L943" s="32">
        <v>3</v>
      </c>
      <c r="M943" s="8"/>
      <c r="N943" s="8"/>
      <c r="O943" s="19"/>
      <c r="P943" s="8" t="s">
        <v>3569</v>
      </c>
      <c r="Q943" s="8" t="s">
        <v>5040</v>
      </c>
      <c r="R943" s="8"/>
      <c r="S943" s="8" t="s">
        <v>178</v>
      </c>
      <c r="T943" s="29">
        <v>401305</v>
      </c>
      <c r="U943" s="8" t="s">
        <v>172</v>
      </c>
      <c r="V943" s="8" t="s">
        <v>23</v>
      </c>
      <c r="W943" s="193">
        <v>2</v>
      </c>
      <c r="X943" s="8">
        <v>1</v>
      </c>
      <c r="Y943" s="8">
        <v>1</v>
      </c>
      <c r="Z943" s="8">
        <v>2</v>
      </c>
      <c r="AA943" s="193" t="s">
        <v>4118</v>
      </c>
      <c r="AB943" s="222"/>
    </row>
    <row r="944" spans="1:28" s="229" customFormat="1" ht="15" customHeight="1">
      <c r="A944" s="16">
        <v>943</v>
      </c>
      <c r="B944" s="14" t="s">
        <v>3570</v>
      </c>
      <c r="C944" s="14" t="str">
        <f>_xlfn.CONCAT(B944&amp;" "&amp;W944&amp;X944&amp;Y944&amp;Z944)</f>
        <v>Schneider Electric 2431</v>
      </c>
      <c r="D944" s="16">
        <v>1030</v>
      </c>
      <c r="E944" s="9" t="s">
        <v>42</v>
      </c>
      <c r="F944" s="9"/>
      <c r="G944" s="24">
        <v>44883</v>
      </c>
      <c r="H944" s="24"/>
      <c r="I944" s="24"/>
      <c r="J944" s="24">
        <v>44883</v>
      </c>
      <c r="K944" s="24">
        <v>45613</v>
      </c>
      <c r="L944" s="32">
        <v>3</v>
      </c>
      <c r="M944" s="8"/>
      <c r="N944" s="8"/>
      <c r="O944" s="19"/>
      <c r="P944" s="8" t="s">
        <v>3571</v>
      </c>
      <c r="Q944" s="8" t="s">
        <v>5041</v>
      </c>
      <c r="R944" s="8" t="s">
        <v>3066</v>
      </c>
      <c r="S944" s="8" t="s">
        <v>1421</v>
      </c>
      <c r="T944" s="29">
        <v>414111</v>
      </c>
      <c r="U944" s="8" t="s">
        <v>172</v>
      </c>
      <c r="V944" s="8" t="s">
        <v>23</v>
      </c>
      <c r="W944" s="193">
        <v>2</v>
      </c>
      <c r="X944" s="8">
        <v>4</v>
      </c>
      <c r="Y944" s="8">
        <v>3</v>
      </c>
      <c r="Z944" s="8">
        <v>1</v>
      </c>
      <c r="AA944" s="193" t="s">
        <v>4151</v>
      </c>
      <c r="AB944" s="222"/>
    </row>
    <row r="945" spans="1:28" s="229" customFormat="1" ht="15" customHeight="1">
      <c r="A945" s="16">
        <v>944</v>
      </c>
      <c r="B945" s="14" t="s">
        <v>3572</v>
      </c>
      <c r="C945" s="14" t="str">
        <f>_xlfn.CONCAT(B945&amp;" "&amp;W945&amp;X945&amp;Y945&amp;Z945)</f>
        <v>MSK CNC Technology 8012</v>
      </c>
      <c r="D945" s="16">
        <v>948</v>
      </c>
      <c r="E945" s="9" t="s">
        <v>90</v>
      </c>
      <c r="F945" s="9"/>
      <c r="G945" s="24">
        <v>44894</v>
      </c>
      <c r="H945" s="24"/>
      <c r="I945" s="24"/>
      <c r="J945" s="24">
        <v>44894</v>
      </c>
      <c r="K945" s="24">
        <v>45258</v>
      </c>
      <c r="L945" s="32">
        <v>3</v>
      </c>
      <c r="M945" s="8"/>
      <c r="N945" s="8"/>
      <c r="O945" s="19"/>
      <c r="P945" s="8" t="s">
        <v>3573</v>
      </c>
      <c r="Q945" s="8" t="s">
        <v>5042</v>
      </c>
      <c r="R945" s="8" t="s">
        <v>3574</v>
      </c>
      <c r="S945" s="8" t="s">
        <v>21</v>
      </c>
      <c r="T945" s="29">
        <v>560099</v>
      </c>
      <c r="U945" s="8" t="s">
        <v>22</v>
      </c>
      <c r="V945" s="8" t="s">
        <v>23</v>
      </c>
      <c r="W945" s="193">
        <v>8</v>
      </c>
      <c r="X945" s="8">
        <v>0</v>
      </c>
      <c r="Y945" s="8">
        <v>1</v>
      </c>
      <c r="Z945" s="8">
        <v>2</v>
      </c>
      <c r="AA945" s="193" t="s">
        <v>4118</v>
      </c>
      <c r="AB945" s="222"/>
    </row>
    <row r="946" spans="1:28" s="229" customFormat="1" ht="15" customHeight="1">
      <c r="A946" s="16">
        <v>945</v>
      </c>
      <c r="B946" s="14" t="s">
        <v>611</v>
      </c>
      <c r="C946" s="14" t="str">
        <f>_xlfn.CONCAT(B946&amp;" "&amp;W946&amp;X946&amp;Y946&amp;Z946)</f>
        <v>Rams Engg Industries 4041</v>
      </c>
      <c r="D946" s="16">
        <v>1044</v>
      </c>
      <c r="E946" s="9" t="s">
        <v>42</v>
      </c>
      <c r="F946" s="9"/>
      <c r="G946" s="24">
        <v>44910</v>
      </c>
      <c r="H946" s="24"/>
      <c r="I946" s="24"/>
      <c r="J946" s="24">
        <v>44910</v>
      </c>
      <c r="K946" s="24">
        <v>45274</v>
      </c>
      <c r="L946" s="32">
        <v>3</v>
      </c>
      <c r="M946" s="8"/>
      <c r="N946" s="8"/>
      <c r="O946" s="19"/>
      <c r="P946" s="8" t="s">
        <v>62</v>
      </c>
      <c r="Q946" s="8" t="s">
        <v>5043</v>
      </c>
      <c r="R946" s="8"/>
      <c r="S946" s="8" t="s">
        <v>37</v>
      </c>
      <c r="T946" s="29">
        <v>600098</v>
      </c>
      <c r="U946" s="8" t="s">
        <v>38</v>
      </c>
      <c r="V946" s="8" t="s">
        <v>23</v>
      </c>
      <c r="W946" s="193">
        <v>4</v>
      </c>
      <c r="X946" s="8">
        <v>0</v>
      </c>
      <c r="Y946" s="8">
        <v>4</v>
      </c>
      <c r="Z946" s="8">
        <v>1</v>
      </c>
      <c r="AA946" s="193" t="s">
        <v>4148</v>
      </c>
      <c r="AB946" s="222"/>
    </row>
    <row r="947" spans="1:28" s="229" customFormat="1" ht="15" customHeight="1">
      <c r="A947" s="16">
        <v>946</v>
      </c>
      <c r="B947" s="14" t="s">
        <v>3575</v>
      </c>
      <c r="C947" s="14" t="str">
        <f>_xlfn.CONCAT(B947&amp;" "&amp;W947&amp;X947&amp;Y947&amp;Z947)</f>
        <v>MARS Electronics  8022</v>
      </c>
      <c r="D947" s="16">
        <v>373</v>
      </c>
      <c r="E947" s="9" t="s">
        <v>42</v>
      </c>
      <c r="F947" s="9"/>
      <c r="G947" s="24">
        <v>44915</v>
      </c>
      <c r="H947" s="24"/>
      <c r="I947" s="24"/>
      <c r="J947" s="24">
        <v>44915</v>
      </c>
      <c r="K947" s="24">
        <v>45279</v>
      </c>
      <c r="L947" s="32">
        <v>3</v>
      </c>
      <c r="M947" s="8"/>
      <c r="N947" s="8"/>
      <c r="O947" s="19"/>
      <c r="P947" s="8" t="s">
        <v>3576</v>
      </c>
      <c r="Q947" s="8" t="s">
        <v>5044</v>
      </c>
      <c r="R947" s="8" t="s">
        <v>3203</v>
      </c>
      <c r="S947" s="8" t="s">
        <v>21</v>
      </c>
      <c r="T947" s="29">
        <v>560062</v>
      </c>
      <c r="U947" s="8" t="s">
        <v>22</v>
      </c>
      <c r="V947" s="8" t="s">
        <v>23</v>
      </c>
      <c r="W947" s="193">
        <v>8</v>
      </c>
      <c r="X947" s="8">
        <v>0</v>
      </c>
      <c r="Y947" s="8">
        <v>2</v>
      </c>
      <c r="Z947" s="8">
        <v>2</v>
      </c>
      <c r="AA947" s="193" t="s">
        <v>4118</v>
      </c>
      <c r="AB947" s="222"/>
    </row>
    <row r="948" spans="1:28" s="229" customFormat="1" ht="15" customHeight="1">
      <c r="A948" s="16">
        <v>947</v>
      </c>
      <c r="B948" s="14" t="s">
        <v>3577</v>
      </c>
      <c r="C948" s="14" t="str">
        <f>_xlfn.CONCAT(B948&amp;" "&amp;W948&amp;X948&amp;Y948&amp;Z948)</f>
        <v>Voltkon Industries  8041</v>
      </c>
      <c r="D948" s="16">
        <v>1045</v>
      </c>
      <c r="E948" s="9" t="s">
        <v>42</v>
      </c>
      <c r="F948" s="9"/>
      <c r="G948" s="24">
        <v>44922</v>
      </c>
      <c r="H948" s="24"/>
      <c r="I948" s="24"/>
      <c r="J948" s="24">
        <v>45313</v>
      </c>
      <c r="K948" s="24">
        <v>45678</v>
      </c>
      <c r="L948" s="32">
        <v>3</v>
      </c>
      <c r="M948" s="8"/>
      <c r="N948" s="8"/>
      <c r="O948" s="19"/>
      <c r="P948" s="8" t="s">
        <v>3578</v>
      </c>
      <c r="Q948" s="8" t="s">
        <v>5045</v>
      </c>
      <c r="R948" s="8" t="s">
        <v>3579</v>
      </c>
      <c r="S948" s="8" t="s">
        <v>2947</v>
      </c>
      <c r="T948" s="29">
        <v>560091</v>
      </c>
      <c r="U948" s="8" t="s">
        <v>22</v>
      </c>
      <c r="V948" s="8" t="s">
        <v>23</v>
      </c>
      <c r="W948" s="193">
        <v>8</v>
      </c>
      <c r="X948" s="8">
        <v>0</v>
      </c>
      <c r="Y948" s="8">
        <v>4</v>
      </c>
      <c r="Z948" s="8">
        <v>1</v>
      </c>
      <c r="AA948" s="193" t="s">
        <v>4118</v>
      </c>
      <c r="AB948" s="222"/>
    </row>
    <row r="949" spans="1:28" s="229" customFormat="1" ht="15" customHeight="1">
      <c r="A949" s="16">
        <v>948</v>
      </c>
      <c r="B949" s="14" t="s">
        <v>3580</v>
      </c>
      <c r="C949" s="14" t="str">
        <f>_xlfn.CONCAT(B949&amp;" "&amp;W949&amp;X949&amp;Y949&amp;Z949)</f>
        <v>Mogli labs India Pvt Ltd  2451</v>
      </c>
      <c r="D949" s="16">
        <v>1041</v>
      </c>
      <c r="E949" s="9" t="s">
        <v>3581</v>
      </c>
      <c r="F949" s="9"/>
      <c r="G949" s="24">
        <v>44935</v>
      </c>
      <c r="H949" s="24"/>
      <c r="I949" s="24"/>
      <c r="J949" s="24">
        <v>44935</v>
      </c>
      <c r="K949" s="24">
        <v>45299</v>
      </c>
      <c r="L949" s="32">
        <v>3</v>
      </c>
      <c r="M949" s="8"/>
      <c r="N949" s="8"/>
      <c r="O949" s="19"/>
      <c r="P949" s="8" t="s">
        <v>2701</v>
      </c>
      <c r="Q949" s="8" t="s">
        <v>5046</v>
      </c>
      <c r="R949" s="8"/>
      <c r="S949" s="8" t="s">
        <v>215</v>
      </c>
      <c r="T949" s="29">
        <v>412220</v>
      </c>
      <c r="U949" s="8" t="s">
        <v>172</v>
      </c>
      <c r="V949" s="8" t="s">
        <v>23</v>
      </c>
      <c r="W949" s="193">
        <v>2</v>
      </c>
      <c r="X949" s="8">
        <v>4</v>
      </c>
      <c r="Y949" s="8">
        <v>5</v>
      </c>
      <c r="Z949" s="8">
        <v>1</v>
      </c>
      <c r="AA949" s="193" t="s">
        <v>4151</v>
      </c>
      <c r="AB949" s="222"/>
    </row>
    <row r="950" spans="1:28" s="229" customFormat="1" ht="15" customHeight="1">
      <c r="A950" s="16">
        <v>949</v>
      </c>
      <c r="B950" s="14" t="s">
        <v>3582</v>
      </c>
      <c r="C950" s="14" t="str">
        <f>_xlfn.CONCAT(B950&amp;" "&amp;W950&amp;X950&amp;Y950&amp;Z950)</f>
        <v>Besmak Components Pvt Ltd 4031</v>
      </c>
      <c r="D950" s="16">
        <v>1046</v>
      </c>
      <c r="E950" s="9" t="s">
        <v>42</v>
      </c>
      <c r="F950" s="9"/>
      <c r="G950" s="24">
        <v>44936</v>
      </c>
      <c r="H950" s="24"/>
      <c r="I950" s="24"/>
      <c r="J950" s="24">
        <v>44936</v>
      </c>
      <c r="K950" s="24">
        <v>45300</v>
      </c>
      <c r="L950" s="32">
        <v>3</v>
      </c>
      <c r="M950" s="8"/>
      <c r="N950" s="8"/>
      <c r="O950" s="19"/>
      <c r="P950" s="8" t="s">
        <v>3583</v>
      </c>
      <c r="Q950" s="8" t="s">
        <v>5047</v>
      </c>
      <c r="R950" s="8" t="s">
        <v>3584</v>
      </c>
      <c r="S950" s="8" t="s">
        <v>37</v>
      </c>
      <c r="T950" s="29">
        <v>602105</v>
      </c>
      <c r="U950" s="8" t="s">
        <v>38</v>
      </c>
      <c r="V950" s="8" t="s">
        <v>23</v>
      </c>
      <c r="W950" s="193">
        <v>4</v>
      </c>
      <c r="X950" s="8">
        <v>0</v>
      </c>
      <c r="Y950" s="8">
        <v>3</v>
      </c>
      <c r="Z950" s="8">
        <v>1</v>
      </c>
      <c r="AA950" s="193" t="s">
        <v>4148</v>
      </c>
      <c r="AB950" s="222"/>
    </row>
    <row r="951" spans="1:28" s="229" customFormat="1" ht="15" customHeight="1">
      <c r="A951" s="16">
        <v>950</v>
      </c>
      <c r="B951" s="14" t="s">
        <v>3585</v>
      </c>
      <c r="C951" s="14" t="str">
        <f>_xlfn.CONCAT(B951&amp;" "&amp;W951&amp;X951&amp;Y951&amp;Z951)</f>
        <v>Ankita Crafts 4161</v>
      </c>
      <c r="D951" s="16">
        <v>951</v>
      </c>
      <c r="E951" s="9" t="s">
        <v>90</v>
      </c>
      <c r="F951" s="9"/>
      <c r="G951" s="24">
        <v>44936</v>
      </c>
      <c r="H951" s="24"/>
      <c r="I951" s="24"/>
      <c r="J951" s="24">
        <v>44936</v>
      </c>
      <c r="K951" s="24">
        <v>45300</v>
      </c>
      <c r="L951" s="32">
        <v>3</v>
      </c>
      <c r="M951" s="8"/>
      <c r="N951" s="8"/>
      <c r="O951" s="19"/>
      <c r="P951" s="8" t="s">
        <v>2162</v>
      </c>
      <c r="Q951" s="8" t="s">
        <v>5048</v>
      </c>
      <c r="R951" s="8"/>
      <c r="S951" s="8" t="s">
        <v>101</v>
      </c>
      <c r="T951" s="29">
        <v>641006</v>
      </c>
      <c r="U951" s="8" t="s">
        <v>38</v>
      </c>
      <c r="V951" s="8" t="s">
        <v>23</v>
      </c>
      <c r="W951" s="193">
        <v>4</v>
      </c>
      <c r="X951" s="8">
        <v>1</v>
      </c>
      <c r="Y951" s="8">
        <v>6</v>
      </c>
      <c r="Z951" s="8">
        <v>1</v>
      </c>
      <c r="AA951" s="193" t="s">
        <v>4148</v>
      </c>
      <c r="AB951" s="222"/>
    </row>
    <row r="952" spans="1:28" s="229" customFormat="1" ht="15" customHeight="1">
      <c r="A952" s="16">
        <v>951</v>
      </c>
      <c r="B952" s="14" t="s">
        <v>3586</v>
      </c>
      <c r="C952" s="14" t="str">
        <f>_xlfn.CONCAT(B952&amp;" "&amp;W952&amp;X952&amp;Y952&amp;Z952)</f>
        <v>Yoncorp Innovation Pvt Ltd (Tecnicraft Industries) 8081</v>
      </c>
      <c r="D952" s="16">
        <v>949</v>
      </c>
      <c r="E952" s="9" t="s">
        <v>90</v>
      </c>
      <c r="F952" s="9"/>
      <c r="G952" s="24">
        <v>44940</v>
      </c>
      <c r="H952" s="24"/>
      <c r="I952" s="24"/>
      <c r="J952" s="24">
        <v>44940</v>
      </c>
      <c r="K952" s="24">
        <v>45304</v>
      </c>
      <c r="L952" s="32">
        <v>3</v>
      </c>
      <c r="M952" s="8" t="s">
        <v>3587</v>
      </c>
      <c r="N952" s="8" t="s">
        <v>71</v>
      </c>
      <c r="O952" s="19">
        <v>9036077421</v>
      </c>
      <c r="P952" s="8" t="s">
        <v>3588</v>
      </c>
      <c r="Q952" s="8" t="s">
        <v>5049</v>
      </c>
      <c r="R952" s="8"/>
      <c r="S952" s="8" t="s">
        <v>21</v>
      </c>
      <c r="T952" s="29" t="s">
        <v>3589</v>
      </c>
      <c r="U952" s="8" t="s">
        <v>22</v>
      </c>
      <c r="V952" s="8" t="s">
        <v>23</v>
      </c>
      <c r="W952" s="193">
        <v>8</v>
      </c>
      <c r="X952" s="8">
        <v>0</v>
      </c>
      <c r="Y952" s="8">
        <v>8</v>
      </c>
      <c r="Z952" s="8">
        <v>1</v>
      </c>
      <c r="AA952" s="193" t="s">
        <v>4118</v>
      </c>
      <c r="AB952" s="222"/>
    </row>
    <row r="953" spans="1:28" s="229" customFormat="1" ht="15" customHeight="1">
      <c r="A953" s="16">
        <v>952</v>
      </c>
      <c r="B953" s="14" t="s">
        <v>3590</v>
      </c>
      <c r="C953" s="14" t="str">
        <f>_xlfn.CONCAT(B953&amp;" "&amp;W953&amp;X953&amp;Y953&amp;Z953)</f>
        <v>Sandhar Whetron Electronics Pvt Ltd  1111</v>
      </c>
      <c r="D953" s="16">
        <v>1033</v>
      </c>
      <c r="E953" s="9" t="s">
        <v>2082</v>
      </c>
      <c r="F953" s="9"/>
      <c r="G953" s="24">
        <v>44940</v>
      </c>
      <c r="H953" s="24"/>
      <c r="I953" s="24"/>
      <c r="J953" s="24">
        <v>44940</v>
      </c>
      <c r="K953" s="24">
        <v>45304</v>
      </c>
      <c r="L953" s="32">
        <v>3</v>
      </c>
      <c r="M953" s="8"/>
      <c r="N953" s="8"/>
      <c r="O953" s="19"/>
      <c r="P953" s="8" t="s">
        <v>3591</v>
      </c>
      <c r="Q953" s="8" t="s">
        <v>5050</v>
      </c>
      <c r="R953" s="8"/>
      <c r="S953" s="8" t="s">
        <v>3592</v>
      </c>
      <c r="T953" s="29">
        <v>122101</v>
      </c>
      <c r="U953" s="8" t="s">
        <v>429</v>
      </c>
      <c r="V953" s="8" t="s">
        <v>23</v>
      </c>
      <c r="W953" s="193">
        <v>1</v>
      </c>
      <c r="X953" s="8">
        <v>1</v>
      </c>
      <c r="Y953" s="8">
        <v>1</v>
      </c>
      <c r="Z953" s="8">
        <v>1</v>
      </c>
      <c r="AA953" s="193" t="s">
        <v>4118</v>
      </c>
      <c r="AB953" s="222"/>
    </row>
    <row r="954" spans="1:28" s="229" customFormat="1" ht="15" customHeight="1">
      <c r="A954" s="16">
        <v>953</v>
      </c>
      <c r="B954" s="14" t="s">
        <v>2632</v>
      </c>
      <c r="C954" s="14" t="str">
        <f>_xlfn.CONCAT(B954&amp;" "&amp;W954&amp;X954&amp;Y954&amp;Z954)</f>
        <v>Bhavani Industries 8011</v>
      </c>
      <c r="D954" s="16">
        <v>950</v>
      </c>
      <c r="E954" s="9" t="s">
        <v>90</v>
      </c>
      <c r="F954" s="9"/>
      <c r="G954" s="24">
        <v>44942</v>
      </c>
      <c r="H954" s="24"/>
      <c r="I954" s="24"/>
      <c r="J954" s="24">
        <v>45378</v>
      </c>
      <c r="K954" s="24">
        <v>45742</v>
      </c>
      <c r="L954" s="32">
        <v>3</v>
      </c>
      <c r="M954" s="8"/>
      <c r="N954" s="8"/>
      <c r="O954" s="19"/>
      <c r="P954" s="8" t="s">
        <v>3593</v>
      </c>
      <c r="Q954" s="8" t="s">
        <v>5051</v>
      </c>
      <c r="R954" s="8"/>
      <c r="S954" s="8" t="s">
        <v>21</v>
      </c>
      <c r="T954" s="29">
        <v>560100</v>
      </c>
      <c r="U954" s="8" t="s">
        <v>22</v>
      </c>
      <c r="V954" s="8" t="s">
        <v>23</v>
      </c>
      <c r="W954" s="193">
        <v>8</v>
      </c>
      <c r="X954" s="8">
        <v>0</v>
      </c>
      <c r="Y954" s="8">
        <v>1</v>
      </c>
      <c r="Z954" s="8">
        <v>1</v>
      </c>
      <c r="AA954" s="193" t="s">
        <v>4118</v>
      </c>
      <c r="AB954" s="222"/>
    </row>
    <row r="955" spans="1:28" s="229" customFormat="1" ht="15" customHeight="1">
      <c r="A955" s="16">
        <v>954</v>
      </c>
      <c r="B955" s="14" t="s">
        <v>3594</v>
      </c>
      <c r="C955" s="14" t="str">
        <f>_xlfn.CONCAT(B955&amp;" "&amp;W955&amp;X955&amp;Y955&amp;Z955)</f>
        <v>Rohit Industries group P Ltd 1122</v>
      </c>
      <c r="D955" s="16">
        <v>480</v>
      </c>
      <c r="E955" s="9" t="s">
        <v>1248</v>
      </c>
      <c r="F955" s="9"/>
      <c r="G955" s="24">
        <v>44959</v>
      </c>
      <c r="H955" s="24"/>
      <c r="I955" s="24"/>
      <c r="J955" s="24">
        <v>44959</v>
      </c>
      <c r="K955" s="24">
        <v>45323</v>
      </c>
      <c r="L955" s="32">
        <v>3</v>
      </c>
      <c r="M955" s="8"/>
      <c r="N955" s="8"/>
      <c r="O955" s="19"/>
      <c r="P955" s="8"/>
      <c r="Q955" s="8" t="s">
        <v>5052</v>
      </c>
      <c r="R955" s="8"/>
      <c r="S955" s="8" t="s">
        <v>656</v>
      </c>
      <c r="T955" s="29">
        <v>124507</v>
      </c>
      <c r="U955" s="8" t="s">
        <v>429</v>
      </c>
      <c r="V955" s="8" t="s">
        <v>23</v>
      </c>
      <c r="W955" s="193">
        <v>1</v>
      </c>
      <c r="X955" s="8">
        <v>1</v>
      </c>
      <c r="Y955" s="8">
        <v>2</v>
      </c>
      <c r="Z955" s="8">
        <v>2</v>
      </c>
      <c r="AA955" s="193" t="s">
        <v>4118</v>
      </c>
      <c r="AB955" s="222"/>
    </row>
    <row r="956" spans="1:28" s="229" customFormat="1" ht="15" customHeight="1">
      <c r="A956" s="16">
        <v>955</v>
      </c>
      <c r="B956" s="14" t="s">
        <v>3595</v>
      </c>
      <c r="C956" s="14" t="str">
        <f>_xlfn.CONCAT(B956&amp;" "&amp;W956&amp;X956&amp;Y956&amp;Z956)</f>
        <v>Hical Technologies Pvt Ltd 8011</v>
      </c>
      <c r="D956" s="16">
        <v>1040</v>
      </c>
      <c r="E956" s="9" t="s">
        <v>3581</v>
      </c>
      <c r="F956" s="9"/>
      <c r="G956" s="24">
        <v>44963</v>
      </c>
      <c r="H956" s="24"/>
      <c r="I956" s="24"/>
      <c r="J956" s="24">
        <v>45474</v>
      </c>
      <c r="K956" s="24">
        <v>45838</v>
      </c>
      <c r="L956" s="32">
        <v>3</v>
      </c>
      <c r="M956" s="8"/>
      <c r="N956" s="8"/>
      <c r="O956" s="19"/>
      <c r="P956" s="8" t="s">
        <v>2830</v>
      </c>
      <c r="Q956" s="8" t="s">
        <v>5053</v>
      </c>
      <c r="R956" s="8"/>
      <c r="S956" s="8" t="s">
        <v>21</v>
      </c>
      <c r="T956" s="29">
        <v>560100</v>
      </c>
      <c r="U956" s="8" t="s">
        <v>22</v>
      </c>
      <c r="V956" s="8" t="s">
        <v>23</v>
      </c>
      <c r="W956" s="193">
        <v>8</v>
      </c>
      <c r="X956" s="8">
        <v>0</v>
      </c>
      <c r="Y956" s="8">
        <v>1</v>
      </c>
      <c r="Z956" s="8">
        <v>1</v>
      </c>
      <c r="AA956" s="193" t="s">
        <v>4118</v>
      </c>
      <c r="AB956" s="222"/>
    </row>
    <row r="957" spans="1:28" s="229" customFormat="1" ht="15" customHeight="1">
      <c r="A957" s="16">
        <v>956</v>
      </c>
      <c r="B957" s="14" t="s">
        <v>3596</v>
      </c>
      <c r="C957" s="14" t="str">
        <f>_xlfn.CONCAT(B957&amp;" "&amp;W957&amp;X957&amp;Y957&amp;Z957)</f>
        <v>Pricol Engg Industries Pvt Ltd  4161</v>
      </c>
      <c r="D957" s="16">
        <v>959</v>
      </c>
      <c r="E957" s="9" t="s">
        <v>90</v>
      </c>
      <c r="F957" s="9"/>
      <c r="G957" s="24">
        <v>44995</v>
      </c>
      <c r="H957" s="24"/>
      <c r="I957" s="24"/>
      <c r="J957" s="24">
        <v>44995</v>
      </c>
      <c r="K957" s="24">
        <v>45362</v>
      </c>
      <c r="L957" s="32">
        <v>3</v>
      </c>
      <c r="M957" s="8"/>
      <c r="N957" s="8"/>
      <c r="O957" s="19"/>
      <c r="P957" s="8" t="s">
        <v>3597</v>
      </c>
      <c r="Q957" s="8" t="s">
        <v>5054</v>
      </c>
      <c r="R957" s="8"/>
      <c r="S957" s="8" t="s">
        <v>101</v>
      </c>
      <c r="T957" s="29">
        <v>641031</v>
      </c>
      <c r="U957" s="8" t="s">
        <v>38</v>
      </c>
      <c r="V957" s="8" t="s">
        <v>23</v>
      </c>
      <c r="W957" s="193">
        <v>4</v>
      </c>
      <c r="X957" s="8">
        <v>1</v>
      </c>
      <c r="Y957" s="8">
        <v>6</v>
      </c>
      <c r="Z957" s="8">
        <v>1</v>
      </c>
      <c r="AA957" s="193" t="s">
        <v>4148</v>
      </c>
      <c r="AB957" s="222"/>
    </row>
    <row r="958" spans="1:28" s="229" customFormat="1" ht="15" customHeight="1">
      <c r="A958" s="16">
        <v>957</v>
      </c>
      <c r="B958" s="14" t="s">
        <v>3598</v>
      </c>
      <c r="C958" s="14" t="str">
        <f>_xlfn.CONCAT(B958&amp;" "&amp;W958&amp;X958&amp;Y958&amp;Z958)</f>
        <v>Twinstar Tooling Solutions  4021</v>
      </c>
      <c r="D958" s="16">
        <v>1047</v>
      </c>
      <c r="E958" s="9" t="s">
        <v>3599</v>
      </c>
      <c r="F958" s="9"/>
      <c r="G958" s="24">
        <v>44998</v>
      </c>
      <c r="H958" s="24"/>
      <c r="I958" s="24"/>
      <c r="J958" s="24">
        <v>44998</v>
      </c>
      <c r="K958" s="24">
        <v>45363</v>
      </c>
      <c r="L958" s="32">
        <v>3</v>
      </c>
      <c r="M958" s="8"/>
      <c r="N958" s="8"/>
      <c r="O958" s="19"/>
      <c r="P958" s="8" t="s">
        <v>3600</v>
      </c>
      <c r="Q958" s="8" t="s">
        <v>5055</v>
      </c>
      <c r="R958" s="8"/>
      <c r="S958" s="8" t="s">
        <v>37</v>
      </c>
      <c r="T958" s="29">
        <v>600128</v>
      </c>
      <c r="U958" s="8" t="s">
        <v>38</v>
      </c>
      <c r="V958" s="8" t="s">
        <v>23</v>
      </c>
      <c r="W958" s="193">
        <v>4</v>
      </c>
      <c r="X958" s="8">
        <v>0</v>
      </c>
      <c r="Y958" s="8">
        <v>2</v>
      </c>
      <c r="Z958" s="8">
        <v>1</v>
      </c>
      <c r="AA958" s="193" t="s">
        <v>4148</v>
      </c>
      <c r="AB958" s="222"/>
    </row>
    <row r="959" spans="1:28" s="229" customFormat="1" ht="15" customHeight="1">
      <c r="A959" s="16">
        <v>958</v>
      </c>
      <c r="B959" s="14" t="s">
        <v>2932</v>
      </c>
      <c r="C959" s="14" t="str">
        <f>_xlfn.CONCAT(B959&amp;" "&amp;W959&amp;X959&amp;Y959&amp;Z959)</f>
        <v>KDDL Limited 1333</v>
      </c>
      <c r="D959" s="16">
        <v>957</v>
      </c>
      <c r="E959" s="9" t="s">
        <v>810</v>
      </c>
      <c r="F959" s="9"/>
      <c r="G959" s="24">
        <v>45003</v>
      </c>
      <c r="H959" s="24"/>
      <c r="I959" s="24"/>
      <c r="J959" s="24">
        <v>45003</v>
      </c>
      <c r="K959" s="24">
        <v>45733</v>
      </c>
      <c r="L959" s="32">
        <v>3</v>
      </c>
      <c r="M959" s="8"/>
      <c r="N959" s="8"/>
      <c r="O959" s="19"/>
      <c r="P959" s="8"/>
      <c r="Q959" s="8" t="s">
        <v>5056</v>
      </c>
      <c r="R959" s="8"/>
      <c r="S959" s="8" t="s">
        <v>2935</v>
      </c>
      <c r="T959" s="29">
        <v>140507</v>
      </c>
      <c r="U959" s="8" t="s">
        <v>1787</v>
      </c>
      <c r="V959" s="8" t="s">
        <v>23</v>
      </c>
      <c r="W959" s="193">
        <v>1</v>
      </c>
      <c r="X959" s="8">
        <v>3</v>
      </c>
      <c r="Y959" s="8">
        <v>3</v>
      </c>
      <c r="Z959" s="8">
        <v>3</v>
      </c>
      <c r="AA959" s="193" t="s">
        <v>4118</v>
      </c>
      <c r="AB959" s="222"/>
    </row>
    <row r="960" spans="1:28" s="229" customFormat="1" ht="15" customHeight="1">
      <c r="A960" s="16">
        <v>959</v>
      </c>
      <c r="B960" s="14" t="s">
        <v>3601</v>
      </c>
      <c r="C960" s="14" t="str">
        <f>_xlfn.CONCAT(B960&amp;" "&amp;W960&amp;X960&amp;Y960&amp;Z960)</f>
        <v>Autotex Pvt Ltd ( Unit-2) 4162</v>
      </c>
      <c r="D960" s="16">
        <v>1035</v>
      </c>
      <c r="E960" s="9" t="s">
        <v>3602</v>
      </c>
      <c r="F960" s="9"/>
      <c r="G960" s="24">
        <v>45004</v>
      </c>
      <c r="H960" s="24"/>
      <c r="I960" s="24"/>
      <c r="J960" s="24">
        <v>45004</v>
      </c>
      <c r="K960" s="24">
        <v>45369</v>
      </c>
      <c r="L960" s="32">
        <v>3</v>
      </c>
      <c r="M960" s="8"/>
      <c r="N960" s="8"/>
      <c r="O960" s="19"/>
      <c r="P960" s="8" t="s">
        <v>3603</v>
      </c>
      <c r="Q960" s="8" t="s">
        <v>5057</v>
      </c>
      <c r="R960" s="8"/>
      <c r="S960" s="8" t="s">
        <v>101</v>
      </c>
      <c r="T960" s="29">
        <v>641014</v>
      </c>
      <c r="U960" s="8" t="s">
        <v>38</v>
      </c>
      <c r="V960" s="8" t="s">
        <v>23</v>
      </c>
      <c r="W960" s="193">
        <v>4</v>
      </c>
      <c r="X960" s="8">
        <v>1</v>
      </c>
      <c r="Y960" s="8">
        <v>6</v>
      </c>
      <c r="Z960" s="8">
        <v>2</v>
      </c>
      <c r="AA960" s="193" t="s">
        <v>4148</v>
      </c>
      <c r="AB960" s="222"/>
    </row>
    <row r="961" spans="1:28" s="229" customFormat="1" ht="15" customHeight="1">
      <c r="A961" s="16">
        <v>960</v>
      </c>
      <c r="B961" s="14" t="s">
        <v>3604</v>
      </c>
      <c r="C961" s="14" t="str">
        <f>_xlfn.CONCAT(B961&amp;" "&amp;W961&amp;X961&amp;Y961&amp;Z961)</f>
        <v>Manastu Space Technologies  2224</v>
      </c>
      <c r="D961" s="16">
        <v>958</v>
      </c>
      <c r="E961" s="9" t="s">
        <v>810</v>
      </c>
      <c r="F961" s="9"/>
      <c r="G961" s="24">
        <v>45008</v>
      </c>
      <c r="H961" s="24"/>
      <c r="I961" s="24"/>
      <c r="J961" s="24">
        <v>45008</v>
      </c>
      <c r="K961" s="24">
        <v>45373</v>
      </c>
      <c r="L961" s="32">
        <v>3</v>
      </c>
      <c r="M961" s="8"/>
      <c r="N961" s="8"/>
      <c r="O961" s="19"/>
      <c r="P961" s="8" t="s">
        <v>3605</v>
      </c>
      <c r="Q961" s="8" t="s">
        <v>5058</v>
      </c>
      <c r="R961" s="8" t="s">
        <v>3606</v>
      </c>
      <c r="S961" s="8" t="s">
        <v>221</v>
      </c>
      <c r="T961" s="29">
        <v>400078</v>
      </c>
      <c r="U961" s="8" t="s">
        <v>172</v>
      </c>
      <c r="V961" s="8" t="s">
        <v>23</v>
      </c>
      <c r="W961" s="193">
        <v>2</v>
      </c>
      <c r="X961" s="8">
        <v>2</v>
      </c>
      <c r="Y961" s="8">
        <v>2</v>
      </c>
      <c r="Z961" s="8">
        <v>4</v>
      </c>
      <c r="AA961" s="193" t="s">
        <v>4148</v>
      </c>
      <c r="AB961" s="222"/>
    </row>
    <row r="962" spans="1:28" s="229" customFormat="1" ht="15" customHeight="1">
      <c r="A962" s="16">
        <v>961</v>
      </c>
      <c r="B962" s="14" t="s">
        <v>3607</v>
      </c>
      <c r="C962" s="14" t="str">
        <f>_xlfn.CONCAT(B962&amp;" "&amp;W962&amp;X962&amp;Y962&amp;Z962)</f>
        <v>Schneider Electric India Pvt Ltd  8033</v>
      </c>
      <c r="D962" s="16">
        <v>1034</v>
      </c>
      <c r="E962" s="9" t="s">
        <v>2082</v>
      </c>
      <c r="F962" s="9"/>
      <c r="G962" s="24">
        <v>45013</v>
      </c>
      <c r="H962" s="24"/>
      <c r="I962" s="24"/>
      <c r="J962" s="24">
        <v>45013</v>
      </c>
      <c r="K962" s="24">
        <v>45743</v>
      </c>
      <c r="L962" s="32">
        <v>3</v>
      </c>
      <c r="M962" s="8"/>
      <c r="N962" s="8"/>
      <c r="O962" s="19"/>
      <c r="P962" s="8"/>
      <c r="Q962" s="8" t="s">
        <v>5059</v>
      </c>
      <c r="R962" s="8"/>
      <c r="S962" s="8" t="s">
        <v>275</v>
      </c>
      <c r="T962" s="29">
        <v>570018</v>
      </c>
      <c r="U962" s="8" t="s">
        <v>22</v>
      </c>
      <c r="V962" s="8" t="s">
        <v>23</v>
      </c>
      <c r="W962" s="193">
        <v>8</v>
      </c>
      <c r="X962" s="8">
        <v>0</v>
      </c>
      <c r="Y962" s="8">
        <v>3</v>
      </c>
      <c r="Z962" s="8">
        <v>3</v>
      </c>
      <c r="AA962" s="193" t="s">
        <v>4118</v>
      </c>
      <c r="AB962" s="222"/>
    </row>
    <row r="963" spans="1:28" s="229" customFormat="1" ht="15" customHeight="1">
      <c r="A963" s="16">
        <v>962</v>
      </c>
      <c r="B963" s="14" t="s">
        <v>3608</v>
      </c>
      <c r="C963" s="14" t="str">
        <f>_xlfn.CONCAT(B963&amp;" "&amp;W963&amp;X963&amp;Y963&amp;Z963)</f>
        <v>Nigasavi Solution  2451</v>
      </c>
      <c r="D963" s="16">
        <v>1048</v>
      </c>
      <c r="E963" s="9" t="s">
        <v>3599</v>
      </c>
      <c r="F963" s="9"/>
      <c r="G963" s="24">
        <v>45013</v>
      </c>
      <c r="H963" s="24"/>
      <c r="I963" s="24"/>
      <c r="J963" s="24">
        <v>45013</v>
      </c>
      <c r="K963" s="24">
        <v>45378</v>
      </c>
      <c r="L963" s="32">
        <v>3</v>
      </c>
      <c r="M963" s="8"/>
      <c r="N963" s="8"/>
      <c r="O963" s="19"/>
      <c r="P963" s="8" t="s">
        <v>3609</v>
      </c>
      <c r="Q963" s="8" t="s">
        <v>5060</v>
      </c>
      <c r="R963" s="8" t="s">
        <v>3610</v>
      </c>
      <c r="S963" s="8"/>
      <c r="T963" s="29">
        <v>412108</v>
      </c>
      <c r="U963" s="8" t="s">
        <v>172</v>
      </c>
      <c r="V963" s="8" t="s">
        <v>23</v>
      </c>
      <c r="W963" s="193">
        <v>2</v>
      </c>
      <c r="X963" s="8">
        <v>4</v>
      </c>
      <c r="Y963" s="8">
        <v>5</v>
      </c>
      <c r="Z963" s="8">
        <v>1</v>
      </c>
      <c r="AA963" s="193" t="s">
        <v>4151</v>
      </c>
      <c r="AB963" s="222"/>
    </row>
    <row r="964" spans="1:28" s="229" customFormat="1" ht="15" customHeight="1">
      <c r="A964" s="16">
        <v>963</v>
      </c>
      <c r="B964" s="14" t="s">
        <v>3611</v>
      </c>
      <c r="C964" s="14" t="str">
        <f>_xlfn.CONCAT(B964&amp;" "&amp;W964&amp;X964&amp;Y964&amp;Z964)</f>
        <v>Engineered Components &amp; Systems India Pvt Ltd  8051</v>
      </c>
      <c r="D964" s="16">
        <v>1052</v>
      </c>
      <c r="E964" s="9" t="s">
        <v>90</v>
      </c>
      <c r="F964" s="9"/>
      <c r="G964" s="24">
        <v>45013</v>
      </c>
      <c r="H964" s="24"/>
      <c r="I964" s="24"/>
      <c r="J964" s="24">
        <v>45013</v>
      </c>
      <c r="K964" s="24">
        <v>45378</v>
      </c>
      <c r="L964" s="32">
        <v>3</v>
      </c>
      <c r="M964" s="8"/>
      <c r="N964" s="8"/>
      <c r="O964" s="19"/>
      <c r="P964" s="8" t="s">
        <v>3612</v>
      </c>
      <c r="Q964" s="8" t="s">
        <v>5061</v>
      </c>
      <c r="R964" s="8"/>
      <c r="S964" s="8" t="s">
        <v>21</v>
      </c>
      <c r="T964" s="29">
        <v>560022</v>
      </c>
      <c r="U964" s="8" t="s">
        <v>22</v>
      </c>
      <c r="V964" s="8" t="s">
        <v>23</v>
      </c>
      <c r="W964" s="193">
        <v>8</v>
      </c>
      <c r="X964" s="8">
        <v>0</v>
      </c>
      <c r="Y964" s="8">
        <v>5</v>
      </c>
      <c r="Z964" s="8">
        <v>1</v>
      </c>
      <c r="AA964" s="193" t="s">
        <v>4118</v>
      </c>
      <c r="AB964" s="222"/>
    </row>
    <row r="965" spans="1:28" s="229" customFormat="1" ht="15" customHeight="1">
      <c r="A965" s="16">
        <v>964</v>
      </c>
      <c r="B965" s="14" t="s">
        <v>3613</v>
      </c>
      <c r="C965" s="14" t="str">
        <f>_xlfn.CONCAT(B965&amp;" "&amp;W965&amp;X965&amp;Y965&amp;Z965)</f>
        <v>Bright brother (Candid Milcron) 4013</v>
      </c>
      <c r="D965" s="16">
        <v>1051</v>
      </c>
      <c r="E965" s="9" t="s">
        <v>810</v>
      </c>
      <c r="F965" s="9"/>
      <c r="G965" s="24">
        <v>45013</v>
      </c>
      <c r="H965" s="24"/>
      <c r="I965" s="24"/>
      <c r="J965" s="24">
        <v>45013</v>
      </c>
      <c r="K965" s="24">
        <v>45378</v>
      </c>
      <c r="L965" s="32">
        <v>3</v>
      </c>
      <c r="M965" s="8"/>
      <c r="N965" s="8"/>
      <c r="O965" s="19"/>
      <c r="P965" s="8" t="s">
        <v>3614</v>
      </c>
      <c r="Q965" s="8" t="s">
        <v>5062</v>
      </c>
      <c r="R965" s="8"/>
      <c r="S965" s="8" t="s">
        <v>1255</v>
      </c>
      <c r="T965" s="29">
        <v>605107</v>
      </c>
      <c r="U965" s="8" t="s">
        <v>38</v>
      </c>
      <c r="V965" s="8" t="s">
        <v>23</v>
      </c>
      <c r="W965" s="193">
        <v>4</v>
      </c>
      <c r="X965" s="8">
        <v>0</v>
      </c>
      <c r="Y965" s="8">
        <v>1</v>
      </c>
      <c r="Z965" s="8">
        <v>3</v>
      </c>
      <c r="AA965" s="193" t="s">
        <v>4148</v>
      </c>
      <c r="AB965" s="222"/>
    </row>
    <row r="966" spans="1:28" s="229" customFormat="1" ht="15" customHeight="1">
      <c r="A966" s="16">
        <v>965</v>
      </c>
      <c r="B966" s="14" t="s">
        <v>3615</v>
      </c>
      <c r="C966" s="14" t="str">
        <f>_xlfn.CONCAT(B966&amp;" "&amp;W966&amp;X966&amp;Y966&amp;Z966)</f>
        <v>Sandhar Technologies Ltd 4031</v>
      </c>
      <c r="D966" s="16">
        <v>1036</v>
      </c>
      <c r="E966" s="9" t="s">
        <v>3602</v>
      </c>
      <c r="F966" s="9"/>
      <c r="G966" s="24">
        <v>45013</v>
      </c>
      <c r="H966" s="24"/>
      <c r="I966" s="24"/>
      <c r="J966" s="24">
        <v>45013</v>
      </c>
      <c r="K966" s="24">
        <v>45378</v>
      </c>
      <c r="L966" s="32">
        <v>3</v>
      </c>
      <c r="M966" s="8"/>
      <c r="N966" s="8"/>
      <c r="O966" s="19"/>
      <c r="P966" s="8" t="s">
        <v>3583</v>
      </c>
      <c r="Q966" s="8" t="s">
        <v>5063</v>
      </c>
      <c r="R966" s="8"/>
      <c r="S966" s="8" t="s">
        <v>2503</v>
      </c>
      <c r="T966" s="29">
        <v>602105</v>
      </c>
      <c r="U966" s="8" t="s">
        <v>38</v>
      </c>
      <c r="V966" s="8" t="s">
        <v>23</v>
      </c>
      <c r="W966" s="193">
        <v>4</v>
      </c>
      <c r="X966" s="8">
        <v>0</v>
      </c>
      <c r="Y966" s="8">
        <v>3</v>
      </c>
      <c r="Z966" s="8">
        <v>1</v>
      </c>
      <c r="AA966" s="193" t="s">
        <v>4148</v>
      </c>
      <c r="AB966" s="222"/>
    </row>
    <row r="967" spans="1:28" s="229" customFormat="1" ht="15" customHeight="1">
      <c r="A967" s="16">
        <v>966</v>
      </c>
      <c r="B967" s="14" t="s">
        <v>3616</v>
      </c>
      <c r="C967" s="14" t="str">
        <f>_xlfn.CONCAT(B967&amp;" "&amp;W967&amp;X967&amp;Y967&amp;Z967)</f>
        <v>J D Industries 8021</v>
      </c>
      <c r="D967" s="16">
        <v>1049</v>
      </c>
      <c r="E967" s="9" t="s">
        <v>3599</v>
      </c>
      <c r="F967" s="9"/>
      <c r="G967" s="24">
        <v>45015</v>
      </c>
      <c r="H967" s="24"/>
      <c r="I967" s="24"/>
      <c r="J967" s="24">
        <v>45015</v>
      </c>
      <c r="K967" s="24">
        <v>45380</v>
      </c>
      <c r="L967" s="32">
        <v>3</v>
      </c>
      <c r="M967" s="8"/>
      <c r="N967" s="8"/>
      <c r="O967" s="19"/>
      <c r="P967" s="8"/>
      <c r="Q967" s="8" t="s">
        <v>5064</v>
      </c>
      <c r="R967" s="8"/>
      <c r="S967" s="8" t="s">
        <v>21</v>
      </c>
      <c r="T967" s="29">
        <v>560105</v>
      </c>
      <c r="U967" s="8" t="s">
        <v>22</v>
      </c>
      <c r="V967" s="8" t="s">
        <v>23</v>
      </c>
      <c r="W967" s="193">
        <v>8</v>
      </c>
      <c r="X967" s="8">
        <v>0</v>
      </c>
      <c r="Y967" s="8">
        <v>2</v>
      </c>
      <c r="Z967" s="8">
        <v>1</v>
      </c>
      <c r="AA967" s="193" t="s">
        <v>4118</v>
      </c>
      <c r="AB967" s="222"/>
    </row>
    <row r="968" spans="1:28" s="229" customFormat="1" ht="15" customHeight="1">
      <c r="A968" s="16">
        <v>967</v>
      </c>
      <c r="B968" s="14" t="s">
        <v>3617</v>
      </c>
      <c r="C968" s="14" t="str">
        <f>_xlfn.CONCAT(B968&amp;" "&amp;W968&amp;X968&amp;Y968&amp;Z968)</f>
        <v>Excelon Technologies 8051</v>
      </c>
      <c r="D968" s="16">
        <v>1050</v>
      </c>
      <c r="E968" s="9" t="s">
        <v>90</v>
      </c>
      <c r="F968" s="9"/>
      <c r="G968" s="24">
        <v>45021</v>
      </c>
      <c r="H968" s="24"/>
      <c r="I968" s="24"/>
      <c r="J968" s="24">
        <v>45381</v>
      </c>
      <c r="K968" s="24">
        <v>46110</v>
      </c>
      <c r="L968" s="32">
        <v>3</v>
      </c>
      <c r="M968" s="8"/>
      <c r="N968" s="8"/>
      <c r="O968" s="19"/>
      <c r="P968" s="8" t="s">
        <v>3618</v>
      </c>
      <c r="Q968" s="8" t="s">
        <v>5065</v>
      </c>
      <c r="R968" s="8"/>
      <c r="S968" s="8" t="s">
        <v>21</v>
      </c>
      <c r="T968" s="29">
        <v>560058</v>
      </c>
      <c r="U968" s="8" t="s">
        <v>22</v>
      </c>
      <c r="V968" s="8" t="s">
        <v>23</v>
      </c>
      <c r="W968" s="193">
        <v>8</v>
      </c>
      <c r="X968" s="8">
        <v>0</v>
      </c>
      <c r="Y968" s="8">
        <v>5</v>
      </c>
      <c r="Z968" s="8">
        <v>1</v>
      </c>
      <c r="AA968" s="193" t="s">
        <v>4118</v>
      </c>
      <c r="AB968" s="222"/>
    </row>
    <row r="969" spans="1:28" s="229" customFormat="1" ht="15" customHeight="1">
      <c r="A969" s="16">
        <v>968</v>
      </c>
      <c r="B969" s="14" t="s">
        <v>3619</v>
      </c>
      <c r="C969" s="14" t="str">
        <f>_xlfn.CONCAT(B969&amp;" "&amp;W969&amp;X969&amp;Y969&amp;Z969)</f>
        <v>Wise Tech precision Engg  8012</v>
      </c>
      <c r="D969" s="16">
        <v>1053</v>
      </c>
      <c r="E969" s="9" t="s">
        <v>810</v>
      </c>
      <c r="F969" s="9"/>
      <c r="G969" s="24">
        <v>45043</v>
      </c>
      <c r="H969" s="24"/>
      <c r="I969" s="24"/>
      <c r="J969" s="24">
        <v>45043</v>
      </c>
      <c r="K969" s="24">
        <v>45408</v>
      </c>
      <c r="L969" s="32">
        <v>3</v>
      </c>
      <c r="M969" s="8"/>
      <c r="N969" s="8"/>
      <c r="O969" s="19"/>
      <c r="P969" s="8" t="s">
        <v>3620</v>
      </c>
      <c r="Q969" s="8" t="s">
        <v>5066</v>
      </c>
      <c r="R969" s="8"/>
      <c r="S969" s="8" t="s">
        <v>3621</v>
      </c>
      <c r="T969" s="29">
        <v>562107</v>
      </c>
      <c r="U969" s="8" t="s">
        <v>22</v>
      </c>
      <c r="V969" s="8" t="s">
        <v>23</v>
      </c>
      <c r="W969" s="193">
        <v>8</v>
      </c>
      <c r="X969" s="8">
        <v>0</v>
      </c>
      <c r="Y969" s="8">
        <v>1</v>
      </c>
      <c r="Z969" s="8">
        <v>2</v>
      </c>
      <c r="AA969" s="193" t="s">
        <v>4118</v>
      </c>
      <c r="AB969" s="222"/>
    </row>
    <row r="970" spans="1:28" s="229" customFormat="1" ht="15" customHeight="1">
      <c r="A970" s="16">
        <v>969</v>
      </c>
      <c r="B970" s="14" t="s">
        <v>3622</v>
      </c>
      <c r="C970" s="14" t="str">
        <f>_xlfn.CONCAT(B970&amp;" "&amp;W970&amp;X970&amp;Y970&amp;Z970)</f>
        <v>Schneider Electric IT Business India Pvt Ltd (SDI Business Service India Pvt Ltd) 8021</v>
      </c>
      <c r="D970" s="16">
        <v>1054</v>
      </c>
      <c r="E970" s="9" t="s">
        <v>3599</v>
      </c>
      <c r="F970" s="9"/>
      <c r="G970" s="24">
        <v>45044</v>
      </c>
      <c r="H970" s="24"/>
      <c r="I970" s="24"/>
      <c r="J970" s="24">
        <v>45044</v>
      </c>
      <c r="K970" s="24">
        <v>45409</v>
      </c>
      <c r="L970" s="32">
        <v>3</v>
      </c>
      <c r="M970" s="8"/>
      <c r="N970" s="8"/>
      <c r="O970" s="19"/>
      <c r="P970" s="8" t="s">
        <v>2360</v>
      </c>
      <c r="Q970" s="8" t="s">
        <v>5067</v>
      </c>
      <c r="R970" s="8"/>
      <c r="S970" s="8" t="s">
        <v>3623</v>
      </c>
      <c r="T970" s="29"/>
      <c r="U970" s="8" t="s">
        <v>22</v>
      </c>
      <c r="V970" s="8" t="s">
        <v>23</v>
      </c>
      <c r="W970" s="193">
        <v>8</v>
      </c>
      <c r="X970" s="8">
        <v>0</v>
      </c>
      <c r="Y970" s="8">
        <v>2</v>
      </c>
      <c r="Z970" s="8">
        <v>1</v>
      </c>
      <c r="AA970" s="193" t="s">
        <v>4118</v>
      </c>
      <c r="AB970" s="222"/>
    </row>
    <row r="971" spans="1:28" s="229" customFormat="1" ht="15" customHeight="1">
      <c r="A971" s="16">
        <v>970</v>
      </c>
      <c r="B971" s="14" t="s">
        <v>3624</v>
      </c>
      <c r="C971" s="14" t="str">
        <f>_xlfn.CONCAT(B971&amp;" "&amp;W971&amp;X971&amp;Y971&amp;Z971)</f>
        <v>Accusharp Cutting Tools Pvt Ltd 2411</v>
      </c>
      <c r="D971" s="16">
        <v>953</v>
      </c>
      <c r="E971" s="9" t="s">
        <v>302</v>
      </c>
      <c r="F971" s="9"/>
      <c r="G971" s="24">
        <v>45054</v>
      </c>
      <c r="H971" s="24"/>
      <c r="I971" s="24"/>
      <c r="J971" s="24">
        <v>45054</v>
      </c>
      <c r="K971" s="24">
        <v>45419</v>
      </c>
      <c r="L971" s="32">
        <v>3</v>
      </c>
      <c r="M971" s="8"/>
      <c r="N971" s="8"/>
      <c r="O971" s="19"/>
      <c r="P971" s="8" t="s">
        <v>214</v>
      </c>
      <c r="Q971" s="8" t="s">
        <v>5068</v>
      </c>
      <c r="R971" s="8"/>
      <c r="S971" s="8" t="s">
        <v>215</v>
      </c>
      <c r="T971" s="29">
        <v>411026</v>
      </c>
      <c r="U971" s="8" t="s">
        <v>172</v>
      </c>
      <c r="V971" s="8" t="s">
        <v>23</v>
      </c>
      <c r="W971" s="193">
        <v>2</v>
      </c>
      <c r="X971" s="8">
        <v>4</v>
      </c>
      <c r="Y971" s="8">
        <v>1</v>
      </c>
      <c r="Z971" s="8">
        <v>1</v>
      </c>
      <c r="AA971" s="193" t="s">
        <v>4150</v>
      </c>
      <c r="AB971" s="222"/>
    </row>
    <row r="972" spans="1:28" s="229" customFormat="1" ht="15" customHeight="1">
      <c r="A972" s="16">
        <v>971</v>
      </c>
      <c r="B972" s="14" t="s">
        <v>3625</v>
      </c>
      <c r="C972" s="14" t="str">
        <f>_xlfn.CONCAT(B972&amp;" "&amp;W972&amp;X972&amp;Y972&amp;Z972)</f>
        <v>Paragon Electric Switchgears Pvt Ltd 2301</v>
      </c>
      <c r="D972" s="16">
        <v>1056</v>
      </c>
      <c r="E972" s="9" t="s">
        <v>42</v>
      </c>
      <c r="F972" s="9"/>
      <c r="G972" s="24">
        <v>45054</v>
      </c>
      <c r="H972" s="24"/>
      <c r="I972" s="24"/>
      <c r="J972" s="24">
        <v>45054</v>
      </c>
      <c r="K972" s="24">
        <v>45419</v>
      </c>
      <c r="L972" s="32">
        <v>3</v>
      </c>
      <c r="M972" s="8"/>
      <c r="N972" s="8"/>
      <c r="O972" s="19"/>
      <c r="P972" s="8" t="s">
        <v>3626</v>
      </c>
      <c r="Q972" s="8" t="s">
        <v>5069</v>
      </c>
      <c r="R972" s="8" t="s">
        <v>3627</v>
      </c>
      <c r="S972" s="8" t="s">
        <v>321</v>
      </c>
      <c r="T972" s="29">
        <v>422005</v>
      </c>
      <c r="U972" s="8" t="s">
        <v>172</v>
      </c>
      <c r="V972" s="8" t="s">
        <v>23</v>
      </c>
      <c r="W972" s="193">
        <v>2</v>
      </c>
      <c r="X972" s="8">
        <v>3</v>
      </c>
      <c r="Y972" s="8">
        <v>0</v>
      </c>
      <c r="Z972" s="8">
        <v>1</v>
      </c>
      <c r="AA972" s="193" t="s">
        <v>5221</v>
      </c>
      <c r="AB972" s="222"/>
    </row>
    <row r="973" spans="1:28" s="229" customFormat="1" ht="15" customHeight="1">
      <c r="A973" s="16">
        <v>972</v>
      </c>
      <c r="B973" s="14" t="s">
        <v>3628</v>
      </c>
      <c r="C973" s="14" t="str">
        <f>_xlfn.CONCAT(B973&amp;" "&amp;W973&amp;X973&amp;Y973&amp;Z973)</f>
        <v>Bosch Ltd (Disha Enterprises) 8011</v>
      </c>
      <c r="D973" s="16">
        <v>1055</v>
      </c>
      <c r="E973" s="9" t="s">
        <v>42</v>
      </c>
      <c r="F973" s="9"/>
      <c r="G973" s="24">
        <v>45057</v>
      </c>
      <c r="H973" s="24"/>
      <c r="I973" s="24"/>
      <c r="J973" s="24">
        <v>45450</v>
      </c>
      <c r="K973" s="24">
        <v>45814</v>
      </c>
      <c r="L973" s="32">
        <v>3</v>
      </c>
      <c r="M973" s="8"/>
      <c r="N973" s="8"/>
      <c r="O973" s="19"/>
      <c r="P973" s="8" t="s">
        <v>3629</v>
      </c>
      <c r="Q973" s="8" t="s">
        <v>5070</v>
      </c>
      <c r="R973" s="8"/>
      <c r="S973" s="8" t="s">
        <v>21</v>
      </c>
      <c r="T973" s="29">
        <v>560100</v>
      </c>
      <c r="U973" s="8" t="s">
        <v>22</v>
      </c>
      <c r="V973" s="8" t="s">
        <v>23</v>
      </c>
      <c r="W973" s="193">
        <v>8</v>
      </c>
      <c r="X973" s="8">
        <v>0</v>
      </c>
      <c r="Y973" s="8">
        <v>1</v>
      </c>
      <c r="Z973" s="8">
        <v>1</v>
      </c>
      <c r="AA973" s="193" t="s">
        <v>4118</v>
      </c>
      <c r="AB973" s="222"/>
    </row>
    <row r="974" spans="1:28" s="229" customFormat="1" ht="15" customHeight="1">
      <c r="A974" s="16">
        <v>973</v>
      </c>
      <c r="B974" s="14" t="s">
        <v>3630</v>
      </c>
      <c r="C974" s="14" t="str">
        <f>_xlfn.CONCAT(B974&amp;" "&amp;W974&amp;X974&amp;Y974&amp;Z974)</f>
        <v>Romsons Group Pvt Ltd 1154</v>
      </c>
      <c r="D974" s="16">
        <v>956</v>
      </c>
      <c r="E974" s="9" t="s">
        <v>90</v>
      </c>
      <c r="F974" s="9"/>
      <c r="G974" s="24">
        <v>45059</v>
      </c>
      <c r="H974" s="24"/>
      <c r="I974" s="24"/>
      <c r="J974" s="24">
        <v>45059</v>
      </c>
      <c r="K974" s="24">
        <v>45789</v>
      </c>
      <c r="L974" s="32">
        <v>3</v>
      </c>
      <c r="M974" s="8"/>
      <c r="N974" s="8"/>
      <c r="O974" s="19"/>
      <c r="P974" s="8"/>
      <c r="Q974" s="8" t="s">
        <v>5071</v>
      </c>
      <c r="R974" s="8"/>
      <c r="S974" s="8" t="s">
        <v>933</v>
      </c>
      <c r="T974" s="29">
        <v>282006</v>
      </c>
      <c r="U974" s="8" t="s">
        <v>184</v>
      </c>
      <c r="V974" s="8" t="s">
        <v>23</v>
      </c>
      <c r="W974" s="193">
        <v>1</v>
      </c>
      <c r="X974" s="8">
        <v>1</v>
      </c>
      <c r="Y974" s="8">
        <v>5</v>
      </c>
      <c r="Z974" s="8">
        <v>4</v>
      </c>
      <c r="AA974" s="193" t="s">
        <v>4118</v>
      </c>
      <c r="AB974" s="222"/>
    </row>
    <row r="975" spans="1:28" s="229" customFormat="1" ht="15" customHeight="1">
      <c r="A975" s="16">
        <v>974</v>
      </c>
      <c r="B975" s="14" t="s">
        <v>2449</v>
      </c>
      <c r="C975" s="14" t="str">
        <f>_xlfn.CONCAT(B975&amp;" "&amp;W975&amp;X975&amp;Y975&amp;Z975)</f>
        <v>Mindarika Pvt Ltd 4031</v>
      </c>
      <c r="D975" s="16">
        <v>1037</v>
      </c>
      <c r="E975" s="9" t="s">
        <v>3631</v>
      </c>
      <c r="F975" s="9"/>
      <c r="G975" s="24">
        <v>45065</v>
      </c>
      <c r="H975" s="24"/>
      <c r="I975" s="24"/>
      <c r="J975" s="24">
        <v>45065</v>
      </c>
      <c r="K975" s="24">
        <v>45430</v>
      </c>
      <c r="L975" s="32">
        <v>3</v>
      </c>
      <c r="M975" s="8" t="s">
        <v>3632</v>
      </c>
      <c r="N975" s="222"/>
      <c r="O975" s="8">
        <v>7200783125</v>
      </c>
      <c r="P975" s="8" t="s">
        <v>3633</v>
      </c>
      <c r="Q975" s="8" t="s">
        <v>5072</v>
      </c>
      <c r="R975" s="8"/>
      <c r="S975" s="8" t="s">
        <v>354</v>
      </c>
      <c r="T975" s="29">
        <v>603204</v>
      </c>
      <c r="U975" s="8" t="s">
        <v>38</v>
      </c>
      <c r="V975" s="8" t="s">
        <v>23</v>
      </c>
      <c r="W975" s="193">
        <v>4</v>
      </c>
      <c r="X975" s="8">
        <v>0</v>
      </c>
      <c r="Y975" s="8">
        <v>3</v>
      </c>
      <c r="Z975" s="8">
        <v>1</v>
      </c>
      <c r="AA975" s="193" t="s">
        <v>4148</v>
      </c>
      <c r="AB975" s="222"/>
    </row>
    <row r="976" spans="1:28" s="229" customFormat="1" ht="15" customHeight="1">
      <c r="A976" s="16">
        <v>975</v>
      </c>
      <c r="B976" s="14" t="s">
        <v>3634</v>
      </c>
      <c r="C976" s="14" t="str">
        <f>_xlfn.CONCAT(B976&amp;" "&amp;W976&amp;X976&amp;Y976&amp;Z976)</f>
        <v>Creative Propack Ltd 4013</v>
      </c>
      <c r="D976" s="16">
        <v>1060</v>
      </c>
      <c r="E976" s="9" t="s">
        <v>1136</v>
      </c>
      <c r="F976" s="9"/>
      <c r="G976" s="24">
        <v>45065</v>
      </c>
      <c r="H976" s="24"/>
      <c r="I976" s="24"/>
      <c r="J976" s="24">
        <v>45065</v>
      </c>
      <c r="K976" s="24">
        <v>45430</v>
      </c>
      <c r="L976" s="32">
        <v>3</v>
      </c>
      <c r="M976" s="8" t="s">
        <v>3635</v>
      </c>
      <c r="N976" s="222"/>
      <c r="O976" s="8">
        <v>7820029414</v>
      </c>
      <c r="P976" s="8" t="s">
        <v>3636</v>
      </c>
      <c r="Q976" s="8" t="s">
        <v>5073</v>
      </c>
      <c r="R976" s="8"/>
      <c r="S976" s="8" t="s">
        <v>235</v>
      </c>
      <c r="T976" s="29">
        <v>605111</v>
      </c>
      <c r="U976" s="8" t="s">
        <v>38</v>
      </c>
      <c r="V976" s="8" t="s">
        <v>23</v>
      </c>
      <c r="W976" s="193">
        <v>4</v>
      </c>
      <c r="X976" s="8">
        <v>0</v>
      </c>
      <c r="Y976" s="8">
        <v>1</v>
      </c>
      <c r="Z976" s="8">
        <v>3</v>
      </c>
      <c r="AA976" s="193" t="s">
        <v>4148</v>
      </c>
      <c r="AB976" s="222"/>
    </row>
    <row r="977" spans="1:28" s="229" customFormat="1" ht="15" customHeight="1">
      <c r="A977" s="16">
        <v>976</v>
      </c>
      <c r="B977" s="14" t="s">
        <v>3624</v>
      </c>
      <c r="C977" s="14" t="str">
        <f>_xlfn.CONCAT(B977&amp;" "&amp;W977&amp;X977&amp;Y977&amp;Z977)</f>
        <v>Accusharp Cutting Tools Pvt Ltd 2411</v>
      </c>
      <c r="D977" s="16">
        <v>954</v>
      </c>
      <c r="E977" s="9" t="s">
        <v>302</v>
      </c>
      <c r="F977" s="9"/>
      <c r="G977" s="24">
        <v>45076</v>
      </c>
      <c r="H977" s="24"/>
      <c r="I977" s="24"/>
      <c r="J977" s="24">
        <v>45076</v>
      </c>
      <c r="K977" s="24">
        <v>45441</v>
      </c>
      <c r="L977" s="32">
        <v>3</v>
      </c>
      <c r="M977" s="8" t="s">
        <v>3637</v>
      </c>
      <c r="N977" s="8"/>
      <c r="O977" s="19"/>
      <c r="P977" s="8" t="s">
        <v>214</v>
      </c>
      <c r="Q977" s="8" t="s">
        <v>5068</v>
      </c>
      <c r="R977" s="8"/>
      <c r="S977" s="8" t="s">
        <v>215</v>
      </c>
      <c r="T977" s="29">
        <v>411026</v>
      </c>
      <c r="U977" s="8" t="s">
        <v>172</v>
      </c>
      <c r="V977" s="8" t="s">
        <v>23</v>
      </c>
      <c r="W977" s="193">
        <v>2</v>
      </c>
      <c r="X977" s="8">
        <v>4</v>
      </c>
      <c r="Y977" s="8">
        <v>1</v>
      </c>
      <c r="Z977" s="8">
        <v>1</v>
      </c>
      <c r="AA977" s="193" t="s">
        <v>4150</v>
      </c>
      <c r="AB977" s="222"/>
    </row>
    <row r="978" spans="1:28" s="229" customFormat="1" ht="15" customHeight="1">
      <c r="A978" s="16">
        <v>977</v>
      </c>
      <c r="B978" s="14" t="s">
        <v>3638</v>
      </c>
      <c r="C978" s="14" t="str">
        <f>_xlfn.CONCAT(B978&amp;" "&amp;W978&amp;X978&amp;Y978&amp;Z978)</f>
        <v>Suja Shoei Industries Pvt Ltd 4025</v>
      </c>
      <c r="D978" s="16">
        <v>1062</v>
      </c>
      <c r="E978" s="9" t="s">
        <v>90</v>
      </c>
      <c r="F978" s="9"/>
      <c r="G978" s="24">
        <v>45079</v>
      </c>
      <c r="H978" s="24"/>
      <c r="I978" s="24"/>
      <c r="J978" s="24">
        <v>45439</v>
      </c>
      <c r="K978" s="24">
        <v>45803</v>
      </c>
      <c r="L978" s="32">
        <v>3</v>
      </c>
      <c r="M978" s="8" t="s">
        <v>3639</v>
      </c>
      <c r="N978" s="8"/>
      <c r="O978" s="19">
        <v>8012351567</v>
      </c>
      <c r="P978" s="8" t="s">
        <v>3640</v>
      </c>
      <c r="Q978" s="8" t="s">
        <v>5074</v>
      </c>
      <c r="R978" s="8" t="s">
        <v>3641</v>
      </c>
      <c r="S978" s="8" t="s">
        <v>997</v>
      </c>
      <c r="T978" s="29" t="s">
        <v>3642</v>
      </c>
      <c r="U978" s="8" t="s">
        <v>38</v>
      </c>
      <c r="V978" s="8" t="s">
        <v>23</v>
      </c>
      <c r="W978" s="193">
        <v>4</v>
      </c>
      <c r="X978" s="8">
        <v>0</v>
      </c>
      <c r="Y978" s="8">
        <v>2</v>
      </c>
      <c r="Z978" s="8">
        <v>5</v>
      </c>
      <c r="AA978" s="193" t="s">
        <v>4148</v>
      </c>
      <c r="AB978" s="222"/>
    </row>
    <row r="979" spans="1:28" s="229" customFormat="1" ht="15" customHeight="1">
      <c r="A979" s="16">
        <v>978</v>
      </c>
      <c r="B979" s="14" t="s">
        <v>3643</v>
      </c>
      <c r="C979" s="14" t="str">
        <f>_xlfn.CONCAT(B979&amp;" "&amp;W979&amp;X979&amp;Y979&amp;Z979)</f>
        <v>Stumpp Schuel Lewis Machine Tools Pvt Ltd 8021</v>
      </c>
      <c r="D979" s="16">
        <v>1063</v>
      </c>
      <c r="E979" s="9" t="s">
        <v>90</v>
      </c>
      <c r="F979" s="9"/>
      <c r="G979" s="24">
        <v>45112</v>
      </c>
      <c r="H979" s="24"/>
      <c r="I979" s="24"/>
      <c r="J979" s="24">
        <v>45112</v>
      </c>
      <c r="K979" s="24">
        <v>45477</v>
      </c>
      <c r="L979" s="32">
        <v>3</v>
      </c>
      <c r="M979" s="8" t="s">
        <v>3644</v>
      </c>
      <c r="N979" s="222" t="s">
        <v>254</v>
      </c>
      <c r="O979" s="8">
        <v>9900329602</v>
      </c>
      <c r="P979" s="8" t="s">
        <v>3645</v>
      </c>
      <c r="Q979" s="8" t="s">
        <v>5075</v>
      </c>
      <c r="R979" s="8" t="s">
        <v>3646</v>
      </c>
      <c r="S979" s="8" t="s">
        <v>21</v>
      </c>
      <c r="T979" s="29">
        <v>560105</v>
      </c>
      <c r="U979" s="8" t="s">
        <v>22</v>
      </c>
      <c r="V979" s="8" t="s">
        <v>23</v>
      </c>
      <c r="W979" s="193">
        <v>8</v>
      </c>
      <c r="X979" s="8">
        <v>0</v>
      </c>
      <c r="Y979" s="8">
        <v>2</v>
      </c>
      <c r="Z979" s="8">
        <v>1</v>
      </c>
      <c r="AA979" s="193" t="s">
        <v>4118</v>
      </c>
      <c r="AB979" s="222"/>
    </row>
    <row r="980" spans="1:28" s="229" customFormat="1" ht="15" customHeight="1">
      <c r="A980" s="16">
        <v>979</v>
      </c>
      <c r="B980" s="14" t="s">
        <v>3647</v>
      </c>
      <c r="C980" s="14" t="str">
        <f>_xlfn.CONCAT(B980&amp;" "&amp;W980&amp;X980&amp;Y980&amp;Z980)</f>
        <v>Unique Measurement Service 4031</v>
      </c>
      <c r="D980" s="16">
        <v>1100</v>
      </c>
      <c r="E980" s="9" t="s">
        <v>2082</v>
      </c>
      <c r="F980" s="9"/>
      <c r="G980" s="24">
        <v>45132</v>
      </c>
      <c r="H980" s="24"/>
      <c r="I980" s="24"/>
      <c r="J980" s="24">
        <v>45132</v>
      </c>
      <c r="K980" s="24">
        <v>45497</v>
      </c>
      <c r="L980" s="32">
        <v>3</v>
      </c>
      <c r="M980" s="8" t="s">
        <v>3648</v>
      </c>
      <c r="N980" s="8" t="s">
        <v>3649</v>
      </c>
      <c r="O980" s="19">
        <v>7358051901</v>
      </c>
      <c r="P980" s="8" t="s">
        <v>3650</v>
      </c>
      <c r="Q980" s="8" t="s">
        <v>5076</v>
      </c>
      <c r="R980" s="8" t="s">
        <v>3560</v>
      </c>
      <c r="S980" s="8" t="s">
        <v>2503</v>
      </c>
      <c r="T980" s="29" t="s">
        <v>3651</v>
      </c>
      <c r="U980" s="8" t="s">
        <v>38</v>
      </c>
      <c r="V980" s="8" t="s">
        <v>23</v>
      </c>
      <c r="W980" s="193">
        <v>4</v>
      </c>
      <c r="X980" s="8">
        <v>0</v>
      </c>
      <c r="Y980" s="8">
        <v>3</v>
      </c>
      <c r="Z980" s="8">
        <v>1</v>
      </c>
      <c r="AA980" s="193" t="s">
        <v>4148</v>
      </c>
      <c r="AB980" s="222"/>
    </row>
    <row r="981" spans="1:28" s="229" customFormat="1" ht="15" customHeight="1">
      <c r="A981" s="16">
        <v>980</v>
      </c>
      <c r="B981" s="14" t="s">
        <v>3014</v>
      </c>
      <c r="C981" s="14" t="str">
        <f>_xlfn.CONCAT(B981&amp;" "&amp;W981&amp;X981&amp;Y981&amp;Z981)</f>
        <v>TGT Tech Private Limited 8051</v>
      </c>
      <c r="D981" s="16" t="s">
        <v>3652</v>
      </c>
      <c r="E981" s="9"/>
      <c r="F981" s="9"/>
      <c r="G981" s="24">
        <v>45150</v>
      </c>
      <c r="H981" s="24"/>
      <c r="I981" s="24"/>
      <c r="J981" s="24">
        <v>45150</v>
      </c>
      <c r="K981" s="24">
        <v>45515</v>
      </c>
      <c r="L981" s="32">
        <v>3</v>
      </c>
      <c r="M981" s="8" t="s">
        <v>3653</v>
      </c>
      <c r="N981" s="8"/>
      <c r="O981" s="19">
        <v>9845365156</v>
      </c>
      <c r="P981" s="8" t="s">
        <v>2196</v>
      </c>
      <c r="Q981" s="8" t="s">
        <v>5077</v>
      </c>
      <c r="R981" s="8" t="s">
        <v>1512</v>
      </c>
      <c r="S981" s="8" t="s">
        <v>21</v>
      </c>
      <c r="T981" s="29" t="s">
        <v>3063</v>
      </c>
      <c r="U981" s="8" t="s">
        <v>22</v>
      </c>
      <c r="V981" s="8" t="s">
        <v>23</v>
      </c>
      <c r="W981" s="193">
        <v>8</v>
      </c>
      <c r="X981" s="8">
        <v>0</v>
      </c>
      <c r="Y981" s="8">
        <v>5</v>
      </c>
      <c r="Z981" s="8">
        <v>1</v>
      </c>
      <c r="AA981" s="193" t="s">
        <v>4118</v>
      </c>
      <c r="AB981" s="222"/>
    </row>
    <row r="982" spans="1:28" s="229" customFormat="1" ht="15" customHeight="1">
      <c r="A982" s="16">
        <v>981</v>
      </c>
      <c r="B982" s="14" t="s">
        <v>3014</v>
      </c>
      <c r="C982" s="14" t="str">
        <f>_xlfn.CONCAT(B982&amp;" "&amp;W982&amp;X982&amp;Y982&amp;Z982)</f>
        <v>TGT Tech Private Limited 8051</v>
      </c>
      <c r="D982" s="16" t="s">
        <v>3654</v>
      </c>
      <c r="E982" s="9"/>
      <c r="F982" s="9"/>
      <c r="G982" s="24">
        <v>45150</v>
      </c>
      <c r="H982" s="24"/>
      <c r="I982" s="24"/>
      <c r="J982" s="24">
        <v>45150</v>
      </c>
      <c r="K982" s="24">
        <v>45515</v>
      </c>
      <c r="L982" s="32">
        <v>3</v>
      </c>
      <c r="M982" s="8" t="s">
        <v>3653</v>
      </c>
      <c r="N982" s="8"/>
      <c r="O982" s="19">
        <v>9845365156</v>
      </c>
      <c r="P982" s="8" t="s">
        <v>2196</v>
      </c>
      <c r="Q982" s="8" t="s">
        <v>5077</v>
      </c>
      <c r="R982" s="8" t="s">
        <v>1512</v>
      </c>
      <c r="S982" s="8" t="s">
        <v>21</v>
      </c>
      <c r="T982" s="29" t="s">
        <v>3063</v>
      </c>
      <c r="U982" s="8" t="s">
        <v>22</v>
      </c>
      <c r="V982" s="8" t="s">
        <v>23</v>
      </c>
      <c r="W982" s="193">
        <v>8</v>
      </c>
      <c r="X982" s="8">
        <v>0</v>
      </c>
      <c r="Y982" s="8">
        <v>5</v>
      </c>
      <c r="Z982" s="8">
        <v>1</v>
      </c>
      <c r="AA982" s="193" t="s">
        <v>4118</v>
      </c>
      <c r="AB982" s="222"/>
    </row>
    <row r="983" spans="1:28" s="229" customFormat="1" ht="15" customHeight="1">
      <c r="A983" s="16">
        <v>982</v>
      </c>
      <c r="B983" s="14" t="s">
        <v>3655</v>
      </c>
      <c r="C983" s="14" t="str">
        <f>_xlfn.CONCAT(B983&amp;" "&amp;W983&amp;X983&amp;Y983&amp;Z983)</f>
        <v xml:space="preserve"> Praveen Engg Industries 8013</v>
      </c>
      <c r="D983" s="16">
        <v>1064</v>
      </c>
      <c r="E983" s="9" t="s">
        <v>42</v>
      </c>
      <c r="F983" s="9"/>
      <c r="G983" s="24">
        <v>45154</v>
      </c>
      <c r="H983" s="24"/>
      <c r="I983" s="24"/>
      <c r="J983" s="24">
        <v>45154</v>
      </c>
      <c r="K983" s="24">
        <v>45519</v>
      </c>
      <c r="L983" s="32">
        <v>3</v>
      </c>
      <c r="M983" s="8" t="s">
        <v>3656</v>
      </c>
      <c r="N983" s="8"/>
      <c r="O983" s="19">
        <v>9789196766</v>
      </c>
      <c r="P983" s="8" t="s">
        <v>3657</v>
      </c>
      <c r="Q983" s="8" t="s">
        <v>5078</v>
      </c>
      <c r="R983" s="8" t="s">
        <v>3658</v>
      </c>
      <c r="S983" s="8" t="s">
        <v>121</v>
      </c>
      <c r="T983" s="29">
        <v>635126</v>
      </c>
      <c r="U983" s="8" t="s">
        <v>38</v>
      </c>
      <c r="V983" s="8" t="s">
        <v>23</v>
      </c>
      <c r="W983" s="193">
        <v>8</v>
      </c>
      <c r="X983" s="8">
        <v>0</v>
      </c>
      <c r="Y983" s="8">
        <v>1</v>
      </c>
      <c r="Z983" s="8">
        <v>3</v>
      </c>
      <c r="AA983" s="193" t="s">
        <v>4118</v>
      </c>
      <c r="AB983" s="222"/>
    </row>
    <row r="984" spans="1:28" s="229" customFormat="1" ht="15" customHeight="1">
      <c r="A984" s="16">
        <v>983</v>
      </c>
      <c r="B984" s="14" t="s">
        <v>2703</v>
      </c>
      <c r="C984" s="14" t="str">
        <f>_xlfn.CONCAT(B984&amp;" "&amp;W984&amp;X984&amp;Y984&amp;Z984)</f>
        <v>Igarashi Motors India Ltd 4023</v>
      </c>
      <c r="D984" s="16">
        <v>1039</v>
      </c>
      <c r="E984" s="9" t="s">
        <v>2082</v>
      </c>
      <c r="F984" s="9"/>
      <c r="G984" s="24">
        <v>45160</v>
      </c>
      <c r="H984" s="24"/>
      <c r="I984" s="24"/>
      <c r="J984" s="24">
        <v>45160</v>
      </c>
      <c r="K984" s="24">
        <v>45525</v>
      </c>
      <c r="L984" s="32">
        <v>3</v>
      </c>
      <c r="M984" s="8" t="s">
        <v>3659</v>
      </c>
      <c r="N984" s="8"/>
      <c r="O984" s="19">
        <v>9790825334</v>
      </c>
      <c r="P984" s="8" t="s">
        <v>3660</v>
      </c>
      <c r="Q984" s="8" t="s">
        <v>5079</v>
      </c>
      <c r="R984" s="8" t="s">
        <v>1603</v>
      </c>
      <c r="S984" s="8" t="s">
        <v>37</v>
      </c>
      <c r="T984" s="29" t="s">
        <v>3330</v>
      </c>
      <c r="U984" s="8" t="s">
        <v>38</v>
      </c>
      <c r="V984" s="8" t="s">
        <v>23</v>
      </c>
      <c r="W984" s="193">
        <v>4</v>
      </c>
      <c r="X984" s="8">
        <v>0</v>
      </c>
      <c r="Y984" s="8">
        <v>2</v>
      </c>
      <c r="Z984" s="8">
        <v>3</v>
      </c>
      <c r="AA984" s="193" t="s">
        <v>4148</v>
      </c>
      <c r="AB984" s="222"/>
    </row>
    <row r="985" spans="1:28" s="229" customFormat="1" ht="15" customHeight="1">
      <c r="A985" s="16">
        <v>984</v>
      </c>
      <c r="B985" s="14" t="s">
        <v>2527</v>
      </c>
      <c r="C985" s="14" t="str">
        <f>_xlfn.CONCAT(B985&amp;" "&amp;W985&amp;X985&amp;Y985&amp;Z985)</f>
        <v>GKM Metal Finishers 8013</v>
      </c>
      <c r="D985" s="16">
        <v>1057</v>
      </c>
      <c r="E985" s="9" t="s">
        <v>42</v>
      </c>
      <c r="F985" s="9"/>
      <c r="G985" s="24">
        <v>45165</v>
      </c>
      <c r="H985" s="24"/>
      <c r="I985" s="24"/>
      <c r="J985" s="24">
        <v>45165</v>
      </c>
      <c r="K985" s="24">
        <v>45531</v>
      </c>
      <c r="L985" s="32">
        <v>3</v>
      </c>
      <c r="M985" s="8" t="s">
        <v>3661</v>
      </c>
      <c r="N985" s="8"/>
      <c r="O985" s="19">
        <v>9790030059</v>
      </c>
      <c r="P985" s="8" t="s">
        <v>3662</v>
      </c>
      <c r="Q985" s="8" t="s">
        <v>5080</v>
      </c>
      <c r="R985" s="8" t="s">
        <v>468</v>
      </c>
      <c r="S985" s="8" t="s">
        <v>121</v>
      </c>
      <c r="T985" s="29">
        <v>635126</v>
      </c>
      <c r="U985" s="8" t="s">
        <v>38</v>
      </c>
      <c r="V985" s="8" t="s">
        <v>23</v>
      </c>
      <c r="W985" s="193">
        <v>8</v>
      </c>
      <c r="X985" s="8">
        <v>0</v>
      </c>
      <c r="Y985" s="8">
        <v>1</v>
      </c>
      <c r="Z985" s="8">
        <v>3</v>
      </c>
      <c r="AA985" s="193" t="s">
        <v>4118</v>
      </c>
      <c r="AB985" s="222"/>
    </row>
    <row r="986" spans="1:28" s="229" customFormat="1" ht="15" customHeight="1">
      <c r="A986" s="16">
        <v>985</v>
      </c>
      <c r="B986" s="14" t="s">
        <v>3663</v>
      </c>
      <c r="C986" s="14" t="str">
        <f>_xlfn.CONCAT(B986&amp;" "&amp;W986&amp;X986&amp;Y986&amp;Z986)</f>
        <v>Lakshmi Machine Works Ltd (Candid Micron Measurements Pvt Ltd) 4161</v>
      </c>
      <c r="D986" s="16">
        <v>1058</v>
      </c>
      <c r="E986" s="9" t="s">
        <v>42</v>
      </c>
      <c r="F986" s="9"/>
      <c r="G986" s="24">
        <v>45165</v>
      </c>
      <c r="H986" s="24"/>
      <c r="I986" s="24"/>
      <c r="J986" s="24">
        <v>45165</v>
      </c>
      <c r="K986" s="24">
        <v>45531</v>
      </c>
      <c r="L986" s="32">
        <v>3</v>
      </c>
      <c r="M986" s="8"/>
      <c r="N986" s="8"/>
      <c r="O986" s="19"/>
      <c r="P986" s="8" t="s">
        <v>3664</v>
      </c>
      <c r="Q986" s="8" t="s">
        <v>5081</v>
      </c>
      <c r="R986" s="8" t="s">
        <v>3665</v>
      </c>
      <c r="S986" s="8" t="s">
        <v>101</v>
      </c>
      <c r="T986" s="29">
        <v>641659</v>
      </c>
      <c r="U986" s="8" t="s">
        <v>38</v>
      </c>
      <c r="V986" s="8" t="s">
        <v>23</v>
      </c>
      <c r="W986" s="193">
        <v>4</v>
      </c>
      <c r="X986" s="8">
        <v>1</v>
      </c>
      <c r="Y986" s="8">
        <v>6</v>
      </c>
      <c r="Z986" s="8">
        <v>1</v>
      </c>
      <c r="AA986" s="193" t="s">
        <v>4148</v>
      </c>
      <c r="AB986" s="222"/>
    </row>
    <row r="987" spans="1:28" s="229" customFormat="1" ht="15" customHeight="1">
      <c r="A987" s="16">
        <v>986</v>
      </c>
      <c r="B987" s="14" t="s">
        <v>3666</v>
      </c>
      <c r="C987" s="14" t="str">
        <f>_xlfn.CONCAT(B987&amp;" "&amp;W987&amp;X987&amp;Y987&amp;Z987)</f>
        <v>Sunshine Innovative Electronics 8041</v>
      </c>
      <c r="D987" s="16">
        <v>1059</v>
      </c>
      <c r="E987" s="9" t="s">
        <v>42</v>
      </c>
      <c r="F987" s="9"/>
      <c r="G987" s="24">
        <v>45181</v>
      </c>
      <c r="H987" s="24"/>
      <c r="I987" s="24"/>
      <c r="J987" s="24">
        <v>45181</v>
      </c>
      <c r="K987" s="24">
        <v>45546</v>
      </c>
      <c r="L987" s="32">
        <v>3</v>
      </c>
      <c r="M987" s="8" t="s">
        <v>3667</v>
      </c>
      <c r="N987" s="8"/>
      <c r="O987" s="19">
        <v>9845568335</v>
      </c>
      <c r="P987" s="8" t="s">
        <v>3455</v>
      </c>
      <c r="Q987" s="8" t="s">
        <v>5082</v>
      </c>
      <c r="R987" s="8" t="s">
        <v>3668</v>
      </c>
      <c r="S987" s="8" t="s">
        <v>21</v>
      </c>
      <c r="T987" s="29">
        <v>560023</v>
      </c>
      <c r="U987" s="8" t="s">
        <v>22</v>
      </c>
      <c r="V987" s="8" t="s">
        <v>23</v>
      </c>
      <c r="W987" s="193">
        <v>8</v>
      </c>
      <c r="X987" s="8">
        <v>0</v>
      </c>
      <c r="Y987" s="8">
        <v>4</v>
      </c>
      <c r="Z987" s="8">
        <v>1</v>
      </c>
      <c r="AA987" s="193" t="s">
        <v>4118</v>
      </c>
      <c r="AB987" s="222"/>
    </row>
    <row r="988" spans="1:28" s="229" customFormat="1" ht="15" customHeight="1">
      <c r="A988" s="16">
        <v>987</v>
      </c>
      <c r="B988" s="14" t="s">
        <v>3669</v>
      </c>
      <c r="C988" s="14" t="str">
        <f>_xlfn.CONCAT(B988&amp;" "&amp;W988&amp;X988&amp;Y988&amp;Z988)</f>
        <v>Uno Minda Limited 4031</v>
      </c>
      <c r="D988" s="16">
        <v>1042</v>
      </c>
      <c r="E988" s="9" t="s">
        <v>3670</v>
      </c>
      <c r="F988" s="9"/>
      <c r="G988" s="24">
        <v>45185</v>
      </c>
      <c r="H988" s="24"/>
      <c r="I988" s="24"/>
      <c r="J988" s="24">
        <v>45185</v>
      </c>
      <c r="K988" s="24">
        <v>45550</v>
      </c>
      <c r="L988" s="32">
        <v>3</v>
      </c>
      <c r="M988" s="8" t="s">
        <v>3671</v>
      </c>
      <c r="N988" s="8"/>
      <c r="O988" s="19">
        <v>8220837163</v>
      </c>
      <c r="P988" s="8" t="s">
        <v>3672</v>
      </c>
      <c r="Q988" s="8" t="s">
        <v>5083</v>
      </c>
      <c r="R988" s="8" t="s">
        <v>353</v>
      </c>
      <c r="S988" s="8" t="s">
        <v>2503</v>
      </c>
      <c r="T988" s="29">
        <v>602105</v>
      </c>
      <c r="U988" s="8" t="s">
        <v>38</v>
      </c>
      <c r="V988" s="8" t="s">
        <v>23</v>
      </c>
      <c r="W988" s="193">
        <v>4</v>
      </c>
      <c r="X988" s="8">
        <v>0</v>
      </c>
      <c r="Y988" s="8">
        <v>3</v>
      </c>
      <c r="Z988" s="8">
        <v>1</v>
      </c>
      <c r="AA988" s="193" t="s">
        <v>4148</v>
      </c>
      <c r="AB988" s="222"/>
    </row>
    <row r="989" spans="1:28" s="229" customFormat="1" ht="15" customHeight="1">
      <c r="A989" s="16">
        <v>988</v>
      </c>
      <c r="B989" s="14" t="s">
        <v>3673</v>
      </c>
      <c r="C989" s="14" t="str">
        <f>_xlfn.CONCAT(B989&amp;" "&amp;W989&amp;X989&amp;Y989&amp;Z989)</f>
        <v>Vision Turnomech LLP 5401</v>
      </c>
      <c r="D989" s="16">
        <v>1065</v>
      </c>
      <c r="E989" s="9" t="s">
        <v>42</v>
      </c>
      <c r="F989" s="9"/>
      <c r="G989" s="24">
        <v>45188</v>
      </c>
      <c r="H989" s="24"/>
      <c r="I989" s="24"/>
      <c r="J989" s="24">
        <v>45188</v>
      </c>
      <c r="K989" s="24">
        <v>45553</v>
      </c>
      <c r="L989" s="32">
        <v>3</v>
      </c>
      <c r="M989" s="8" t="s">
        <v>3674</v>
      </c>
      <c r="N989" s="8"/>
      <c r="O989" s="19" t="s">
        <v>3675</v>
      </c>
      <c r="P989" s="8" t="s">
        <v>3676</v>
      </c>
      <c r="Q989" s="8" t="s">
        <v>5084</v>
      </c>
      <c r="R989" s="8" t="s">
        <v>3677</v>
      </c>
      <c r="S989" s="8" t="s">
        <v>571</v>
      </c>
      <c r="T989" s="29">
        <v>361012</v>
      </c>
      <c r="U989" s="8" t="s">
        <v>144</v>
      </c>
      <c r="V989" s="8" t="s">
        <v>23</v>
      </c>
      <c r="W989" s="193">
        <v>5</v>
      </c>
      <c r="X989" s="8">
        <v>4</v>
      </c>
      <c r="Y989" s="8">
        <v>0</v>
      </c>
      <c r="Z989" s="8">
        <v>1</v>
      </c>
      <c r="AA989" s="193" t="s">
        <v>4137</v>
      </c>
      <c r="AB989" s="222"/>
    </row>
    <row r="990" spans="1:28" s="229" customFormat="1" ht="15" customHeight="1">
      <c r="A990" s="16">
        <v>989</v>
      </c>
      <c r="B990" s="14" t="s">
        <v>3678</v>
      </c>
      <c r="C990" s="14" t="str">
        <f>_xlfn.CONCAT(B990&amp;" "&amp;W990&amp;X990&amp;Y990&amp;Z990)</f>
        <v>L.G. Balakrishnan &amp; Bros Ltd (Candid Micron Measurements Pvt Ltd) 2020</v>
      </c>
      <c r="D990" s="16">
        <v>1072</v>
      </c>
      <c r="E990" s="9" t="s">
        <v>90</v>
      </c>
      <c r="F990" s="9"/>
      <c r="G990" s="24">
        <v>45198</v>
      </c>
      <c r="H990" s="24"/>
      <c r="I990" s="24"/>
      <c r="J990" s="24">
        <v>45198</v>
      </c>
      <c r="K990" s="24">
        <v>45563</v>
      </c>
      <c r="L990" s="32">
        <v>3</v>
      </c>
      <c r="M990" s="8"/>
      <c r="N990" s="8"/>
      <c r="O990" s="19"/>
      <c r="P990" s="8" t="s">
        <v>3679</v>
      </c>
      <c r="Q990" s="8" t="s">
        <v>5085</v>
      </c>
      <c r="R990" s="8" t="s">
        <v>3680</v>
      </c>
      <c r="S990" s="8" t="s">
        <v>3681</v>
      </c>
      <c r="T990" s="29">
        <v>441108</v>
      </c>
      <c r="U990" s="8" t="s">
        <v>172</v>
      </c>
      <c r="V990" s="8" t="s">
        <v>23</v>
      </c>
      <c r="W990" s="193">
        <v>2</v>
      </c>
      <c r="X990" s="8">
        <v>0</v>
      </c>
      <c r="Y990" s="8">
        <v>2</v>
      </c>
      <c r="Z990" s="8">
        <v>0</v>
      </c>
      <c r="AA990" s="193" t="s">
        <v>4118</v>
      </c>
      <c r="AB990" s="222"/>
    </row>
    <row r="991" spans="1:28" s="229" customFormat="1" ht="15" customHeight="1">
      <c r="A991" s="16">
        <v>990</v>
      </c>
      <c r="B991" s="14" t="s">
        <v>1829</v>
      </c>
      <c r="C991" s="14" t="str">
        <f>_xlfn.CONCAT(B991&amp;" "&amp;W991&amp;X991&amp;Y991&amp;Z991)</f>
        <v>Multilink 8033</v>
      </c>
      <c r="D991" s="16">
        <v>1066</v>
      </c>
      <c r="E991" s="9" t="s">
        <v>42</v>
      </c>
      <c r="F991" s="9"/>
      <c r="G991" s="24">
        <v>45209</v>
      </c>
      <c r="H991" s="24"/>
      <c r="I991" s="24"/>
      <c r="J991" s="24">
        <v>45209</v>
      </c>
      <c r="K991" s="24">
        <v>45574</v>
      </c>
      <c r="L991" s="32">
        <v>3</v>
      </c>
      <c r="M991" s="8" t="s">
        <v>3682</v>
      </c>
      <c r="N991" s="8"/>
      <c r="O991" s="19">
        <v>9742016152</v>
      </c>
      <c r="P991" s="8"/>
      <c r="Q991" s="8" t="s">
        <v>5086</v>
      </c>
      <c r="R991" s="8"/>
      <c r="S991" s="8" t="s">
        <v>275</v>
      </c>
      <c r="T991" s="29">
        <v>570016</v>
      </c>
      <c r="U991" s="8" t="s">
        <v>22</v>
      </c>
      <c r="V991" s="8" t="s">
        <v>23</v>
      </c>
      <c r="W991" s="193">
        <v>8</v>
      </c>
      <c r="X991" s="8">
        <v>0</v>
      </c>
      <c r="Y991" s="8">
        <v>3</v>
      </c>
      <c r="Z991" s="8">
        <v>3</v>
      </c>
      <c r="AA991" s="193" t="s">
        <v>4118</v>
      </c>
      <c r="AB991" s="222"/>
    </row>
    <row r="992" spans="1:28" s="229" customFormat="1" ht="15" customHeight="1">
      <c r="A992" s="16">
        <v>991</v>
      </c>
      <c r="B992" s="14" t="s">
        <v>3683</v>
      </c>
      <c r="C992" s="14" t="str">
        <f>_xlfn.CONCAT(B992&amp;" "&amp;W992&amp;X992&amp;Y992&amp;Z992)</f>
        <v>KGT Auto Plast 4031</v>
      </c>
      <c r="D992" s="16">
        <v>1102</v>
      </c>
      <c r="E992" s="9" t="s">
        <v>2082</v>
      </c>
      <c r="F992" s="9"/>
      <c r="G992" s="24">
        <v>45224</v>
      </c>
      <c r="H992" s="24"/>
      <c r="I992" s="24"/>
      <c r="J992" s="24">
        <v>45224</v>
      </c>
      <c r="K992" s="24">
        <v>45574</v>
      </c>
      <c r="L992" s="32">
        <v>3</v>
      </c>
      <c r="M992" s="8" t="s">
        <v>3684</v>
      </c>
      <c r="N992" s="8" t="s">
        <v>3685</v>
      </c>
      <c r="O992" s="19" t="s">
        <v>3686</v>
      </c>
      <c r="P992" s="8" t="s">
        <v>3687</v>
      </c>
      <c r="Q992" s="8" t="s">
        <v>5087</v>
      </c>
      <c r="R992" s="8"/>
      <c r="S992" s="8" t="s">
        <v>37</v>
      </c>
      <c r="T992" s="29">
        <v>600124</v>
      </c>
      <c r="U992" s="8" t="s">
        <v>38</v>
      </c>
      <c r="V992" s="8" t="s">
        <v>23</v>
      </c>
      <c r="W992" s="193">
        <v>4</v>
      </c>
      <c r="X992" s="8">
        <v>0</v>
      </c>
      <c r="Y992" s="8">
        <v>3</v>
      </c>
      <c r="Z992" s="8">
        <v>1</v>
      </c>
      <c r="AA992" s="193" t="s">
        <v>4148</v>
      </c>
      <c r="AB992" s="222"/>
    </row>
    <row r="993" spans="1:28" s="229" customFormat="1" ht="15" customHeight="1">
      <c r="A993" s="16">
        <v>992</v>
      </c>
      <c r="B993" s="14" t="s">
        <v>3688</v>
      </c>
      <c r="C993" s="14" t="str">
        <f>_xlfn.CONCAT(B993&amp;" "&amp;W993&amp;X993&amp;Y993&amp;Z993)</f>
        <v>Takcim Technology 4111</v>
      </c>
      <c r="D993" s="16">
        <v>1101</v>
      </c>
      <c r="E993" s="9" t="s">
        <v>2082</v>
      </c>
      <c r="F993" s="9"/>
      <c r="G993" s="24">
        <v>45225</v>
      </c>
      <c r="H993" s="24"/>
      <c r="I993" s="24"/>
      <c r="J993" s="24">
        <v>45225</v>
      </c>
      <c r="K993" s="24">
        <v>45590</v>
      </c>
      <c r="L993" s="32">
        <v>3</v>
      </c>
      <c r="M993" s="8" t="s">
        <v>3689</v>
      </c>
      <c r="N993" s="8" t="s">
        <v>28</v>
      </c>
      <c r="O993" s="19">
        <v>9789515593</v>
      </c>
      <c r="P993" s="8" t="s">
        <v>3690</v>
      </c>
      <c r="Q993" s="8" t="s">
        <v>5088</v>
      </c>
      <c r="R993" s="8"/>
      <c r="S993" s="8" t="s">
        <v>101</v>
      </c>
      <c r="T993" s="29">
        <v>641103</v>
      </c>
      <c r="U993" s="8" t="s">
        <v>38</v>
      </c>
      <c r="V993" s="8" t="s">
        <v>23</v>
      </c>
      <c r="W993" s="193">
        <v>4</v>
      </c>
      <c r="X993" s="8">
        <v>1</v>
      </c>
      <c r="Y993" s="8">
        <v>1</v>
      </c>
      <c r="Z993" s="8">
        <v>1</v>
      </c>
      <c r="AA993" s="193" t="s">
        <v>4148</v>
      </c>
      <c r="AB993" s="222"/>
    </row>
    <row r="994" spans="1:28" ht="15" customHeight="1">
      <c r="A994" s="16">
        <v>993</v>
      </c>
      <c r="B994" s="13" t="s">
        <v>1917</v>
      </c>
      <c r="C994" s="14" t="str">
        <f>_xlfn.CONCAT(B994&amp;" "&amp;W994&amp;X994&amp;Y994&amp;Z994)</f>
        <v>JJG Machining Pvt Ltd 8012</v>
      </c>
      <c r="D994" s="236">
        <v>1075</v>
      </c>
      <c r="E994" s="13" t="s">
        <v>42</v>
      </c>
      <c r="F994" s="13"/>
      <c r="G994" s="28">
        <v>45232</v>
      </c>
      <c r="H994" s="28"/>
      <c r="I994" s="28"/>
      <c r="J994" s="26">
        <v>45232</v>
      </c>
      <c r="K994" s="26">
        <v>45962</v>
      </c>
      <c r="L994" s="32">
        <v>3</v>
      </c>
      <c r="M994" s="13" t="s">
        <v>3525</v>
      </c>
      <c r="N994" s="13"/>
      <c r="O994" s="19">
        <v>9686450969</v>
      </c>
      <c r="P994" s="2" t="s">
        <v>2209</v>
      </c>
      <c r="Q994" s="2" t="s">
        <v>5026</v>
      </c>
      <c r="R994" s="2"/>
      <c r="S994" s="2" t="s">
        <v>21</v>
      </c>
      <c r="T994" s="2">
        <v>560105</v>
      </c>
      <c r="U994" s="2" t="s">
        <v>22</v>
      </c>
      <c r="V994" s="2" t="s">
        <v>23</v>
      </c>
      <c r="W994" s="193">
        <v>8</v>
      </c>
      <c r="X994" s="2">
        <v>0</v>
      </c>
      <c r="Y994" s="2">
        <v>1</v>
      </c>
      <c r="Z994" s="2">
        <v>2</v>
      </c>
      <c r="AA994" s="193" t="s">
        <v>4118</v>
      </c>
      <c r="AB994" s="2"/>
    </row>
    <row r="995" spans="1:28" ht="15" customHeight="1">
      <c r="A995" s="16">
        <v>994</v>
      </c>
      <c r="B995" s="13" t="s">
        <v>3691</v>
      </c>
      <c r="C995" s="14" t="str">
        <f>_xlfn.CONCAT(B995&amp;" "&amp;W995&amp;X995&amp;Y995&amp;Z995)</f>
        <v>Press Metal Industries 2301</v>
      </c>
      <c r="D995" s="17">
        <v>1043</v>
      </c>
      <c r="E995" s="13" t="s">
        <v>3581</v>
      </c>
      <c r="F995" s="13"/>
      <c r="G995" s="28">
        <v>45240</v>
      </c>
      <c r="H995" s="28"/>
      <c r="I995" s="28"/>
      <c r="J995" s="26">
        <v>45240</v>
      </c>
      <c r="K995" s="26">
        <v>45605</v>
      </c>
      <c r="L995" s="32">
        <v>3</v>
      </c>
      <c r="M995" s="13" t="s">
        <v>3692</v>
      </c>
      <c r="N995" s="13" t="s">
        <v>1161</v>
      </c>
      <c r="O995" s="19">
        <v>9552571583</v>
      </c>
      <c r="P995" s="2" t="s">
        <v>3693</v>
      </c>
      <c r="Q995" s="2" t="s">
        <v>5089</v>
      </c>
      <c r="R995" s="2" t="s">
        <v>1143</v>
      </c>
      <c r="S995" s="2" t="s">
        <v>321</v>
      </c>
      <c r="T995" s="2">
        <v>422007</v>
      </c>
      <c r="U995" s="2" t="s">
        <v>172</v>
      </c>
      <c r="V995" s="2" t="s">
        <v>23</v>
      </c>
      <c r="W995" s="193">
        <v>2</v>
      </c>
      <c r="X995" s="2">
        <v>3</v>
      </c>
      <c r="Y995" s="2">
        <v>0</v>
      </c>
      <c r="Z995" s="2">
        <v>1</v>
      </c>
      <c r="AA995" s="193" t="s">
        <v>5215</v>
      </c>
      <c r="AB995" s="2"/>
    </row>
    <row r="996" spans="1:28" ht="15" customHeight="1">
      <c r="A996" s="16">
        <v>995</v>
      </c>
      <c r="B996" s="13" t="s">
        <v>3694</v>
      </c>
      <c r="C996" s="14" t="str">
        <f>_xlfn.CONCAT(B996&amp;" "&amp;W996&amp;X996&amp;Y996&amp;Z996)</f>
        <v>Siemens Ltd 2021</v>
      </c>
      <c r="D996" s="17">
        <v>1069</v>
      </c>
      <c r="E996" s="13" t="s">
        <v>42</v>
      </c>
      <c r="F996" s="13"/>
      <c r="G996" s="28">
        <v>45244</v>
      </c>
      <c r="H996" s="28"/>
      <c r="I996" s="28"/>
      <c r="J996" s="28">
        <v>45244</v>
      </c>
      <c r="K996" s="26">
        <v>45609</v>
      </c>
      <c r="L996" s="32">
        <v>3</v>
      </c>
      <c r="M996" s="13" t="s">
        <v>3695</v>
      </c>
      <c r="N996" s="13" t="s">
        <v>3696</v>
      </c>
      <c r="O996" s="19">
        <v>9403843498</v>
      </c>
      <c r="P996" s="2" t="s">
        <v>3697</v>
      </c>
      <c r="Q996" s="2" t="s">
        <v>5090</v>
      </c>
      <c r="R996" s="2" t="s">
        <v>908</v>
      </c>
      <c r="S996" s="2" t="s">
        <v>171</v>
      </c>
      <c r="T996" s="2">
        <v>411041</v>
      </c>
      <c r="U996" s="2" t="s">
        <v>172</v>
      </c>
      <c r="V996" s="2" t="s">
        <v>23</v>
      </c>
      <c r="W996" s="193">
        <v>2</v>
      </c>
      <c r="X996" s="2">
        <v>0</v>
      </c>
      <c r="Y996" s="2">
        <v>2</v>
      </c>
      <c r="Z996" s="2">
        <v>1</v>
      </c>
      <c r="AA996" s="193" t="s">
        <v>4118</v>
      </c>
      <c r="AB996" s="2"/>
    </row>
    <row r="997" spans="1:28" ht="15" customHeight="1">
      <c r="A997" s="16">
        <v>996</v>
      </c>
      <c r="B997" s="13" t="s">
        <v>3694</v>
      </c>
      <c r="C997" s="14" t="str">
        <f>_xlfn.CONCAT(B997&amp;" "&amp;W997&amp;X997&amp;Y997&amp;Z997)</f>
        <v>Siemens Ltd 2021</v>
      </c>
      <c r="D997" s="17">
        <v>1074</v>
      </c>
      <c r="E997" s="13" t="s">
        <v>42</v>
      </c>
      <c r="F997" s="13"/>
      <c r="G997" s="28">
        <v>45244</v>
      </c>
      <c r="H997" s="28"/>
      <c r="I997" s="28"/>
      <c r="J997" s="28">
        <v>45244</v>
      </c>
      <c r="K997" s="26">
        <v>45609</v>
      </c>
      <c r="L997" s="32">
        <v>3</v>
      </c>
      <c r="M997" s="13" t="s">
        <v>3695</v>
      </c>
      <c r="N997" s="13" t="s">
        <v>3696</v>
      </c>
      <c r="O997" s="19">
        <v>9403843498</v>
      </c>
      <c r="P997" s="2" t="s">
        <v>3697</v>
      </c>
      <c r="Q997" s="2" t="s">
        <v>5090</v>
      </c>
      <c r="R997" s="2" t="s">
        <v>908</v>
      </c>
      <c r="S997" s="2" t="s">
        <v>171</v>
      </c>
      <c r="T997" s="2">
        <v>411041</v>
      </c>
      <c r="U997" s="2" t="s">
        <v>172</v>
      </c>
      <c r="V997" s="2" t="s">
        <v>23</v>
      </c>
      <c r="W997" s="193">
        <v>2</v>
      </c>
      <c r="X997" s="2">
        <v>0</v>
      </c>
      <c r="Y997" s="2">
        <v>2</v>
      </c>
      <c r="Z997" s="2">
        <v>1</v>
      </c>
      <c r="AA997" s="193" t="s">
        <v>4118</v>
      </c>
      <c r="AB997" s="2"/>
    </row>
    <row r="998" spans="1:28" ht="15" customHeight="1">
      <c r="A998" s="16">
        <v>997</v>
      </c>
      <c r="B998" s="13" t="s">
        <v>2456</v>
      </c>
      <c r="C998" s="14" t="str">
        <f>_xlfn.CONCAT(B998&amp;" "&amp;W998&amp;X998&amp;Y998&amp;Z998)</f>
        <v>Maini Precision Products Ltd. 8051</v>
      </c>
      <c r="D998" s="17">
        <v>1103</v>
      </c>
      <c r="E998" s="13" t="s">
        <v>2082</v>
      </c>
      <c r="F998" s="13"/>
      <c r="G998" s="28">
        <v>45250</v>
      </c>
      <c r="H998" s="28"/>
      <c r="I998" s="28"/>
      <c r="J998" s="28">
        <v>45250</v>
      </c>
      <c r="K998" s="26">
        <v>45615</v>
      </c>
      <c r="L998" s="32">
        <v>3</v>
      </c>
      <c r="M998" s="13" t="s">
        <v>3698</v>
      </c>
      <c r="N998" s="13" t="s">
        <v>3699</v>
      </c>
      <c r="O998" s="19">
        <v>9663315054</v>
      </c>
      <c r="P998" s="2" t="s">
        <v>1512</v>
      </c>
      <c r="Q998" s="2" t="s">
        <v>5091</v>
      </c>
      <c r="R998" s="2"/>
      <c r="S998" s="2" t="s">
        <v>21</v>
      </c>
      <c r="T998" s="2">
        <v>560058</v>
      </c>
      <c r="U998" s="2" t="s">
        <v>22</v>
      </c>
      <c r="V998" s="2" t="s">
        <v>23</v>
      </c>
      <c r="W998" s="193">
        <v>8</v>
      </c>
      <c r="X998" s="2">
        <v>0</v>
      </c>
      <c r="Y998" s="2">
        <v>5</v>
      </c>
      <c r="Z998" s="2">
        <v>1</v>
      </c>
      <c r="AA998" s="193" t="s">
        <v>4118</v>
      </c>
      <c r="AB998" s="2"/>
    </row>
    <row r="999" spans="1:28" ht="15" customHeight="1">
      <c r="A999" s="16">
        <v>998</v>
      </c>
      <c r="B999" s="13" t="s">
        <v>2632</v>
      </c>
      <c r="C999" s="14" t="str">
        <f>_xlfn.CONCAT(B999&amp;" "&amp;W999&amp;X999&amp;Y999&amp;Z999)</f>
        <v>Bhavani Industries 8011</v>
      </c>
      <c r="D999" s="17">
        <v>1076</v>
      </c>
      <c r="E999" s="13" t="s">
        <v>42</v>
      </c>
      <c r="F999" s="13"/>
      <c r="G999" s="28">
        <v>45254</v>
      </c>
      <c r="H999" s="28"/>
      <c r="I999" s="28"/>
      <c r="J999" s="26">
        <v>45254</v>
      </c>
      <c r="K999" s="26">
        <v>45619</v>
      </c>
      <c r="L999" s="32">
        <v>3</v>
      </c>
      <c r="M999" s="13" t="s">
        <v>3700</v>
      </c>
      <c r="N999" s="13" t="s">
        <v>3701</v>
      </c>
      <c r="O999" s="19">
        <v>9840624198</v>
      </c>
      <c r="P999" s="2" t="s">
        <v>3702</v>
      </c>
      <c r="Q999" s="2" t="s">
        <v>5092</v>
      </c>
      <c r="R999" s="2"/>
      <c r="S999" s="2" t="s">
        <v>21</v>
      </c>
      <c r="T999" s="2">
        <v>560100</v>
      </c>
      <c r="U999" s="2" t="s">
        <v>22</v>
      </c>
      <c r="V999" s="2" t="s">
        <v>23</v>
      </c>
      <c r="W999" s="193">
        <v>8</v>
      </c>
      <c r="X999" s="2">
        <v>0</v>
      </c>
      <c r="Y999" s="2">
        <v>1</v>
      </c>
      <c r="Z999" s="2">
        <v>1</v>
      </c>
      <c r="AA999" s="193" t="s">
        <v>4118</v>
      </c>
      <c r="AB999" s="2"/>
    </row>
    <row r="1000" spans="1:28" ht="15" customHeight="1">
      <c r="A1000" s="16">
        <v>999</v>
      </c>
      <c r="B1000" s="13" t="s">
        <v>3703</v>
      </c>
      <c r="C1000" s="14" t="str">
        <f>_xlfn.CONCAT(B1000&amp;" "&amp;W1000&amp;X1000&amp;Y1000&amp;Z1000)</f>
        <v>Formar CV Brakes India Pvt Ltd 1132</v>
      </c>
      <c r="D1000" s="17">
        <v>1104</v>
      </c>
      <c r="E1000" s="13" t="s">
        <v>3581</v>
      </c>
      <c r="F1000" s="13"/>
      <c r="G1000" s="28">
        <v>45255</v>
      </c>
      <c r="H1000" s="28"/>
      <c r="I1000" s="28"/>
      <c r="J1000" s="26">
        <v>45255</v>
      </c>
      <c r="K1000" s="26">
        <v>45620</v>
      </c>
      <c r="L1000" s="32">
        <v>3</v>
      </c>
      <c r="M1000" s="13" t="s">
        <v>3704</v>
      </c>
      <c r="N1000" s="13"/>
      <c r="O1000" s="19">
        <v>7011395339</v>
      </c>
      <c r="P1000" s="2"/>
      <c r="Q1000" s="2" t="s">
        <v>5093</v>
      </c>
      <c r="R1000" s="2"/>
      <c r="S1000" s="2" t="s">
        <v>1103</v>
      </c>
      <c r="T1000" s="2">
        <v>131001</v>
      </c>
      <c r="U1000" s="2" t="s">
        <v>429</v>
      </c>
      <c r="V1000" s="2" t="s">
        <v>23</v>
      </c>
      <c r="W1000" s="193">
        <v>1</v>
      </c>
      <c r="X1000" s="2">
        <v>1</v>
      </c>
      <c r="Y1000" s="2">
        <v>3</v>
      </c>
      <c r="Z1000" s="2">
        <v>2</v>
      </c>
      <c r="AA1000" s="193" t="s">
        <v>4118</v>
      </c>
      <c r="AB1000" s="2"/>
    </row>
    <row r="1001" spans="1:28" ht="15" customHeight="1">
      <c r="A1001" s="16">
        <v>1000</v>
      </c>
      <c r="B1001" s="13" t="s">
        <v>3705</v>
      </c>
      <c r="C1001" s="14" t="str">
        <f>_xlfn.CONCAT(B1001&amp;" "&amp;W1001&amp;X1001&amp;Y1001&amp;Z1001)</f>
        <v>Fiducia Autotech Industries 1114</v>
      </c>
      <c r="D1001" s="17">
        <v>1078</v>
      </c>
      <c r="E1001" s="13" t="s">
        <v>42</v>
      </c>
      <c r="F1001" s="13"/>
      <c r="G1001" s="28">
        <v>45261</v>
      </c>
      <c r="H1001" s="28"/>
      <c r="I1001" s="28"/>
      <c r="J1001" s="26">
        <v>45261</v>
      </c>
      <c r="K1001" s="26">
        <v>45626</v>
      </c>
      <c r="L1001" s="32">
        <v>3</v>
      </c>
      <c r="M1001" s="13" t="s">
        <v>3706</v>
      </c>
      <c r="N1001" s="13" t="s">
        <v>28</v>
      </c>
      <c r="O1001" s="19">
        <v>7678655481</v>
      </c>
      <c r="P1001" s="2" t="s">
        <v>3707</v>
      </c>
      <c r="Q1001" s="2" t="s">
        <v>5094</v>
      </c>
      <c r="R1001" s="2"/>
      <c r="S1001" s="2" t="s">
        <v>2319</v>
      </c>
      <c r="T1001" s="2">
        <v>301017</v>
      </c>
      <c r="U1001" s="2" t="s">
        <v>74</v>
      </c>
      <c r="V1001" s="2" t="s">
        <v>23</v>
      </c>
      <c r="W1001" s="193">
        <v>1</v>
      </c>
      <c r="X1001" s="2">
        <v>1</v>
      </c>
      <c r="Y1001" s="2">
        <v>1</v>
      </c>
      <c r="Z1001" s="2">
        <v>4</v>
      </c>
      <c r="AA1001" s="193" t="s">
        <v>4118</v>
      </c>
      <c r="AB1001" s="2"/>
    </row>
    <row r="1002" spans="1:28" ht="15" customHeight="1">
      <c r="A1002" s="16">
        <v>1001</v>
      </c>
      <c r="B1002" s="13" t="s">
        <v>3708</v>
      </c>
      <c r="C1002" s="14" t="str">
        <f>_xlfn.CONCAT(B1002&amp;" "&amp;W1002&amp;X1002&amp;Y1002&amp;Z1002)</f>
        <v>Niva Implement LLP 2111</v>
      </c>
      <c r="D1002" s="17">
        <v>1086</v>
      </c>
      <c r="E1002" s="13" t="s">
        <v>90</v>
      </c>
      <c r="F1002" s="13"/>
      <c r="G1002" s="28">
        <v>45269</v>
      </c>
      <c r="H1002" s="28"/>
      <c r="I1002" s="28"/>
      <c r="J1002" s="26">
        <v>45969</v>
      </c>
      <c r="K1002" s="26">
        <v>46333</v>
      </c>
      <c r="L1002" s="32">
        <v>3</v>
      </c>
      <c r="M1002" s="13" t="s">
        <v>3709</v>
      </c>
      <c r="N1002" s="13" t="s">
        <v>3710</v>
      </c>
      <c r="O1002" s="19">
        <v>7861898657</v>
      </c>
      <c r="P1002" s="2" t="s">
        <v>3711</v>
      </c>
      <c r="Q1002" s="2" t="s">
        <v>5095</v>
      </c>
      <c r="R1002" s="2" t="s">
        <v>3712</v>
      </c>
      <c r="S1002" s="2" t="s">
        <v>2931</v>
      </c>
      <c r="T1002" s="2">
        <v>396193</v>
      </c>
      <c r="U1002" s="2" t="s">
        <v>144</v>
      </c>
      <c r="V1002" s="2" t="s">
        <v>23</v>
      </c>
      <c r="W1002" s="193">
        <v>2</v>
      </c>
      <c r="X1002" s="2">
        <v>1</v>
      </c>
      <c r="Y1002" s="2">
        <v>1</v>
      </c>
      <c r="Z1002" s="2">
        <v>1</v>
      </c>
      <c r="AA1002" s="193" t="s">
        <v>4118</v>
      </c>
      <c r="AB1002" s="2"/>
    </row>
    <row r="1003" spans="1:28" ht="15" customHeight="1">
      <c r="A1003" s="16">
        <v>1002</v>
      </c>
      <c r="B1003" s="13" t="s">
        <v>3713</v>
      </c>
      <c r="C1003" s="14" t="str">
        <f>_xlfn.CONCAT(B1003&amp;" "&amp;W1003&amp;X1003&amp;Y1003&amp;Z1003)</f>
        <v>Pricol Precision Products Pvt Ltd (Sundaram Auto Components Ltd) 1114</v>
      </c>
      <c r="D1003" s="17">
        <v>1079</v>
      </c>
      <c r="E1003" s="13" t="s">
        <v>42</v>
      </c>
      <c r="F1003" s="13"/>
      <c r="G1003" s="28">
        <v>45282</v>
      </c>
      <c r="H1003" s="28"/>
      <c r="I1003" s="28"/>
      <c r="J1003" s="26">
        <v>45282</v>
      </c>
      <c r="K1003" s="26">
        <v>45647</v>
      </c>
      <c r="L1003" s="32">
        <v>3</v>
      </c>
      <c r="M1003" s="13" t="s">
        <v>3714</v>
      </c>
      <c r="N1003" s="13" t="s">
        <v>3715</v>
      </c>
      <c r="O1003" s="19">
        <v>9816616674</v>
      </c>
      <c r="P1003" s="2" t="s">
        <v>1812</v>
      </c>
      <c r="Q1003" s="2" t="s">
        <v>5096</v>
      </c>
      <c r="R1003" s="2" t="s">
        <v>3477</v>
      </c>
      <c r="S1003" s="2" t="s">
        <v>2319</v>
      </c>
      <c r="T1003" s="2">
        <v>301019</v>
      </c>
      <c r="U1003" s="2" t="s">
        <v>74</v>
      </c>
      <c r="V1003" s="2" t="s">
        <v>23</v>
      </c>
      <c r="W1003" s="193">
        <v>1</v>
      </c>
      <c r="X1003" s="2">
        <v>1</v>
      </c>
      <c r="Y1003" s="2">
        <v>1</v>
      </c>
      <c r="Z1003" s="2">
        <v>4</v>
      </c>
      <c r="AA1003" s="193" t="s">
        <v>4118</v>
      </c>
      <c r="AB1003" s="2"/>
    </row>
    <row r="1004" spans="1:28" ht="15" customHeight="1">
      <c r="A1004" s="16">
        <v>1003</v>
      </c>
      <c r="B1004" s="13" t="s">
        <v>3716</v>
      </c>
      <c r="C1004" s="14" t="str">
        <f>_xlfn.CONCAT(B1004&amp;" "&amp;W1004&amp;X1004&amp;Y1004&amp;Z1004)</f>
        <v>S V M Engg and Tools 4131</v>
      </c>
      <c r="D1004" s="17">
        <v>1085</v>
      </c>
      <c r="E1004" s="13" t="s">
        <v>42</v>
      </c>
      <c r="F1004" s="13"/>
      <c r="G1004" s="28">
        <v>45285</v>
      </c>
      <c r="H1004" s="28"/>
      <c r="I1004" s="28"/>
      <c r="J1004" s="26">
        <v>45285</v>
      </c>
      <c r="K1004" s="26">
        <v>45650</v>
      </c>
      <c r="L1004" s="32">
        <v>3</v>
      </c>
      <c r="M1004" s="13" t="s">
        <v>3717</v>
      </c>
      <c r="N1004" s="13"/>
      <c r="O1004" s="19">
        <v>9677378142</v>
      </c>
      <c r="P1004" s="2" t="s">
        <v>3718</v>
      </c>
      <c r="Q1004" s="2" t="s">
        <v>5097</v>
      </c>
      <c r="R1004" s="2"/>
      <c r="S1004" s="2" t="s">
        <v>101</v>
      </c>
      <c r="T1004" s="2">
        <v>641021</v>
      </c>
      <c r="U1004" s="2" t="s">
        <v>38</v>
      </c>
      <c r="V1004" s="2" t="s">
        <v>23</v>
      </c>
      <c r="W1004" s="193">
        <v>4</v>
      </c>
      <c r="X1004" s="2">
        <v>1</v>
      </c>
      <c r="Y1004" s="2">
        <v>3</v>
      </c>
      <c r="Z1004" s="2">
        <v>1</v>
      </c>
      <c r="AA1004" s="193" t="s">
        <v>4148</v>
      </c>
      <c r="AB1004" s="2"/>
    </row>
    <row r="1005" spans="1:28" ht="15" customHeight="1">
      <c r="A1005" s="16">
        <v>1004</v>
      </c>
      <c r="B1005" s="13" t="s">
        <v>3719</v>
      </c>
      <c r="C1005" s="14" t="str">
        <f>_xlfn.CONCAT(B1005&amp;" "&amp;W1005&amp;X1005&amp;Y1005&amp;Z1005)</f>
        <v>CRK CNC Industries 8051</v>
      </c>
      <c r="D1005" s="17">
        <v>1080</v>
      </c>
      <c r="E1005" s="13" t="s">
        <v>3720</v>
      </c>
      <c r="F1005" s="13"/>
      <c r="G1005" s="28">
        <v>45285</v>
      </c>
      <c r="H1005" s="28"/>
      <c r="I1005" s="28"/>
      <c r="J1005" s="26">
        <v>45285</v>
      </c>
      <c r="K1005" s="26">
        <v>45650</v>
      </c>
      <c r="L1005" s="32">
        <v>3</v>
      </c>
      <c r="M1005" s="13" t="s">
        <v>3721</v>
      </c>
      <c r="N1005" s="13" t="s">
        <v>3361</v>
      </c>
      <c r="O1005" s="19">
        <v>9164041776</v>
      </c>
      <c r="P1005" s="2" t="s">
        <v>3722</v>
      </c>
      <c r="Q1005" s="2" t="s">
        <v>5098</v>
      </c>
      <c r="R1005" s="2" t="s">
        <v>2946</v>
      </c>
      <c r="S1005" s="2" t="s">
        <v>21</v>
      </c>
      <c r="T1005" s="2">
        <v>560058</v>
      </c>
      <c r="U1005" s="2" t="s">
        <v>22</v>
      </c>
      <c r="V1005" s="2" t="s">
        <v>23</v>
      </c>
      <c r="W1005" s="193">
        <v>8</v>
      </c>
      <c r="X1005" s="2">
        <v>0</v>
      </c>
      <c r="Y1005" s="2">
        <v>5</v>
      </c>
      <c r="Z1005" s="2">
        <v>1</v>
      </c>
      <c r="AA1005" s="193" t="s">
        <v>4118</v>
      </c>
      <c r="AB1005" s="2"/>
    </row>
    <row r="1006" spans="1:28" ht="15" customHeight="1">
      <c r="A1006" s="16">
        <v>1005</v>
      </c>
      <c r="B1006" s="13" t="s">
        <v>2487</v>
      </c>
      <c r="C1006" s="14" t="str">
        <f>_xlfn.CONCAT(B1006&amp;" "&amp;W1006&amp;X1006&amp;Y1006&amp;Z1006)</f>
        <v>Paloma Turning Co. Pvt. Ltd 8013</v>
      </c>
      <c r="D1006" s="17">
        <v>1073</v>
      </c>
      <c r="E1006" s="13" t="s">
        <v>90</v>
      </c>
      <c r="F1006" s="13"/>
      <c r="G1006" s="28">
        <v>45287</v>
      </c>
      <c r="H1006" s="28"/>
      <c r="I1006" s="28"/>
      <c r="J1006" s="26">
        <v>45287</v>
      </c>
      <c r="K1006" s="26">
        <v>45648</v>
      </c>
      <c r="L1006" s="32">
        <v>3</v>
      </c>
      <c r="M1006" s="13" t="s">
        <v>3723</v>
      </c>
      <c r="N1006" s="13" t="s">
        <v>3724</v>
      </c>
      <c r="O1006" s="19">
        <v>9538886130</v>
      </c>
      <c r="P1006" s="2" t="s">
        <v>3725</v>
      </c>
      <c r="Q1006" s="2" t="s">
        <v>5099</v>
      </c>
      <c r="R1006" s="2" t="s">
        <v>2360</v>
      </c>
      <c r="S1006" s="2" t="s">
        <v>21</v>
      </c>
      <c r="T1006" s="2">
        <v>562106</v>
      </c>
      <c r="U1006" s="2" t="s">
        <v>22</v>
      </c>
      <c r="V1006" s="2" t="s">
        <v>23</v>
      </c>
      <c r="W1006" s="193">
        <v>8</v>
      </c>
      <c r="X1006" s="2">
        <v>0</v>
      </c>
      <c r="Y1006" s="2">
        <v>1</v>
      </c>
      <c r="Z1006" s="2">
        <v>3</v>
      </c>
      <c r="AA1006" s="193" t="s">
        <v>4118</v>
      </c>
      <c r="AB1006" s="2"/>
    </row>
    <row r="1007" spans="1:28" ht="15" customHeight="1">
      <c r="A1007" s="16">
        <v>1006</v>
      </c>
      <c r="B1007" s="13" t="s">
        <v>2632</v>
      </c>
      <c r="C1007" s="14" t="str">
        <f>_xlfn.CONCAT(B1007&amp;" "&amp;W1007&amp;X1007&amp;Y1007&amp;Z1007)</f>
        <v>Bhavani Industries 8032</v>
      </c>
      <c r="D1007" s="17">
        <v>1088</v>
      </c>
      <c r="E1007" s="13" t="s">
        <v>42</v>
      </c>
      <c r="F1007" s="13"/>
      <c r="G1007" s="28">
        <v>45294</v>
      </c>
      <c r="H1007" s="28"/>
      <c r="I1007" s="28"/>
      <c r="J1007" s="26">
        <v>45294</v>
      </c>
      <c r="K1007" s="26">
        <v>45659</v>
      </c>
      <c r="L1007" s="32">
        <v>3</v>
      </c>
      <c r="M1007" s="13" t="s">
        <v>3726</v>
      </c>
      <c r="N1007" s="13" t="s">
        <v>3727</v>
      </c>
      <c r="O1007" s="19">
        <v>8861575754</v>
      </c>
      <c r="P1007" s="2" t="s">
        <v>2267</v>
      </c>
      <c r="Q1007" s="2" t="s">
        <v>4784</v>
      </c>
      <c r="R1007" s="2" t="s">
        <v>3728</v>
      </c>
      <c r="S1007" s="2" t="s">
        <v>21</v>
      </c>
      <c r="T1007" s="2">
        <v>562109</v>
      </c>
      <c r="U1007" s="2" t="s">
        <v>22</v>
      </c>
      <c r="V1007" s="2" t="s">
        <v>23</v>
      </c>
      <c r="W1007" s="193">
        <v>8</v>
      </c>
      <c r="X1007" s="2">
        <v>0</v>
      </c>
      <c r="Y1007" s="2">
        <v>3</v>
      </c>
      <c r="Z1007" s="2">
        <v>2</v>
      </c>
      <c r="AA1007" s="193" t="s">
        <v>4118</v>
      </c>
      <c r="AB1007" s="2"/>
    </row>
    <row r="1008" spans="1:28" ht="15" customHeight="1">
      <c r="A1008" s="16">
        <v>1007</v>
      </c>
      <c r="B1008" s="13" t="s">
        <v>3729</v>
      </c>
      <c r="C1008" s="14" t="str">
        <f>_xlfn.CONCAT(B1008&amp;" "&amp;W1008&amp;X1008&amp;Y1008&amp;Z1008)</f>
        <v>Efficient Methods 2301</v>
      </c>
      <c r="D1008" s="17">
        <v>1083</v>
      </c>
      <c r="E1008" s="13" t="s">
        <v>90</v>
      </c>
      <c r="F1008" s="13"/>
      <c r="G1008" s="28">
        <v>45297</v>
      </c>
      <c r="H1008" s="28"/>
      <c r="I1008" s="28"/>
      <c r="J1008" s="28">
        <v>45297</v>
      </c>
      <c r="K1008" s="26">
        <v>45662</v>
      </c>
      <c r="L1008" s="32">
        <v>3</v>
      </c>
      <c r="M1008" s="13" t="s">
        <v>3730</v>
      </c>
      <c r="N1008" s="13" t="s">
        <v>3731</v>
      </c>
      <c r="O1008" s="19">
        <v>9890736076</v>
      </c>
      <c r="P1008" s="2" t="s">
        <v>502</v>
      </c>
      <c r="Q1008" s="2" t="s">
        <v>5100</v>
      </c>
      <c r="R1008" s="2"/>
      <c r="S1008" s="2" t="s">
        <v>321</v>
      </c>
      <c r="T1008" s="2">
        <v>422010</v>
      </c>
      <c r="U1008" s="2" t="s">
        <v>172</v>
      </c>
      <c r="V1008" s="2" t="s">
        <v>23</v>
      </c>
      <c r="W1008" s="193">
        <v>2</v>
      </c>
      <c r="X1008" s="2">
        <v>3</v>
      </c>
      <c r="Y1008" s="2">
        <v>0</v>
      </c>
      <c r="Z1008" s="2">
        <v>1</v>
      </c>
      <c r="AA1008" s="193" t="s">
        <v>5221</v>
      </c>
      <c r="AB1008" s="2"/>
    </row>
    <row r="1009" spans="1:28" ht="15" customHeight="1">
      <c r="A1009" s="16">
        <v>1008</v>
      </c>
      <c r="B1009" s="13" t="s">
        <v>3732</v>
      </c>
      <c r="C1009" s="14" t="str">
        <f>_xlfn.CONCAT(B1009&amp;" "&amp;W1009&amp;X1009&amp;Y1009&amp;Z1009)</f>
        <v>International Aerospace Manufacturing Pvt Ltd 8013</v>
      </c>
      <c r="D1009" s="17">
        <v>1081</v>
      </c>
      <c r="E1009" s="13" t="s">
        <v>90</v>
      </c>
      <c r="F1009" s="13"/>
      <c r="G1009" s="28">
        <v>45303</v>
      </c>
      <c r="H1009" s="28"/>
      <c r="I1009" s="28"/>
      <c r="J1009" s="28">
        <v>45303</v>
      </c>
      <c r="K1009" s="26">
        <v>46033</v>
      </c>
      <c r="L1009" s="32">
        <v>3</v>
      </c>
      <c r="M1009" s="13" t="s">
        <v>3733</v>
      </c>
      <c r="N1009" s="13"/>
      <c r="O1009" s="19">
        <v>9786855449</v>
      </c>
      <c r="P1009" s="2" t="s">
        <v>3734</v>
      </c>
      <c r="Q1009" s="2" t="s">
        <v>5101</v>
      </c>
      <c r="R1009" s="2" t="s">
        <v>121</v>
      </c>
      <c r="S1009" s="2" t="s">
        <v>2264</v>
      </c>
      <c r="T1009" s="2">
        <v>635109</v>
      </c>
      <c r="U1009" s="2" t="s">
        <v>38</v>
      </c>
      <c r="V1009" s="2" t="s">
        <v>23</v>
      </c>
      <c r="W1009" s="193">
        <v>8</v>
      </c>
      <c r="X1009" s="2">
        <v>0</v>
      </c>
      <c r="Y1009" s="2">
        <v>1</v>
      </c>
      <c r="Z1009" s="2">
        <v>3</v>
      </c>
      <c r="AA1009" s="193" t="s">
        <v>4118</v>
      </c>
      <c r="AB1009" s="2"/>
    </row>
    <row r="1010" spans="1:28" ht="15" customHeight="1">
      <c r="A1010" s="16">
        <v>1009</v>
      </c>
      <c r="B1010" s="13" t="s">
        <v>3735</v>
      </c>
      <c r="C1010" s="14" t="str">
        <f>_xlfn.CONCAT(B1010&amp;" "&amp;W1010&amp;X1010&amp;Y1010&amp;Z1010)</f>
        <v>Tpac Packaging India Pvt Ltd 2111</v>
      </c>
      <c r="D1010" s="17">
        <v>1109</v>
      </c>
      <c r="E1010" s="13" t="s">
        <v>2082</v>
      </c>
      <c r="F1010" s="13"/>
      <c r="G1010" s="28">
        <v>45315</v>
      </c>
      <c r="H1010" s="28"/>
      <c r="I1010" s="28"/>
      <c r="J1010" s="28">
        <v>45315</v>
      </c>
      <c r="K1010" s="26">
        <v>45680</v>
      </c>
      <c r="L1010" s="32">
        <v>3</v>
      </c>
      <c r="M1010" s="13" t="s">
        <v>3736</v>
      </c>
      <c r="N1010" s="13" t="s">
        <v>3737</v>
      </c>
      <c r="O1010" s="19">
        <v>7359931093</v>
      </c>
      <c r="P1010" s="2"/>
      <c r="Q1010" s="2" t="s">
        <v>5102</v>
      </c>
      <c r="R1010" s="2"/>
      <c r="S1010" s="2" t="s">
        <v>1550</v>
      </c>
      <c r="T1010" s="2">
        <v>396230</v>
      </c>
      <c r="U1010" s="2" t="s">
        <v>2909</v>
      </c>
      <c r="V1010" s="2" t="s">
        <v>23</v>
      </c>
      <c r="W1010" s="193">
        <v>2</v>
      </c>
      <c r="X1010" s="2">
        <v>1</v>
      </c>
      <c r="Y1010" s="2">
        <v>1</v>
      </c>
      <c r="Z1010" s="2">
        <v>1</v>
      </c>
      <c r="AA1010" s="193" t="s">
        <v>4118</v>
      </c>
      <c r="AB1010" s="2"/>
    </row>
    <row r="1011" spans="1:28" ht="15" customHeight="1">
      <c r="A1011" s="16">
        <v>1010</v>
      </c>
      <c r="B1011" s="13" t="s">
        <v>3732</v>
      </c>
      <c r="C1011" s="14" t="str">
        <f>_xlfn.CONCAT(B1011&amp;" "&amp;W1011&amp;X1011&amp;Y1011&amp;Z1011)</f>
        <v>International Aerospace Manufacturing Pvt Ltd 8013</v>
      </c>
      <c r="D1011" s="17">
        <v>1087</v>
      </c>
      <c r="E1011" s="13" t="s">
        <v>90</v>
      </c>
      <c r="F1011" s="13"/>
      <c r="G1011" s="28">
        <v>45316</v>
      </c>
      <c r="H1011" s="28"/>
      <c r="I1011" s="28"/>
      <c r="J1011" s="28">
        <v>45316</v>
      </c>
      <c r="K1011" s="26">
        <v>46046</v>
      </c>
      <c r="L1011" s="32">
        <v>3</v>
      </c>
      <c r="M1011" s="13" t="s">
        <v>3738</v>
      </c>
      <c r="N1011" s="13" t="s">
        <v>3739</v>
      </c>
      <c r="O1011" s="19">
        <v>8762080232</v>
      </c>
      <c r="P1011" s="2" t="s">
        <v>3740</v>
      </c>
      <c r="Q1011" s="2" t="s">
        <v>5103</v>
      </c>
      <c r="R1011" s="2" t="s">
        <v>3741</v>
      </c>
      <c r="S1011" s="2" t="s">
        <v>21</v>
      </c>
      <c r="T1011" s="2">
        <v>560037</v>
      </c>
      <c r="U1011" s="2" t="s">
        <v>22</v>
      </c>
      <c r="V1011" s="2" t="s">
        <v>23</v>
      </c>
      <c r="W1011" s="193">
        <v>8</v>
      </c>
      <c r="X1011" s="2">
        <v>0</v>
      </c>
      <c r="Y1011" s="2">
        <v>1</v>
      </c>
      <c r="Z1011" s="2">
        <v>3</v>
      </c>
      <c r="AA1011" s="193" t="s">
        <v>4118</v>
      </c>
      <c r="AB1011" s="2"/>
    </row>
    <row r="1012" spans="1:28" ht="15" customHeight="1">
      <c r="A1012" s="16">
        <v>1011</v>
      </c>
      <c r="B1012" s="13" t="s">
        <v>2761</v>
      </c>
      <c r="C1012" s="14" t="str">
        <f>_xlfn.CONCAT(B1012&amp;" "&amp;W1012&amp;X1012&amp;Y1012&amp;Z1012)</f>
        <v>Byraveshwara Engg Enterprises 8041</v>
      </c>
      <c r="D1012" s="17">
        <v>1089</v>
      </c>
      <c r="E1012" s="13" t="s">
        <v>42</v>
      </c>
      <c r="F1012" s="13"/>
      <c r="G1012" s="28">
        <v>45316</v>
      </c>
      <c r="H1012" s="28"/>
      <c r="I1012" s="28"/>
      <c r="J1012" s="28">
        <v>45316</v>
      </c>
      <c r="K1012" s="26">
        <v>45681</v>
      </c>
      <c r="L1012" s="32">
        <v>3</v>
      </c>
      <c r="M1012" s="13" t="s">
        <v>3742</v>
      </c>
      <c r="N1012" s="13"/>
      <c r="O1012" s="19">
        <v>9980516031</v>
      </c>
      <c r="P1012" s="2" t="s">
        <v>3743</v>
      </c>
      <c r="Q1012" s="2" t="s">
        <v>5104</v>
      </c>
      <c r="R1012" s="2" t="s">
        <v>3744</v>
      </c>
      <c r="S1012" s="2" t="s">
        <v>21</v>
      </c>
      <c r="T1012" s="2">
        <v>562130</v>
      </c>
      <c r="U1012" s="2" t="s">
        <v>22</v>
      </c>
      <c r="V1012" s="2" t="s">
        <v>23</v>
      </c>
      <c r="W1012" s="193">
        <v>8</v>
      </c>
      <c r="X1012" s="2">
        <v>0</v>
      </c>
      <c r="Y1012" s="2">
        <v>4</v>
      </c>
      <c r="Z1012" s="2">
        <v>1</v>
      </c>
      <c r="AA1012" s="193" t="s">
        <v>4118</v>
      </c>
      <c r="AB1012" s="2"/>
    </row>
    <row r="1013" spans="1:28" ht="15" customHeight="1">
      <c r="A1013" s="16">
        <v>1012</v>
      </c>
      <c r="B1013" s="13" t="s">
        <v>3745</v>
      </c>
      <c r="C1013" s="14" t="str">
        <f>_xlfn.CONCAT(B1013&amp;" "&amp;W1013&amp;X1013&amp;Y1013&amp;Z1013)</f>
        <v>Sintex- BAPL Ltd 4031</v>
      </c>
      <c r="D1013" s="17">
        <v>1110</v>
      </c>
      <c r="E1013" s="13" t="s">
        <v>2082</v>
      </c>
      <c r="F1013" s="13"/>
      <c r="G1013" s="28">
        <v>45317</v>
      </c>
      <c r="H1013" s="28"/>
      <c r="I1013" s="28"/>
      <c r="J1013" s="28">
        <v>45317</v>
      </c>
      <c r="K1013" s="26">
        <v>45682</v>
      </c>
      <c r="L1013" s="32">
        <v>3</v>
      </c>
      <c r="M1013" s="13" t="s">
        <v>3746</v>
      </c>
      <c r="N1013" s="13"/>
      <c r="O1013" s="19">
        <v>7305070244</v>
      </c>
      <c r="P1013" s="2" t="s">
        <v>3747</v>
      </c>
      <c r="Q1013" s="2" t="s">
        <v>5105</v>
      </c>
      <c r="R1013" s="2" t="s">
        <v>2534</v>
      </c>
      <c r="S1013" s="2" t="s">
        <v>2503</v>
      </c>
      <c r="T1013" s="2">
        <v>603204</v>
      </c>
      <c r="U1013" s="2" t="s">
        <v>38</v>
      </c>
      <c r="V1013" s="2" t="s">
        <v>23</v>
      </c>
      <c r="W1013" s="193">
        <v>4</v>
      </c>
      <c r="X1013" s="2">
        <v>0</v>
      </c>
      <c r="Y1013" s="2">
        <v>3</v>
      </c>
      <c r="Z1013" s="2">
        <v>1</v>
      </c>
      <c r="AA1013" s="193" t="s">
        <v>4148</v>
      </c>
      <c r="AB1013" s="2"/>
    </row>
    <row r="1014" spans="1:28" ht="15" customHeight="1">
      <c r="A1014" s="16">
        <v>1013</v>
      </c>
      <c r="B1014" s="13" t="s">
        <v>3748</v>
      </c>
      <c r="C1014" s="14" t="str">
        <f>_xlfn.CONCAT(B1014&amp;" "&amp;W1014&amp;X1014&amp;Y1014&amp;Z1014)</f>
        <v>Sasmos HET Technologies Ltd 8071</v>
      </c>
      <c r="D1014" s="17">
        <v>1090</v>
      </c>
      <c r="E1014" s="13" t="s">
        <v>42</v>
      </c>
      <c r="F1014" s="13"/>
      <c r="G1014" s="28">
        <v>45320</v>
      </c>
      <c r="H1014" s="28"/>
      <c r="I1014" s="28"/>
      <c r="J1014" s="26">
        <v>45682</v>
      </c>
      <c r="K1014" s="26">
        <v>46046</v>
      </c>
      <c r="L1014" s="32">
        <v>3</v>
      </c>
      <c r="M1014" s="13" t="s">
        <v>3749</v>
      </c>
      <c r="N1014" s="13" t="s">
        <v>3750</v>
      </c>
      <c r="O1014" s="19">
        <v>9606930957</v>
      </c>
      <c r="P1014" s="2" t="s">
        <v>2267</v>
      </c>
      <c r="Q1014" s="2" t="s">
        <v>5106</v>
      </c>
      <c r="R1014" s="2" t="s">
        <v>3751</v>
      </c>
      <c r="S1014" s="2" t="s">
        <v>21</v>
      </c>
      <c r="T1014" s="2">
        <v>562110</v>
      </c>
      <c r="U1014" s="2" t="s">
        <v>22</v>
      </c>
      <c r="V1014" s="2" t="s">
        <v>23</v>
      </c>
      <c r="W1014" s="193">
        <v>8</v>
      </c>
      <c r="X1014" s="2">
        <v>0</v>
      </c>
      <c r="Y1014" s="2">
        <v>7</v>
      </c>
      <c r="Z1014" s="2">
        <v>1</v>
      </c>
      <c r="AA1014" s="193" t="s">
        <v>4118</v>
      </c>
      <c r="AB1014" s="2"/>
    </row>
    <row r="1015" spans="1:28" ht="15" customHeight="1">
      <c r="A1015" s="16">
        <v>1014</v>
      </c>
      <c r="B1015" s="13" t="s">
        <v>3647</v>
      </c>
      <c r="C1015" s="14" t="str">
        <f>_xlfn.CONCAT(B1015&amp;" "&amp;W1015&amp;X1015&amp;Y1015&amp;Z1015)</f>
        <v>Unique Measurement Service 2411</v>
      </c>
      <c r="D1015" s="17">
        <v>1112</v>
      </c>
      <c r="E1015" s="13" t="s">
        <v>2082</v>
      </c>
      <c r="F1015" s="13"/>
      <c r="G1015" s="28">
        <v>45331</v>
      </c>
      <c r="H1015" s="28"/>
      <c r="I1015" s="28"/>
      <c r="J1015" s="26">
        <f>G1015</f>
        <v>45331</v>
      </c>
      <c r="K1015" s="26">
        <v>45696</v>
      </c>
      <c r="L1015" s="32">
        <v>3</v>
      </c>
      <c r="M1015" s="13"/>
      <c r="N1015" s="13"/>
      <c r="O1015" s="19"/>
      <c r="P1015" s="2" t="s">
        <v>3752</v>
      </c>
      <c r="Q1015" s="2" t="s">
        <v>5107</v>
      </c>
      <c r="R1015" s="2" t="s">
        <v>3753</v>
      </c>
      <c r="S1015" s="2" t="s">
        <v>215</v>
      </c>
      <c r="T1015" s="2"/>
      <c r="U1015" s="2" t="s">
        <v>172</v>
      </c>
      <c r="V1015" s="2" t="s">
        <v>23</v>
      </c>
      <c r="W1015" s="193">
        <v>2</v>
      </c>
      <c r="X1015" s="2">
        <v>4</v>
      </c>
      <c r="Y1015" s="2">
        <v>1</v>
      </c>
      <c r="Z1015" s="2">
        <v>1</v>
      </c>
      <c r="AA1015" s="193" t="s">
        <v>4150</v>
      </c>
      <c r="AB1015" s="2"/>
    </row>
    <row r="1016" spans="1:28" ht="15" customHeight="1">
      <c r="A1016" s="16">
        <v>1015</v>
      </c>
      <c r="B1016" s="13" t="s">
        <v>3754</v>
      </c>
      <c r="C1016" s="14" t="str">
        <f>_xlfn.CONCAT(B1016&amp;" "&amp;W1016&amp;X1016&amp;Y1016&amp;Z1016)</f>
        <v>Pentagon Assembly Automation Pvt Ltd 2421</v>
      </c>
      <c r="D1016" s="17">
        <v>1113</v>
      </c>
      <c r="E1016" s="13" t="s">
        <v>2082</v>
      </c>
      <c r="F1016" s="13"/>
      <c r="G1016" s="28">
        <v>45338</v>
      </c>
      <c r="H1016" s="28"/>
      <c r="I1016" s="28"/>
      <c r="J1016" s="26">
        <v>45834</v>
      </c>
      <c r="K1016" s="26">
        <v>46198</v>
      </c>
      <c r="L1016" s="32">
        <v>3</v>
      </c>
      <c r="M1016" s="13" t="s">
        <v>3755</v>
      </c>
      <c r="N1016" s="13" t="s">
        <v>3756</v>
      </c>
      <c r="O1016" s="19" t="s">
        <v>3757</v>
      </c>
      <c r="P1016" s="2" t="s">
        <v>3758</v>
      </c>
      <c r="Q1016" s="2" t="s">
        <v>5108</v>
      </c>
      <c r="R1016" s="2"/>
      <c r="S1016" s="2" t="s">
        <v>215</v>
      </c>
      <c r="T1016" s="2">
        <v>411019</v>
      </c>
      <c r="U1016" s="2" t="s">
        <v>172</v>
      </c>
      <c r="V1016" s="2" t="s">
        <v>23</v>
      </c>
      <c r="W1016" s="193">
        <v>2</v>
      </c>
      <c r="X1016" s="2">
        <v>4</v>
      </c>
      <c r="Y1016" s="2">
        <v>2</v>
      </c>
      <c r="Z1016" s="2">
        <v>1</v>
      </c>
      <c r="AA1016" s="193" t="s">
        <v>4151</v>
      </c>
      <c r="AB1016" s="2"/>
    </row>
    <row r="1017" spans="1:28" ht="15" customHeight="1">
      <c r="A1017" s="16">
        <v>1016</v>
      </c>
      <c r="B1017" s="13" t="s">
        <v>3759</v>
      </c>
      <c r="C1017" s="14" t="str">
        <f>_xlfn.CONCAT(B1017&amp;" "&amp;W1017&amp;X1017&amp;Y1017&amp;Z1017)</f>
        <v>Sakvinyal Solutions 4112</v>
      </c>
      <c r="D1017" s="17">
        <v>1108</v>
      </c>
      <c r="E1017" s="13" t="s">
        <v>3670</v>
      </c>
      <c r="F1017" s="13"/>
      <c r="G1017" s="28">
        <v>45343</v>
      </c>
      <c r="H1017" s="28"/>
      <c r="I1017" s="28"/>
      <c r="J1017" s="26">
        <v>45343</v>
      </c>
      <c r="K1017" s="26">
        <v>45708</v>
      </c>
      <c r="L1017" s="32">
        <v>3</v>
      </c>
      <c r="M1017" s="13" t="s">
        <v>3129</v>
      </c>
      <c r="N1017" s="13" t="s">
        <v>3760</v>
      </c>
      <c r="O1017" s="19">
        <v>9500475182</v>
      </c>
      <c r="P1017" s="2" t="s">
        <v>3761</v>
      </c>
      <c r="Q1017" s="2" t="s">
        <v>5109</v>
      </c>
      <c r="R1017" s="2" t="s">
        <v>3762</v>
      </c>
      <c r="S1017" s="2" t="s">
        <v>101</v>
      </c>
      <c r="T1017" s="2">
        <v>641110</v>
      </c>
      <c r="U1017" s="2" t="s">
        <v>38</v>
      </c>
      <c r="V1017" s="2" t="s">
        <v>3763</v>
      </c>
      <c r="W1017" s="193">
        <v>4</v>
      </c>
      <c r="X1017" s="2">
        <v>1</v>
      </c>
      <c r="Y1017" s="2">
        <v>1</v>
      </c>
      <c r="Z1017" s="2">
        <v>2</v>
      </c>
      <c r="AA1017" s="193" t="s">
        <v>4148</v>
      </c>
      <c r="AB1017" s="2"/>
    </row>
    <row r="1018" spans="1:28" ht="15" customHeight="1">
      <c r="A1018" s="16">
        <v>1017</v>
      </c>
      <c r="B1018" s="13" t="s">
        <v>3764</v>
      </c>
      <c r="C1018" s="14" t="str">
        <f>_xlfn.CONCAT(B1018&amp;" "&amp;W1018&amp;X1018&amp;Y1018&amp;Z1018)</f>
        <v>SVP Packaging (P) Ltd. 2112</v>
      </c>
      <c r="D1018" s="17">
        <v>1092</v>
      </c>
      <c r="E1018" s="13" t="s">
        <v>1310</v>
      </c>
      <c r="F1018" s="13"/>
      <c r="G1018" s="28">
        <v>45344</v>
      </c>
      <c r="H1018" s="28"/>
      <c r="I1018" s="28"/>
      <c r="J1018" s="26">
        <v>45344</v>
      </c>
      <c r="K1018" s="26">
        <v>45709</v>
      </c>
      <c r="L1018" s="32">
        <v>3</v>
      </c>
      <c r="M1018" s="13" t="s">
        <v>3765</v>
      </c>
      <c r="N1018" s="13" t="s">
        <v>3766</v>
      </c>
      <c r="O1018" s="19">
        <v>9320299565</v>
      </c>
      <c r="P1018" s="2" t="s">
        <v>3767</v>
      </c>
      <c r="Q1018" s="2" t="s">
        <v>5110</v>
      </c>
      <c r="R1018" s="2" t="s">
        <v>3768</v>
      </c>
      <c r="S1018" s="2" t="s">
        <v>178</v>
      </c>
      <c r="T1018" s="2">
        <v>401404</v>
      </c>
      <c r="U1018" s="2" t="s">
        <v>172</v>
      </c>
      <c r="V1018" s="2" t="s">
        <v>23</v>
      </c>
      <c r="W1018" s="193">
        <v>2</v>
      </c>
      <c r="X1018" s="2">
        <v>1</v>
      </c>
      <c r="Y1018" s="2">
        <v>1</v>
      </c>
      <c r="Z1018" s="2">
        <v>2</v>
      </c>
      <c r="AA1018" s="193" t="s">
        <v>4118</v>
      </c>
      <c r="AB1018" s="2"/>
    </row>
    <row r="1019" spans="1:28" ht="15" customHeight="1">
      <c r="A1019" s="16">
        <v>1018</v>
      </c>
      <c r="B1019" s="13" t="s">
        <v>3769</v>
      </c>
      <c r="C1019" s="14" t="str">
        <f>_xlfn.CONCAT(B1019&amp;" "&amp;W1019&amp;X1019&amp;Y1019&amp;Z1019)</f>
        <v>MBV Aerospace Pvt Ltd 8033</v>
      </c>
      <c r="D1019" s="17">
        <v>1107</v>
      </c>
      <c r="E1019" s="13" t="s">
        <v>3581</v>
      </c>
      <c r="F1019" s="13"/>
      <c r="G1019" s="28">
        <v>45348</v>
      </c>
      <c r="H1019" s="28"/>
      <c r="I1019" s="28"/>
      <c r="J1019" s="26">
        <v>45830</v>
      </c>
      <c r="K1019" s="26">
        <v>46194</v>
      </c>
      <c r="L1019" s="32">
        <v>3</v>
      </c>
      <c r="M1019" s="13" t="s">
        <v>3770</v>
      </c>
      <c r="N1019" s="13" t="s">
        <v>3771</v>
      </c>
      <c r="O1019" s="19" t="s">
        <v>3772</v>
      </c>
      <c r="P1019" s="2"/>
      <c r="Q1019" s="2" t="s">
        <v>5111</v>
      </c>
      <c r="R1019" s="2"/>
      <c r="S1019" s="2" t="s">
        <v>3773</v>
      </c>
      <c r="T1019" s="2">
        <v>570018</v>
      </c>
      <c r="U1019" s="2" t="s">
        <v>22</v>
      </c>
      <c r="V1019" s="2" t="s">
        <v>23</v>
      </c>
      <c r="W1019" s="193">
        <v>8</v>
      </c>
      <c r="X1019" s="2">
        <v>0</v>
      </c>
      <c r="Y1019" s="2">
        <v>3</v>
      </c>
      <c r="Z1019" s="2">
        <v>3</v>
      </c>
      <c r="AA1019" s="193" t="s">
        <v>4118</v>
      </c>
      <c r="AB1019" s="2"/>
    </row>
    <row r="1020" spans="1:28" ht="15" customHeight="1">
      <c r="A1020" s="16">
        <v>1019</v>
      </c>
      <c r="B1020" s="13" t="s">
        <v>2230</v>
      </c>
      <c r="C1020" s="14" t="str">
        <f>_xlfn.CONCAT(B1020&amp;" "&amp;W1020&amp;X1020&amp;Y1020&amp;Z1020)</f>
        <v>Brakes India Pvt Ltd 4034</v>
      </c>
      <c r="D1020" s="17">
        <v>1082</v>
      </c>
      <c r="E1020" s="13" t="s">
        <v>90</v>
      </c>
      <c r="F1020" s="13"/>
      <c r="G1020" s="28">
        <v>45349</v>
      </c>
      <c r="H1020" s="28"/>
      <c r="I1020" s="28"/>
      <c r="J1020" s="26">
        <v>45688</v>
      </c>
      <c r="K1020" s="26">
        <v>46052</v>
      </c>
      <c r="L1020" s="32">
        <v>3</v>
      </c>
      <c r="M1020" s="13" t="s">
        <v>3774</v>
      </c>
      <c r="N1020" s="13" t="s">
        <v>1161</v>
      </c>
      <c r="O1020" s="19">
        <v>8667815936</v>
      </c>
      <c r="P1020" s="2" t="s">
        <v>3775</v>
      </c>
      <c r="Q1020" s="2" t="s">
        <v>5112</v>
      </c>
      <c r="R1020" s="2" t="s">
        <v>3776</v>
      </c>
      <c r="S1020" s="2" t="s">
        <v>3777</v>
      </c>
      <c r="T1020" s="2">
        <v>631102</v>
      </c>
      <c r="U1020" s="2" t="s">
        <v>38</v>
      </c>
      <c r="V1020" s="2" t="s">
        <v>23</v>
      </c>
      <c r="W1020" s="193">
        <v>4</v>
      </c>
      <c r="X1020" s="2">
        <v>0</v>
      </c>
      <c r="Y1020" s="2">
        <v>3</v>
      </c>
      <c r="Z1020" s="2">
        <v>4</v>
      </c>
      <c r="AA1020" s="193" t="s">
        <v>4148</v>
      </c>
      <c r="AB1020" s="2"/>
    </row>
    <row r="1021" spans="1:28" ht="15" customHeight="1">
      <c r="A1021" s="16">
        <v>1020</v>
      </c>
      <c r="B1021" s="13" t="s">
        <v>3778</v>
      </c>
      <c r="C1021" s="14" t="str">
        <f>_xlfn.CONCAT(B1021&amp;" "&amp;W1021&amp;X1021&amp;Y1021&amp;Z1021)</f>
        <v>J.J Glastronics Pvt Ltd 8013</v>
      </c>
      <c r="D1021" s="17">
        <v>1106</v>
      </c>
      <c r="E1021" s="13" t="s">
        <v>3670</v>
      </c>
      <c r="F1021" s="13"/>
      <c r="G1021" s="28">
        <v>45365</v>
      </c>
      <c r="H1021" s="28"/>
      <c r="I1021" s="28"/>
      <c r="J1021" s="26">
        <v>45365</v>
      </c>
      <c r="K1021" s="26">
        <v>45729</v>
      </c>
      <c r="L1021" s="32">
        <v>3</v>
      </c>
      <c r="M1021" s="13" t="s">
        <v>3779</v>
      </c>
      <c r="N1021" s="13" t="s">
        <v>3558</v>
      </c>
      <c r="O1021" s="19"/>
      <c r="P1021" s="2" t="s">
        <v>3555</v>
      </c>
      <c r="Q1021" s="2" t="s">
        <v>5113</v>
      </c>
      <c r="R1021" s="2" t="s">
        <v>3556</v>
      </c>
      <c r="S1021" s="2" t="s">
        <v>21</v>
      </c>
      <c r="T1021" s="2">
        <v>560100</v>
      </c>
      <c r="U1021" s="2" t="s">
        <v>22</v>
      </c>
      <c r="V1021" s="2" t="s">
        <v>23</v>
      </c>
      <c r="W1021" s="193">
        <v>8</v>
      </c>
      <c r="X1021" s="2">
        <v>0</v>
      </c>
      <c r="Y1021" s="2">
        <v>1</v>
      </c>
      <c r="Z1021" s="2">
        <v>3</v>
      </c>
      <c r="AA1021" s="193" t="s">
        <v>4118</v>
      </c>
      <c r="AB1021" s="2"/>
    </row>
    <row r="1022" spans="1:28" ht="15" customHeight="1">
      <c r="A1022" s="16">
        <v>1021</v>
      </c>
      <c r="B1022" s="13" t="s">
        <v>3780</v>
      </c>
      <c r="C1022" s="14" t="str">
        <f>_xlfn.CONCAT(B1022&amp;" "&amp;W1022&amp;X1022&amp;Y1022&amp;Z1022)</f>
        <v>Newlight Art Works Pvt Ltd 1002</v>
      </c>
      <c r="D1022" s="17">
        <v>1091</v>
      </c>
      <c r="E1022" s="13" t="s">
        <v>42</v>
      </c>
      <c r="F1022" s="13"/>
      <c r="G1022" s="28">
        <v>45365</v>
      </c>
      <c r="H1022" s="28"/>
      <c r="I1022" s="28"/>
      <c r="J1022" s="26">
        <v>45365</v>
      </c>
      <c r="K1022" s="26">
        <v>45729</v>
      </c>
      <c r="L1022" s="32">
        <v>3</v>
      </c>
      <c r="M1022" s="13" t="s">
        <v>3781</v>
      </c>
      <c r="N1022" s="13"/>
      <c r="O1022" s="19">
        <v>9587230000</v>
      </c>
      <c r="P1022" s="2" t="s">
        <v>3782</v>
      </c>
      <c r="Q1022" s="2" t="s">
        <v>5114</v>
      </c>
      <c r="R1022" s="2" t="s">
        <v>3783</v>
      </c>
      <c r="S1022" s="2" t="s">
        <v>73</v>
      </c>
      <c r="T1022" s="2">
        <v>342012</v>
      </c>
      <c r="U1022" s="2" t="s">
        <v>74</v>
      </c>
      <c r="V1022" s="2" t="s">
        <v>23</v>
      </c>
      <c r="W1022" s="193">
        <v>1</v>
      </c>
      <c r="X1022" s="2">
        <v>0</v>
      </c>
      <c r="Y1022" s="2">
        <v>0</v>
      </c>
      <c r="Z1022" s="2">
        <v>2</v>
      </c>
      <c r="AA1022" s="193" t="s">
        <v>4118</v>
      </c>
      <c r="AB1022" s="2"/>
    </row>
    <row r="1023" spans="1:28" ht="15" customHeight="1">
      <c r="A1023" s="16">
        <v>1022</v>
      </c>
      <c r="B1023" s="13" t="s">
        <v>3053</v>
      </c>
      <c r="C1023" s="14" t="str">
        <f>_xlfn.CONCAT(B1023&amp;" "&amp;W1023&amp;X1023&amp;Y1023&amp;Z1023)</f>
        <v>Terminal Technologies (I) Pvt Ltd 2112</v>
      </c>
      <c r="D1023" s="17">
        <v>1077</v>
      </c>
      <c r="E1023" s="13" t="s">
        <v>42</v>
      </c>
      <c r="F1023" s="13"/>
      <c r="G1023" s="28">
        <v>45365</v>
      </c>
      <c r="H1023" s="28"/>
      <c r="I1023" s="28"/>
      <c r="J1023" s="26">
        <v>45365</v>
      </c>
      <c r="K1023" s="26">
        <v>46094</v>
      </c>
      <c r="L1023" s="32">
        <v>3</v>
      </c>
      <c r="M1023" s="13" t="s">
        <v>3054</v>
      </c>
      <c r="N1023" s="13"/>
      <c r="O1023" s="19">
        <v>9545455067</v>
      </c>
      <c r="P1023" s="2" t="s">
        <v>3784</v>
      </c>
      <c r="Q1023" s="2" t="s">
        <v>5115</v>
      </c>
      <c r="R1023" s="2" t="s">
        <v>3785</v>
      </c>
      <c r="S1023" s="2" t="s">
        <v>178</v>
      </c>
      <c r="T1023" s="2"/>
      <c r="U1023" s="2" t="s">
        <v>172</v>
      </c>
      <c r="V1023" s="2" t="s">
        <v>23</v>
      </c>
      <c r="W1023" s="193">
        <v>2</v>
      </c>
      <c r="X1023" s="2">
        <v>1</v>
      </c>
      <c r="Y1023" s="2">
        <v>1</v>
      </c>
      <c r="Z1023" s="2">
        <v>2</v>
      </c>
      <c r="AA1023" s="193" t="s">
        <v>4118</v>
      </c>
      <c r="AB1023" s="2"/>
    </row>
    <row r="1024" spans="1:28" ht="15" customHeight="1">
      <c r="A1024" s="16">
        <v>1023</v>
      </c>
      <c r="B1024" s="13" t="s">
        <v>3786</v>
      </c>
      <c r="C1024" s="14" t="str">
        <f>_xlfn.CONCAT(B1024&amp;" "&amp;W1024&amp;X1024&amp;Y1024&amp;Z1024)</f>
        <v>Master Components Ltd 2301</v>
      </c>
      <c r="D1024" s="17">
        <v>1114</v>
      </c>
      <c r="E1024" s="13" t="s">
        <v>90</v>
      </c>
      <c r="F1024" s="13"/>
      <c r="G1024" s="28">
        <v>45366</v>
      </c>
      <c r="H1024" s="28"/>
      <c r="I1024" s="28"/>
      <c r="J1024" s="26">
        <v>45366</v>
      </c>
      <c r="K1024" s="26">
        <v>45730</v>
      </c>
      <c r="L1024" s="32">
        <v>3</v>
      </c>
      <c r="M1024" s="13" t="s">
        <v>2391</v>
      </c>
      <c r="N1024" s="13"/>
      <c r="O1024" s="19"/>
      <c r="P1024" s="2"/>
      <c r="Q1024" s="2" t="s">
        <v>5116</v>
      </c>
      <c r="R1024" s="2" t="s">
        <v>502</v>
      </c>
      <c r="S1024" s="2" t="s">
        <v>321</v>
      </c>
      <c r="T1024" s="2">
        <v>422010</v>
      </c>
      <c r="U1024" s="2" t="s">
        <v>172</v>
      </c>
      <c r="V1024" s="2" t="s">
        <v>23</v>
      </c>
      <c r="W1024" s="193">
        <v>2</v>
      </c>
      <c r="X1024" s="2">
        <v>3</v>
      </c>
      <c r="Y1024" s="2">
        <v>0</v>
      </c>
      <c r="Z1024" s="2">
        <v>1</v>
      </c>
      <c r="AA1024" s="193" t="s">
        <v>5215</v>
      </c>
      <c r="AB1024" s="2"/>
    </row>
    <row r="1025" spans="1:28" ht="15" customHeight="1">
      <c r="A1025" s="16">
        <v>1024</v>
      </c>
      <c r="B1025" s="13" t="s">
        <v>3787</v>
      </c>
      <c r="C1025" s="14" t="str">
        <f>_xlfn.CONCAT(B1025&amp;" "&amp;W1025&amp;X1025&amp;Y1025&amp;Z1025)</f>
        <v>Aalpha Systems and Engg Pvt Ltd 8061</v>
      </c>
      <c r="D1025" s="17">
        <v>1115</v>
      </c>
      <c r="E1025" s="13" t="s">
        <v>90</v>
      </c>
      <c r="F1025" s="13"/>
      <c r="G1025" s="28">
        <v>45368</v>
      </c>
      <c r="H1025" s="28"/>
      <c r="I1025" s="28"/>
      <c r="J1025" s="26">
        <v>45368</v>
      </c>
      <c r="K1025" s="26">
        <v>45732</v>
      </c>
      <c r="L1025" s="32">
        <v>3</v>
      </c>
      <c r="M1025" s="13" t="s">
        <v>3788</v>
      </c>
      <c r="N1025" s="13" t="s">
        <v>339</v>
      </c>
      <c r="O1025" s="19">
        <v>8050066570</v>
      </c>
      <c r="P1025" s="2" t="s">
        <v>3789</v>
      </c>
      <c r="Q1025" s="2" t="s">
        <v>5117</v>
      </c>
      <c r="R1025" s="2" t="s">
        <v>749</v>
      </c>
      <c r="S1025" s="2" t="s">
        <v>21</v>
      </c>
      <c r="T1025" s="2">
        <v>561203</v>
      </c>
      <c r="U1025" s="2" t="s">
        <v>22</v>
      </c>
      <c r="V1025" s="2" t="s">
        <v>23</v>
      </c>
      <c r="W1025" s="193">
        <v>8</v>
      </c>
      <c r="X1025" s="2">
        <v>0</v>
      </c>
      <c r="Y1025" s="2">
        <v>6</v>
      </c>
      <c r="Z1025" s="2">
        <v>1</v>
      </c>
      <c r="AA1025" s="193" t="s">
        <v>4118</v>
      </c>
      <c r="AB1025" s="2"/>
    </row>
    <row r="1026" spans="1:28" ht="15" customHeight="1">
      <c r="A1026" s="16">
        <v>1025</v>
      </c>
      <c r="B1026" s="13" t="s">
        <v>3790</v>
      </c>
      <c r="C1026" s="14" t="str">
        <f>_xlfn.CONCAT(B1026&amp;" "&amp;W1026&amp;X1026&amp;Y1026&amp;Z1026)</f>
        <v>Vform Technopack Pvt Ltd 2224</v>
      </c>
      <c r="D1026" s="17">
        <v>1118</v>
      </c>
      <c r="E1026" s="13" t="s">
        <v>2082</v>
      </c>
      <c r="F1026" s="13"/>
      <c r="G1026" s="28">
        <v>45370</v>
      </c>
      <c r="H1026" s="28"/>
      <c r="I1026" s="28"/>
      <c r="J1026" s="26">
        <v>45370</v>
      </c>
      <c r="K1026" s="26">
        <v>45734</v>
      </c>
      <c r="L1026" s="32">
        <v>3</v>
      </c>
      <c r="M1026" s="13" t="s">
        <v>3791</v>
      </c>
      <c r="N1026" s="13"/>
      <c r="O1026" s="19">
        <v>8686104085</v>
      </c>
      <c r="P1026" s="2" t="s">
        <v>3792</v>
      </c>
      <c r="Q1026" s="2" t="s">
        <v>5118</v>
      </c>
      <c r="R1026" s="2" t="s">
        <v>3793</v>
      </c>
      <c r="S1026" s="2" t="s">
        <v>259</v>
      </c>
      <c r="T1026" s="2">
        <v>400705</v>
      </c>
      <c r="U1026" s="2" t="s">
        <v>172</v>
      </c>
      <c r="V1026" s="2" t="s">
        <v>23</v>
      </c>
      <c r="W1026" s="193">
        <v>2</v>
      </c>
      <c r="X1026" s="2">
        <v>2</v>
      </c>
      <c r="Y1026" s="2">
        <v>2</v>
      </c>
      <c r="Z1026" s="2">
        <v>4</v>
      </c>
      <c r="AA1026" s="193" t="s">
        <v>4148</v>
      </c>
      <c r="AB1026" s="2"/>
    </row>
    <row r="1027" spans="1:28" ht="15" customHeight="1">
      <c r="A1027" s="16">
        <v>1026</v>
      </c>
      <c r="B1027" s="13" t="s">
        <v>2757</v>
      </c>
      <c r="C1027" s="14" t="str">
        <f>_xlfn.CONCAT(B1027&amp;" "&amp;W1027&amp;X1027&amp;Y1027&amp;Z1027)</f>
        <v>Varroc Engg Limited 2021</v>
      </c>
      <c r="D1027" s="17">
        <v>1116</v>
      </c>
      <c r="E1027" s="13" t="s">
        <v>90</v>
      </c>
      <c r="F1027" s="13"/>
      <c r="G1027" s="28">
        <v>45370</v>
      </c>
      <c r="H1027" s="28"/>
      <c r="I1027" s="28"/>
      <c r="J1027" s="26">
        <v>45370</v>
      </c>
      <c r="K1027" s="26">
        <v>45734</v>
      </c>
      <c r="L1027" s="32">
        <v>3</v>
      </c>
      <c r="M1027" s="13" t="s">
        <v>3794</v>
      </c>
      <c r="N1027" s="13" t="s">
        <v>3795</v>
      </c>
      <c r="O1027" s="19">
        <v>9665245453</v>
      </c>
      <c r="P1027" s="2" t="s">
        <v>3796</v>
      </c>
      <c r="Q1027" s="2" t="s">
        <v>5119</v>
      </c>
      <c r="R1027" s="2" t="s">
        <v>908</v>
      </c>
      <c r="S1027" s="2" t="s">
        <v>171</v>
      </c>
      <c r="T1027" s="2">
        <v>431136</v>
      </c>
      <c r="U1027" s="2" t="s">
        <v>172</v>
      </c>
      <c r="V1027" s="2" t="s">
        <v>23</v>
      </c>
      <c r="W1027" s="2">
        <v>2</v>
      </c>
      <c r="X1027" s="2">
        <v>0</v>
      </c>
      <c r="Y1027" s="2">
        <v>2</v>
      </c>
      <c r="Z1027" s="2">
        <v>1</v>
      </c>
      <c r="AA1027" s="193" t="s">
        <v>4118</v>
      </c>
      <c r="AB1027" s="2"/>
    </row>
    <row r="1028" spans="1:28" ht="15" customHeight="1">
      <c r="A1028" s="16">
        <v>1027</v>
      </c>
      <c r="B1028" s="13" t="s">
        <v>3797</v>
      </c>
      <c r="C1028" s="14" t="str">
        <f>_xlfn.CONCAT(B1028&amp;" "&amp;W1028&amp;X1028&amp;Y1028&amp;Z1028)</f>
        <v>SITRA (Candid Micron) 4112</v>
      </c>
      <c r="D1028" s="17">
        <v>1117</v>
      </c>
      <c r="E1028" s="13" t="s">
        <v>90</v>
      </c>
      <c r="F1028" s="13"/>
      <c r="G1028" s="28">
        <v>45381</v>
      </c>
      <c r="H1028" s="28"/>
      <c r="I1028" s="28"/>
      <c r="J1028" s="26">
        <v>45381</v>
      </c>
      <c r="K1028" s="26">
        <v>45745</v>
      </c>
      <c r="L1028" s="32">
        <v>3</v>
      </c>
      <c r="M1028" s="13" t="s">
        <v>3798</v>
      </c>
      <c r="N1028" s="13"/>
      <c r="O1028" s="19" t="s">
        <v>3799</v>
      </c>
      <c r="P1028" s="2" t="s">
        <v>3800</v>
      </c>
      <c r="Q1028" s="2" t="s">
        <v>5120</v>
      </c>
      <c r="R1028" s="2"/>
      <c r="S1028" s="2" t="s">
        <v>101</v>
      </c>
      <c r="T1028" s="2">
        <v>641014</v>
      </c>
      <c r="U1028" s="2" t="s">
        <v>38</v>
      </c>
      <c r="V1028" s="2" t="s">
        <v>23</v>
      </c>
      <c r="W1028" s="2">
        <v>4</v>
      </c>
      <c r="X1028" s="2">
        <v>1</v>
      </c>
      <c r="Y1028" s="2">
        <v>1</v>
      </c>
      <c r="Z1028" s="2">
        <v>2</v>
      </c>
      <c r="AA1028" s="193" t="s">
        <v>4148</v>
      </c>
      <c r="AB1028" s="2"/>
    </row>
    <row r="1029" spans="1:28" ht="15" customHeight="1">
      <c r="A1029" s="16">
        <v>1028</v>
      </c>
      <c r="B1029" s="13" t="s">
        <v>3678</v>
      </c>
      <c r="C1029" s="14" t="str">
        <f>_xlfn.CONCAT(B1029&amp;" "&amp;W1029&amp;X1029&amp;Y1029&amp;Z1029)</f>
        <v>L.G. Balakrishnan &amp; Bros Ltd (Candid Micron Measurements Pvt Ltd) 0000</v>
      </c>
      <c r="D1029" s="17">
        <v>1128</v>
      </c>
      <c r="E1029" s="13" t="s">
        <v>90</v>
      </c>
      <c r="F1029" s="13"/>
      <c r="G1029" s="28">
        <v>45381</v>
      </c>
      <c r="H1029" s="28"/>
      <c r="I1029" s="28"/>
      <c r="J1029" s="26">
        <v>45381</v>
      </c>
      <c r="K1029" s="26">
        <v>45745</v>
      </c>
      <c r="L1029" s="32">
        <v>3</v>
      </c>
      <c r="M1029" s="13" t="s">
        <v>3801</v>
      </c>
      <c r="N1029" s="13" t="s">
        <v>3802</v>
      </c>
      <c r="O1029" s="19">
        <v>9095103323</v>
      </c>
      <c r="P1029" s="2" t="s">
        <v>3803</v>
      </c>
      <c r="Q1029" s="2" t="s">
        <v>5121</v>
      </c>
      <c r="R1029" s="2" t="s">
        <v>3804</v>
      </c>
      <c r="S1029" s="2" t="s">
        <v>3805</v>
      </c>
      <c r="T1029" s="2">
        <v>639010</v>
      </c>
      <c r="U1029" s="2" t="s">
        <v>38</v>
      </c>
      <c r="V1029" s="2" t="s">
        <v>23</v>
      </c>
      <c r="W1029" s="2">
        <v>0</v>
      </c>
      <c r="X1029" s="2">
        <v>0</v>
      </c>
      <c r="Y1029" s="2">
        <v>0</v>
      </c>
      <c r="Z1029" s="2">
        <v>0</v>
      </c>
      <c r="AA1029" s="193">
        <v>0</v>
      </c>
      <c r="AB1029" s="2"/>
    </row>
    <row r="1030" spans="1:28" ht="15" customHeight="1">
      <c r="A1030" s="16">
        <v>1029</v>
      </c>
      <c r="B1030" s="13" t="s">
        <v>3806</v>
      </c>
      <c r="C1030" s="14" t="str">
        <f>_xlfn.CONCAT(B1030&amp;" "&amp;W1030&amp;X1030&amp;Y1030&amp;Z1030)</f>
        <v>Elgi Equipments Ltd (Candid Micron) 4131</v>
      </c>
      <c r="D1030" s="17">
        <v>1129</v>
      </c>
      <c r="E1030" s="13" t="s">
        <v>90</v>
      </c>
      <c r="F1030" s="13"/>
      <c r="G1030" s="28">
        <v>45381</v>
      </c>
      <c r="H1030" s="28"/>
      <c r="I1030" s="28"/>
      <c r="J1030" s="26">
        <v>45381</v>
      </c>
      <c r="K1030" s="26">
        <v>45745</v>
      </c>
      <c r="L1030" s="32">
        <v>3</v>
      </c>
      <c r="M1030" s="13" t="s">
        <v>3807</v>
      </c>
      <c r="N1030" s="13" t="s">
        <v>3808</v>
      </c>
      <c r="O1030" s="19">
        <v>9600888291</v>
      </c>
      <c r="P1030" s="2"/>
      <c r="Q1030" s="2" t="s">
        <v>3838</v>
      </c>
      <c r="R1030" s="2" t="s">
        <v>3809</v>
      </c>
      <c r="S1030" s="2" t="s">
        <v>101</v>
      </c>
      <c r="T1030" s="2">
        <v>642109</v>
      </c>
      <c r="U1030" s="2" t="s">
        <v>38</v>
      </c>
      <c r="V1030" s="2" t="s">
        <v>23</v>
      </c>
      <c r="W1030" s="2">
        <v>4</v>
      </c>
      <c r="X1030" s="2">
        <v>1</v>
      </c>
      <c r="Y1030" s="2">
        <v>3</v>
      </c>
      <c r="Z1030" s="2">
        <v>1</v>
      </c>
      <c r="AA1030" s="193" t="s">
        <v>4148</v>
      </c>
      <c r="AB1030" s="2"/>
    </row>
    <row r="1031" spans="1:28" ht="15" customHeight="1">
      <c r="A1031" s="34">
        <v>1030</v>
      </c>
      <c r="B1031" s="46" t="s">
        <v>3810</v>
      </c>
      <c r="C1031" s="14" t="str">
        <f>_xlfn.CONCAT(B1031&amp;" "&amp;W1031&amp;X1031&amp;Y1031&amp;Z1031)</f>
        <v>Yashwitha Aerotech 0000</v>
      </c>
      <c r="D1031" s="36">
        <v>1127</v>
      </c>
      <c r="E1031" s="46" t="s">
        <v>90</v>
      </c>
      <c r="F1031" s="46"/>
      <c r="G1031" s="47">
        <v>45381</v>
      </c>
      <c r="H1031" s="47"/>
      <c r="I1031" s="47"/>
      <c r="J1031" s="48">
        <v>45381</v>
      </c>
      <c r="K1031" s="48">
        <v>45745</v>
      </c>
      <c r="L1031" s="32">
        <v>3</v>
      </c>
      <c r="M1031" s="46" t="s">
        <v>3811</v>
      </c>
      <c r="N1031" s="46"/>
      <c r="O1031" s="49">
        <v>9845454148</v>
      </c>
      <c r="P1031" s="50" t="s">
        <v>3812</v>
      </c>
      <c r="Q1031" s="50" t="s">
        <v>5122</v>
      </c>
      <c r="R1031" s="50" t="s">
        <v>3072</v>
      </c>
      <c r="S1031" s="50" t="s">
        <v>21</v>
      </c>
      <c r="T1031" s="50">
        <v>560058</v>
      </c>
      <c r="U1031" s="50" t="s">
        <v>22</v>
      </c>
      <c r="V1031" s="50" t="s">
        <v>23</v>
      </c>
      <c r="W1031" s="50">
        <v>0</v>
      </c>
      <c r="X1031" s="50">
        <v>0</v>
      </c>
      <c r="Y1031" s="50">
        <v>0</v>
      </c>
      <c r="Z1031" s="50">
        <v>0</v>
      </c>
      <c r="AA1031" s="194">
        <v>0</v>
      </c>
      <c r="AB1031" s="2"/>
    </row>
    <row r="1032" spans="1:28" ht="15" customHeight="1">
      <c r="A1032" s="16">
        <v>1031</v>
      </c>
      <c r="B1032" s="13" t="s">
        <v>3813</v>
      </c>
      <c r="C1032" s="14" t="str">
        <f>_xlfn.CONCAT(B1032&amp;" "&amp;W1032&amp;X1032&amp;Y1032&amp;Z1032)</f>
        <v>Delta CNC Applications 8013</v>
      </c>
      <c r="D1032" s="17">
        <v>1119</v>
      </c>
      <c r="E1032" s="13" t="s">
        <v>2082</v>
      </c>
      <c r="F1032" s="13"/>
      <c r="G1032" s="28">
        <v>45381</v>
      </c>
      <c r="H1032" s="28"/>
      <c r="I1032" s="28"/>
      <c r="J1032" s="26">
        <v>45381</v>
      </c>
      <c r="K1032" s="26">
        <v>45745</v>
      </c>
      <c r="L1032" s="32">
        <v>3</v>
      </c>
      <c r="M1032" s="13" t="s">
        <v>3814</v>
      </c>
      <c r="N1032" s="13" t="s">
        <v>254</v>
      </c>
      <c r="O1032" s="19">
        <v>9443366306</v>
      </c>
      <c r="P1032" s="2" t="s">
        <v>2241</v>
      </c>
      <c r="Q1032" s="2" t="s">
        <v>5123</v>
      </c>
      <c r="R1032" s="2" t="s">
        <v>2268</v>
      </c>
      <c r="S1032" s="2" t="s">
        <v>121</v>
      </c>
      <c r="T1032" s="2">
        <v>635126</v>
      </c>
      <c r="U1032" s="2" t="s">
        <v>38</v>
      </c>
      <c r="V1032" s="2" t="s">
        <v>23</v>
      </c>
      <c r="W1032" s="2">
        <v>8</v>
      </c>
      <c r="X1032" s="2">
        <v>0</v>
      </c>
      <c r="Y1032" s="2">
        <v>1</v>
      </c>
      <c r="Z1032" s="2">
        <v>3</v>
      </c>
      <c r="AA1032" s="193" t="s">
        <v>4118</v>
      </c>
      <c r="AB1032" s="2"/>
    </row>
    <row r="1033" spans="1:28" ht="15" customHeight="1">
      <c r="A1033" s="16">
        <v>1032</v>
      </c>
      <c r="B1033" s="13" t="s">
        <v>3815</v>
      </c>
      <c r="C1033" s="14" t="str">
        <f>_xlfn.CONCAT(B1033&amp;" "&amp;W1033&amp;X1033&amp;Y1033&amp;Z1033)</f>
        <v>SML Plastcrafts Pvt Ltd 2431</v>
      </c>
      <c r="D1033" s="17">
        <v>1122</v>
      </c>
      <c r="E1033" s="13" t="s">
        <v>3581</v>
      </c>
      <c r="F1033" s="13"/>
      <c r="G1033" s="28">
        <v>45393</v>
      </c>
      <c r="H1033" s="28"/>
      <c r="I1033" s="28"/>
      <c r="J1033" s="26">
        <v>45393</v>
      </c>
      <c r="K1033" s="26">
        <v>46487</v>
      </c>
      <c r="L1033" s="32">
        <v>3</v>
      </c>
      <c r="M1033" s="13" t="s">
        <v>3816</v>
      </c>
      <c r="N1033" s="13"/>
      <c r="O1033" s="19">
        <v>9810445269</v>
      </c>
      <c r="P1033" s="2" t="s">
        <v>3817</v>
      </c>
      <c r="Q1033" s="2" t="s">
        <v>5124</v>
      </c>
      <c r="R1033" s="2" t="s">
        <v>3818</v>
      </c>
      <c r="S1033" s="2" t="s">
        <v>143</v>
      </c>
      <c r="T1033" s="2">
        <v>382120</v>
      </c>
      <c r="U1033" s="2" t="s">
        <v>136</v>
      </c>
      <c r="V1033" s="2" t="s">
        <v>23</v>
      </c>
      <c r="W1033" s="2">
        <v>2</v>
      </c>
      <c r="X1033" s="2">
        <v>4</v>
      </c>
      <c r="Y1033" s="2">
        <v>3</v>
      </c>
      <c r="Z1033" s="2">
        <v>1</v>
      </c>
      <c r="AA1033" s="193" t="s">
        <v>4151</v>
      </c>
      <c r="AB1033" s="2"/>
    </row>
    <row r="1034" spans="1:28" ht="15" customHeight="1">
      <c r="A1034" s="16">
        <v>1033</v>
      </c>
      <c r="B1034" s="13" t="s">
        <v>3819</v>
      </c>
      <c r="C1034" s="14" t="str">
        <f>_xlfn.CONCAT(B1034&amp;" "&amp;W1034&amp;X1034&amp;Y1034&amp;Z1034)</f>
        <v>Anand Engg 8012</v>
      </c>
      <c r="D1034" s="17">
        <v>1095</v>
      </c>
      <c r="E1034" s="13" t="s">
        <v>42</v>
      </c>
      <c r="F1034" s="13"/>
      <c r="G1034" s="28">
        <v>45401</v>
      </c>
      <c r="H1034" s="28"/>
      <c r="I1034" s="28"/>
      <c r="J1034" s="26">
        <v>45401</v>
      </c>
      <c r="K1034" s="26">
        <v>45765</v>
      </c>
      <c r="L1034" s="32">
        <v>3</v>
      </c>
      <c r="M1034" s="13" t="s">
        <v>3820</v>
      </c>
      <c r="N1034" s="13" t="s">
        <v>17</v>
      </c>
      <c r="O1034" s="19">
        <v>9448332574</v>
      </c>
      <c r="P1034" s="2" t="s">
        <v>3821</v>
      </c>
      <c r="Q1034" s="2" t="s">
        <v>5125</v>
      </c>
      <c r="R1034" s="2" t="s">
        <v>2209</v>
      </c>
      <c r="S1034" s="2" t="s">
        <v>21</v>
      </c>
      <c r="T1034" s="2">
        <v>560099</v>
      </c>
      <c r="U1034" s="2" t="s">
        <v>22</v>
      </c>
      <c r="V1034" s="2" t="s">
        <v>23</v>
      </c>
      <c r="W1034" s="2">
        <v>8</v>
      </c>
      <c r="X1034" s="2">
        <v>0</v>
      </c>
      <c r="Y1034" s="2">
        <v>1</v>
      </c>
      <c r="Z1034" s="2">
        <v>2</v>
      </c>
      <c r="AA1034" s="193" t="s">
        <v>4118</v>
      </c>
      <c r="AB1034" s="2"/>
    </row>
    <row r="1035" spans="1:28" ht="15" customHeight="1">
      <c r="A1035" s="16">
        <v>1034</v>
      </c>
      <c r="B1035" s="13" t="s">
        <v>3822</v>
      </c>
      <c r="C1035" s="14" t="str">
        <f>_xlfn.CONCAT(B1035&amp;" "&amp;W1035&amp;X1035&amp;Y1035&amp;Z1035)</f>
        <v>Go Green Overseas 5301</v>
      </c>
      <c r="D1035" s="17">
        <v>1126</v>
      </c>
      <c r="E1035" s="13" t="s">
        <v>90</v>
      </c>
      <c r="F1035" s="13"/>
      <c r="G1035" s="28">
        <v>45402</v>
      </c>
      <c r="H1035" s="28"/>
      <c r="I1035" s="28"/>
      <c r="J1035" s="26">
        <v>45402</v>
      </c>
      <c r="K1035" s="26">
        <v>45766</v>
      </c>
      <c r="L1035" s="32">
        <v>3</v>
      </c>
      <c r="M1035" s="44" t="s">
        <v>3823</v>
      </c>
      <c r="N1035" s="13"/>
      <c r="O1035" s="19" t="s">
        <v>3824</v>
      </c>
      <c r="P1035" s="2" t="s">
        <v>3825</v>
      </c>
      <c r="Q1035" s="2" t="s">
        <v>5126</v>
      </c>
      <c r="R1035" s="2" t="s">
        <v>3826</v>
      </c>
      <c r="S1035" s="2" t="s">
        <v>1131</v>
      </c>
      <c r="T1035" s="2">
        <v>360024</v>
      </c>
      <c r="U1035" s="2" t="s">
        <v>144</v>
      </c>
      <c r="V1035" s="2" t="s">
        <v>23</v>
      </c>
      <c r="W1035" s="2">
        <v>5</v>
      </c>
      <c r="X1035" s="2">
        <v>3</v>
      </c>
      <c r="Y1035" s="2">
        <v>0</v>
      </c>
      <c r="Z1035" s="2">
        <v>1</v>
      </c>
      <c r="AA1035" s="193" t="s">
        <v>4135</v>
      </c>
      <c r="AB1035" s="2"/>
    </row>
    <row r="1036" spans="1:28" ht="15" customHeight="1">
      <c r="A1036" s="16">
        <v>1035</v>
      </c>
      <c r="B1036" s="13" t="s">
        <v>3827</v>
      </c>
      <c r="C1036" s="14" t="str">
        <f>_xlfn.CONCAT(B1036&amp;" "&amp;W1036&amp;X1036&amp;Y1036&amp;Z1036)</f>
        <v>Bharati Innovative Technocrafts Pvt Ltd 6021</v>
      </c>
      <c r="D1036" s="17">
        <v>1097</v>
      </c>
      <c r="E1036" s="13" t="s">
        <v>42</v>
      </c>
      <c r="F1036" s="13"/>
      <c r="G1036" s="28">
        <v>45412</v>
      </c>
      <c r="H1036" s="28"/>
      <c r="I1036" s="28"/>
      <c r="J1036" s="26">
        <v>45412</v>
      </c>
      <c r="K1036" s="26">
        <v>45776</v>
      </c>
      <c r="L1036" s="32">
        <v>3</v>
      </c>
      <c r="M1036" s="13" t="s">
        <v>3828</v>
      </c>
      <c r="N1036" s="13"/>
      <c r="O1036" s="19">
        <v>7498751192</v>
      </c>
      <c r="P1036" s="2" t="s">
        <v>3829</v>
      </c>
      <c r="Q1036" s="2" t="s">
        <v>5127</v>
      </c>
      <c r="R1036" s="2" t="s">
        <v>3830</v>
      </c>
      <c r="S1036" s="2" t="s">
        <v>53</v>
      </c>
      <c r="T1036" s="2">
        <v>500014</v>
      </c>
      <c r="U1036" s="2" t="s">
        <v>1844</v>
      </c>
      <c r="V1036" s="2" t="s">
        <v>23</v>
      </c>
      <c r="W1036" s="2">
        <v>6</v>
      </c>
      <c r="X1036" s="2">
        <v>0</v>
      </c>
      <c r="Y1036" s="2">
        <v>2</v>
      </c>
      <c r="Z1036" s="2">
        <v>1</v>
      </c>
      <c r="AA1036" s="193" t="s">
        <v>4148</v>
      </c>
      <c r="AB1036" s="2"/>
    </row>
    <row r="1037" spans="1:28" ht="15" customHeight="1">
      <c r="A1037" s="16">
        <v>1036</v>
      </c>
      <c r="B1037" s="13" t="s">
        <v>3003</v>
      </c>
      <c r="C1037" s="14" t="str">
        <f>_xlfn.CONCAT(B1037&amp;" "&amp;W1037&amp;X1037&amp;Y1037&amp;Z1037)</f>
        <v>Mold-Tek Packaging Ltd 6021</v>
      </c>
      <c r="D1037" s="17">
        <v>1120</v>
      </c>
      <c r="E1037" s="13" t="s">
        <v>2082</v>
      </c>
      <c r="F1037" s="13"/>
      <c r="G1037" s="28">
        <v>45412</v>
      </c>
      <c r="H1037" s="28"/>
      <c r="I1037" s="28"/>
      <c r="J1037" s="26">
        <v>45412</v>
      </c>
      <c r="K1037" s="26">
        <v>46141</v>
      </c>
      <c r="L1037" s="32">
        <v>3</v>
      </c>
      <c r="M1037" s="13" t="s">
        <v>3831</v>
      </c>
      <c r="N1037" s="13" t="s">
        <v>3832</v>
      </c>
      <c r="O1037" s="19" t="s">
        <v>3833</v>
      </c>
      <c r="P1037" s="2" t="s">
        <v>3007</v>
      </c>
      <c r="Q1037" s="2" t="s">
        <v>5128</v>
      </c>
      <c r="R1037" s="2" t="s">
        <v>3834</v>
      </c>
      <c r="S1037" s="2" t="s">
        <v>53</v>
      </c>
      <c r="T1037" s="2">
        <v>502313</v>
      </c>
      <c r="U1037" s="2" t="s">
        <v>1844</v>
      </c>
      <c r="V1037" s="2" t="s">
        <v>23</v>
      </c>
      <c r="W1037" s="2">
        <v>6</v>
      </c>
      <c r="X1037" s="2">
        <v>0</v>
      </c>
      <c r="Y1037" s="2">
        <v>2</v>
      </c>
      <c r="Z1037" s="2">
        <v>1</v>
      </c>
      <c r="AA1037" s="193" t="s">
        <v>4148</v>
      </c>
      <c r="AB1037" s="2"/>
    </row>
    <row r="1038" spans="1:28" ht="15" customHeight="1">
      <c r="A1038" s="16">
        <v>1037</v>
      </c>
      <c r="B1038" s="13" t="s">
        <v>3835</v>
      </c>
      <c r="C1038" s="14" t="str">
        <f>_xlfn.CONCAT(B1038&amp;" "&amp;W1038&amp;X1038&amp;Y1038&amp;Z1038)</f>
        <v>Tarson Products Ltd 8005</v>
      </c>
      <c r="D1038" s="17">
        <v>1096</v>
      </c>
      <c r="E1038" s="13" t="s">
        <v>42</v>
      </c>
      <c r="F1038" s="13"/>
      <c r="G1038" s="28">
        <v>45412</v>
      </c>
      <c r="H1038" s="28"/>
      <c r="I1038" s="28"/>
      <c r="J1038" s="26">
        <v>45412</v>
      </c>
      <c r="K1038" s="26">
        <v>46141</v>
      </c>
      <c r="L1038" s="32">
        <v>3</v>
      </c>
      <c r="M1038" s="13" t="s">
        <v>3836</v>
      </c>
      <c r="N1038" s="13"/>
      <c r="O1038" s="19">
        <v>7980969689</v>
      </c>
      <c r="P1038" s="2"/>
      <c r="Q1038" s="2" t="s">
        <v>5129</v>
      </c>
      <c r="R1038" s="2"/>
      <c r="S1038" s="2" t="s">
        <v>327</v>
      </c>
      <c r="T1038" s="2">
        <v>700091</v>
      </c>
      <c r="U1038" s="2" t="s">
        <v>328</v>
      </c>
      <c r="V1038" s="2" t="s">
        <v>23</v>
      </c>
      <c r="W1038" s="2">
        <v>8</v>
      </c>
      <c r="X1038" s="2">
        <v>0</v>
      </c>
      <c r="Y1038" s="2">
        <v>0</v>
      </c>
      <c r="Z1038" s="2">
        <v>5</v>
      </c>
      <c r="AA1038" s="193" t="s">
        <v>4118</v>
      </c>
      <c r="AB1038" s="2"/>
    </row>
    <row r="1039" spans="1:28" ht="15" customHeight="1">
      <c r="A1039" s="16">
        <v>1038</v>
      </c>
      <c r="B1039" s="13" t="s">
        <v>3837</v>
      </c>
      <c r="C1039" s="14" t="str">
        <f>_xlfn.CONCAT(B1039&amp;" "&amp;W1039&amp;X1039&amp;Y1039&amp;Z1039)</f>
        <v>Aashirwad Filcomps Pvt Ltd 1161</v>
      </c>
      <c r="D1039" s="17">
        <v>1098</v>
      </c>
      <c r="E1039" s="13" t="s">
        <v>42</v>
      </c>
      <c r="F1039" s="13"/>
      <c r="G1039" s="28">
        <v>45427</v>
      </c>
      <c r="H1039" s="28"/>
      <c r="I1039" s="28"/>
      <c r="J1039" s="26">
        <v>45427</v>
      </c>
      <c r="K1039" s="26">
        <v>46156</v>
      </c>
      <c r="L1039" s="32">
        <v>3</v>
      </c>
      <c r="M1039" s="13" t="s">
        <v>3839</v>
      </c>
      <c r="N1039" s="13"/>
      <c r="O1039" s="19">
        <v>9818458209</v>
      </c>
      <c r="P1039" s="2" t="s">
        <v>3224</v>
      </c>
      <c r="Q1039" s="2" t="s">
        <v>5130</v>
      </c>
      <c r="R1039" s="2"/>
      <c r="S1039" s="2" t="s">
        <v>454</v>
      </c>
      <c r="T1039" s="2">
        <v>121004</v>
      </c>
      <c r="U1039" s="2" t="s">
        <v>429</v>
      </c>
      <c r="V1039" s="2" t="s">
        <v>23</v>
      </c>
      <c r="W1039" s="2">
        <v>1</v>
      </c>
      <c r="X1039" s="2">
        <v>1</v>
      </c>
      <c r="Y1039" s="2">
        <v>6</v>
      </c>
      <c r="Z1039" s="2">
        <v>1</v>
      </c>
      <c r="AA1039" s="193" t="s">
        <v>4118</v>
      </c>
      <c r="AB1039" s="2"/>
    </row>
    <row r="1040" spans="1:28" ht="15" customHeight="1">
      <c r="A1040" s="16">
        <v>1039</v>
      </c>
      <c r="B1040" s="13" t="s">
        <v>3840</v>
      </c>
      <c r="C1040" s="14" t="str">
        <f>_xlfn.CONCAT(B1040&amp;" "&amp;W1040&amp;X1040&amp;Y1040&amp;Z1040)</f>
        <v>Toshee Industries Pvt Ltd  5021</v>
      </c>
      <c r="D1040" s="17">
        <v>1099</v>
      </c>
      <c r="E1040" s="13" t="s">
        <v>42</v>
      </c>
      <c r="F1040" s="13"/>
      <c r="G1040" s="28">
        <v>45427</v>
      </c>
      <c r="H1040" s="28"/>
      <c r="I1040" s="28"/>
      <c r="J1040" s="26">
        <v>45427</v>
      </c>
      <c r="K1040" s="26">
        <v>45791</v>
      </c>
      <c r="L1040" s="32">
        <v>3</v>
      </c>
      <c r="M1040" s="13" t="s">
        <v>3841</v>
      </c>
      <c r="N1040" s="13"/>
      <c r="O1040" s="19">
        <v>7982040159</v>
      </c>
      <c r="P1040" s="2" t="s">
        <v>3842</v>
      </c>
      <c r="Q1040" s="2" t="s">
        <v>5131</v>
      </c>
      <c r="R1040" s="2" t="s">
        <v>2713</v>
      </c>
      <c r="S1040" s="2" t="s">
        <v>3843</v>
      </c>
      <c r="T1040" s="2">
        <v>384440</v>
      </c>
      <c r="U1040" s="2" t="s">
        <v>144</v>
      </c>
      <c r="V1040" s="2" t="s">
        <v>23</v>
      </c>
      <c r="W1040" s="2">
        <v>5</v>
      </c>
      <c r="X1040" s="2">
        <v>0</v>
      </c>
      <c r="Y1040" s="2">
        <v>2</v>
      </c>
      <c r="Z1040" s="2">
        <v>1</v>
      </c>
      <c r="AA1040" s="193" t="s">
        <v>4118</v>
      </c>
      <c r="AB1040" s="2"/>
    </row>
    <row r="1041" spans="1:28" ht="15" customHeight="1">
      <c r="A1041" s="16">
        <v>1040</v>
      </c>
      <c r="B1041" s="13" t="s">
        <v>3844</v>
      </c>
      <c r="C1041" s="14" t="str">
        <f>_xlfn.CONCAT(B1041&amp;" "&amp;W1041&amp;X1041&amp;Y1041&amp;Z1041)</f>
        <v>Automatic Instruments Pvt Ltd  1111</v>
      </c>
      <c r="D1041" s="17">
        <v>1138</v>
      </c>
      <c r="E1041" s="13" t="s">
        <v>42</v>
      </c>
      <c r="F1041" s="13"/>
      <c r="G1041" s="28">
        <v>45432</v>
      </c>
      <c r="H1041" s="28"/>
      <c r="I1041" s="28"/>
      <c r="J1041" s="26">
        <v>45432</v>
      </c>
      <c r="K1041" s="26">
        <v>45796</v>
      </c>
      <c r="L1041" s="32">
        <v>3</v>
      </c>
      <c r="M1041" s="13" t="s">
        <v>3845</v>
      </c>
      <c r="N1041" s="13" t="s">
        <v>3846</v>
      </c>
      <c r="O1041" s="19" t="s">
        <v>3847</v>
      </c>
      <c r="P1041" s="2" t="s">
        <v>3848</v>
      </c>
      <c r="Q1041" s="2" t="s">
        <v>5132</v>
      </c>
      <c r="R1041" s="2" t="s">
        <v>2465</v>
      </c>
      <c r="S1041" s="2" t="s">
        <v>428</v>
      </c>
      <c r="T1041" s="2">
        <v>122001</v>
      </c>
      <c r="U1041" s="2" t="s">
        <v>429</v>
      </c>
      <c r="V1041" s="2" t="s">
        <v>23</v>
      </c>
      <c r="W1041" s="2">
        <v>1</v>
      </c>
      <c r="X1041" s="2">
        <v>1</v>
      </c>
      <c r="Y1041" s="2">
        <v>1</v>
      </c>
      <c r="Z1041" s="2">
        <v>1</v>
      </c>
      <c r="AA1041" s="193" t="s">
        <v>4118</v>
      </c>
      <c r="AB1041" s="2"/>
    </row>
    <row r="1042" spans="1:28" ht="15" customHeight="1">
      <c r="A1042" s="16">
        <v>1041</v>
      </c>
      <c r="B1042" s="13" t="s">
        <v>3849</v>
      </c>
      <c r="C1042" s="14" t="str">
        <f>_xlfn.CONCAT(B1042&amp;" "&amp;W1042&amp;X1042&amp;Y1042&amp;Z1042)</f>
        <v>Jayashree Polymers Pvt Ltd 8013</v>
      </c>
      <c r="D1042" s="17">
        <v>1121</v>
      </c>
      <c r="E1042" s="13" t="s">
        <v>2082</v>
      </c>
      <c r="F1042" s="13"/>
      <c r="G1042" s="28">
        <v>45441</v>
      </c>
      <c r="H1042" s="28"/>
      <c r="I1042" s="28"/>
      <c r="J1042" s="26">
        <v>45748</v>
      </c>
      <c r="K1042" s="26">
        <v>46112</v>
      </c>
      <c r="L1042" s="32">
        <v>3</v>
      </c>
      <c r="M1042" s="13" t="s">
        <v>3850</v>
      </c>
      <c r="N1042" s="13" t="s">
        <v>3851</v>
      </c>
      <c r="O1042" s="19" t="s">
        <v>3852</v>
      </c>
      <c r="P1042" s="2" t="s">
        <v>3853</v>
      </c>
      <c r="Q1042" s="2" t="s">
        <v>5133</v>
      </c>
      <c r="R1042" s="2" t="s">
        <v>875</v>
      </c>
      <c r="S1042" s="2" t="s">
        <v>121</v>
      </c>
      <c r="T1042" s="2">
        <v>635126</v>
      </c>
      <c r="U1042" s="2" t="s">
        <v>38</v>
      </c>
      <c r="V1042" s="2" t="s">
        <v>23</v>
      </c>
      <c r="W1042" s="2">
        <v>8</v>
      </c>
      <c r="X1042" s="2">
        <v>0</v>
      </c>
      <c r="Y1042" s="2">
        <v>1</v>
      </c>
      <c r="Z1042" s="2">
        <v>3</v>
      </c>
      <c r="AA1042" s="193" t="s">
        <v>4118</v>
      </c>
      <c r="AB1042" s="2"/>
    </row>
    <row r="1043" spans="1:28" ht="15" customHeight="1">
      <c r="A1043" s="16">
        <v>1042</v>
      </c>
      <c r="B1043" s="13" t="s">
        <v>3854</v>
      </c>
      <c r="C1043" s="14" t="str">
        <f>_xlfn.CONCAT(B1043&amp;" "&amp;W1043&amp;X1043&amp;Y1043&amp;Z1043)</f>
        <v>VMX-Hi Connectrors Pvt Ltd 8022</v>
      </c>
      <c r="D1043" s="17">
        <v>1123</v>
      </c>
      <c r="E1043" s="13" t="s">
        <v>3670</v>
      </c>
      <c r="F1043" s="13"/>
      <c r="G1043" s="28">
        <v>45450</v>
      </c>
      <c r="H1043" s="28"/>
      <c r="I1043" s="28"/>
      <c r="J1043" s="28">
        <v>45811</v>
      </c>
      <c r="K1043" s="26">
        <v>46175</v>
      </c>
      <c r="L1043" s="32">
        <v>3</v>
      </c>
      <c r="M1043" s="13" t="s">
        <v>2304</v>
      </c>
      <c r="N1043" s="13" t="s">
        <v>339</v>
      </c>
      <c r="O1043" s="19">
        <v>7022043409</v>
      </c>
      <c r="P1043" s="2" t="s">
        <v>2246</v>
      </c>
      <c r="Q1043" s="2" t="s">
        <v>5134</v>
      </c>
      <c r="R1043" s="2" t="s">
        <v>2305</v>
      </c>
      <c r="S1043" s="2" t="s">
        <v>198</v>
      </c>
      <c r="T1043" s="2">
        <v>562112</v>
      </c>
      <c r="U1043" s="2" t="s">
        <v>22</v>
      </c>
      <c r="V1043" s="2" t="s">
        <v>23</v>
      </c>
      <c r="W1043" s="2">
        <v>8</v>
      </c>
      <c r="X1043" s="2">
        <v>0</v>
      </c>
      <c r="Y1043" s="2">
        <v>2</v>
      </c>
      <c r="Z1043" s="2">
        <v>2</v>
      </c>
      <c r="AA1043" s="193" t="s">
        <v>4118</v>
      </c>
      <c r="AB1043" s="2"/>
    </row>
    <row r="1044" spans="1:28" ht="15" customHeight="1">
      <c r="A1044" s="16">
        <v>1043</v>
      </c>
      <c r="B1044" s="13" t="s">
        <v>3855</v>
      </c>
      <c r="C1044" s="14" t="str">
        <f>_xlfn.CONCAT(B1044&amp;" "&amp;W1044&amp;X1044&amp;Y1044&amp;Z1044)</f>
        <v>Eureka Extrusions and Finishers 8033</v>
      </c>
      <c r="D1044" s="17">
        <v>1139</v>
      </c>
      <c r="E1044" s="13" t="s">
        <v>42</v>
      </c>
      <c r="F1044" s="13"/>
      <c r="G1044" s="28">
        <v>45452</v>
      </c>
      <c r="H1044" s="28"/>
      <c r="I1044" s="28"/>
      <c r="J1044" s="26">
        <v>45816</v>
      </c>
      <c r="K1044" s="26">
        <v>46180</v>
      </c>
      <c r="L1044" s="32">
        <v>3</v>
      </c>
      <c r="M1044" s="13" t="s">
        <v>3856</v>
      </c>
      <c r="N1044" s="13"/>
      <c r="O1044" s="19">
        <v>7829770406</v>
      </c>
      <c r="P1044" s="2" t="s">
        <v>3857</v>
      </c>
      <c r="Q1044" s="2" t="s">
        <v>5135</v>
      </c>
      <c r="R1044" s="2"/>
      <c r="S1044" s="2" t="s">
        <v>275</v>
      </c>
      <c r="T1044" s="2">
        <v>571311</v>
      </c>
      <c r="U1044" s="2" t="s">
        <v>22</v>
      </c>
      <c r="V1044" s="2" t="s">
        <v>23</v>
      </c>
      <c r="W1044" s="2">
        <v>8</v>
      </c>
      <c r="X1044" s="2">
        <v>0</v>
      </c>
      <c r="Y1044" s="2">
        <v>3</v>
      </c>
      <c r="Z1044" s="2">
        <v>3</v>
      </c>
      <c r="AA1044" s="193" t="s">
        <v>4118</v>
      </c>
      <c r="AB1044" s="2"/>
    </row>
    <row r="1045" spans="1:28" ht="15" customHeight="1">
      <c r="A1045" s="16">
        <v>1044</v>
      </c>
      <c r="B1045" s="13" t="s">
        <v>3858</v>
      </c>
      <c r="C1045" s="14" t="str">
        <f>_xlfn.CONCAT(B1045&amp;" "&amp;W1045&amp;X1045&amp;Y1045&amp;Z1045)</f>
        <v>Lumax ALPS Alpine India Pvt Ltd 1111</v>
      </c>
      <c r="D1045" s="17">
        <v>1130</v>
      </c>
      <c r="E1045" s="13" t="s">
        <v>2082</v>
      </c>
      <c r="F1045" s="13"/>
      <c r="G1045" s="28">
        <v>45462</v>
      </c>
      <c r="H1045" s="28"/>
      <c r="I1045" s="28"/>
      <c r="J1045" s="26">
        <v>45824</v>
      </c>
      <c r="K1045" s="26">
        <v>46188</v>
      </c>
      <c r="L1045" s="32">
        <v>3</v>
      </c>
      <c r="M1045" s="13" t="s">
        <v>3859</v>
      </c>
      <c r="N1045" s="13"/>
      <c r="O1045" s="19">
        <v>9540936162</v>
      </c>
      <c r="P1045" s="2" t="s">
        <v>3860</v>
      </c>
      <c r="Q1045" s="2" t="s">
        <v>5136</v>
      </c>
      <c r="R1045" s="2" t="s">
        <v>3861</v>
      </c>
      <c r="S1045" s="2" t="s">
        <v>2314</v>
      </c>
      <c r="T1045" s="2">
        <v>122001</v>
      </c>
      <c r="U1045" s="2" t="s">
        <v>429</v>
      </c>
      <c r="V1045" s="2" t="s">
        <v>23</v>
      </c>
      <c r="W1045" s="2">
        <v>1</v>
      </c>
      <c r="X1045" s="2">
        <v>1</v>
      </c>
      <c r="Y1045" s="2">
        <v>1</v>
      </c>
      <c r="Z1045" s="2">
        <v>1</v>
      </c>
      <c r="AA1045" s="193" t="s">
        <v>4118</v>
      </c>
      <c r="AB1045" s="2"/>
    </row>
    <row r="1046" spans="1:28" ht="15" customHeight="1">
      <c r="A1046" s="16">
        <v>1045</v>
      </c>
      <c r="B1046" s="13" t="s">
        <v>3862</v>
      </c>
      <c r="C1046" s="14" t="str">
        <f>_xlfn.CONCAT(B1046&amp;" "&amp;W1046&amp;X1046&amp;Y1046&amp;Z1046)</f>
        <v>Ennovi Mobility Solutions India Pvt Ltd 8011</v>
      </c>
      <c r="D1046" s="17">
        <v>1134</v>
      </c>
      <c r="E1046" s="13" t="s">
        <v>90</v>
      </c>
      <c r="F1046" s="13"/>
      <c r="G1046" s="28">
        <v>45462</v>
      </c>
      <c r="H1046" s="28"/>
      <c r="I1046" s="28"/>
      <c r="J1046" s="26">
        <v>45462</v>
      </c>
      <c r="K1046" s="26">
        <v>45826</v>
      </c>
      <c r="L1046" s="32">
        <v>3</v>
      </c>
      <c r="M1046" s="13" t="s">
        <v>3863</v>
      </c>
      <c r="N1046" s="13"/>
      <c r="O1046" s="19">
        <v>7795275754</v>
      </c>
      <c r="P1046" s="2" t="s">
        <v>2343</v>
      </c>
      <c r="Q1046" s="2" t="s">
        <v>5137</v>
      </c>
      <c r="R1046" s="2" t="s">
        <v>1812</v>
      </c>
      <c r="S1046" s="2" t="s">
        <v>21</v>
      </c>
      <c r="T1046" s="2">
        <v>560100</v>
      </c>
      <c r="U1046" s="2" t="s">
        <v>22</v>
      </c>
      <c r="V1046" s="2" t="s">
        <v>3763</v>
      </c>
      <c r="W1046" s="2">
        <v>8</v>
      </c>
      <c r="X1046" s="2">
        <v>0</v>
      </c>
      <c r="Y1046" s="2">
        <v>1</v>
      </c>
      <c r="Z1046" s="2">
        <v>1</v>
      </c>
      <c r="AA1046" s="193" t="s">
        <v>4118</v>
      </c>
      <c r="AB1046" s="2"/>
    </row>
    <row r="1047" spans="1:28" ht="15" customHeight="1">
      <c r="A1047" s="16">
        <v>1046</v>
      </c>
      <c r="B1047" s="13" t="s">
        <v>3854</v>
      </c>
      <c r="C1047" s="14" t="str">
        <f>_xlfn.CONCAT(B1047&amp;" "&amp;W1047&amp;X1047&amp;Y1047&amp;Z1047)</f>
        <v>VMX-Hi Connectrors Pvt Ltd 8022</v>
      </c>
      <c r="D1047" s="17">
        <v>1124</v>
      </c>
      <c r="E1047" s="13" t="s">
        <v>3670</v>
      </c>
      <c r="F1047" s="13"/>
      <c r="G1047" s="28">
        <v>45469</v>
      </c>
      <c r="H1047" s="28"/>
      <c r="I1047" s="28"/>
      <c r="J1047" s="26">
        <v>45469</v>
      </c>
      <c r="K1047" s="26">
        <v>45833</v>
      </c>
      <c r="L1047" s="32">
        <v>3</v>
      </c>
      <c r="M1047" s="13" t="s">
        <v>2304</v>
      </c>
      <c r="N1047" s="13"/>
      <c r="O1047" s="19">
        <v>7022043409</v>
      </c>
      <c r="P1047" s="2" t="s">
        <v>3864</v>
      </c>
      <c r="Q1047" s="2" t="s">
        <v>5138</v>
      </c>
      <c r="R1047" s="2"/>
      <c r="S1047" s="2" t="s">
        <v>3865</v>
      </c>
      <c r="T1047" s="2">
        <v>682028</v>
      </c>
      <c r="U1047" s="2" t="s">
        <v>136</v>
      </c>
      <c r="V1047" s="2" t="s">
        <v>23</v>
      </c>
      <c r="W1047" s="2">
        <v>8</v>
      </c>
      <c r="X1047" s="2">
        <v>0</v>
      </c>
      <c r="Y1047" s="2">
        <v>2</v>
      </c>
      <c r="Z1047" s="2">
        <v>2</v>
      </c>
      <c r="AA1047" s="193" t="s">
        <v>4118</v>
      </c>
      <c r="AB1047" s="2"/>
    </row>
    <row r="1048" spans="1:28" ht="15" customHeight="1">
      <c r="A1048" s="16">
        <v>1047</v>
      </c>
      <c r="B1048" s="13" t="s">
        <v>3866</v>
      </c>
      <c r="C1048" s="14" t="str">
        <f>_xlfn.CONCAT(B1048&amp;" "&amp;W1048&amp;X1048&amp;Y1048&amp;Z1048)</f>
        <v>Astr Defence Pvt Ltd 8001</v>
      </c>
      <c r="D1048" s="17">
        <v>1140</v>
      </c>
      <c r="E1048" s="13" t="s">
        <v>42</v>
      </c>
      <c r="F1048" s="13"/>
      <c r="G1048" s="28">
        <v>45473</v>
      </c>
      <c r="H1048" s="28"/>
      <c r="I1048" s="28"/>
      <c r="J1048" s="26">
        <v>45473</v>
      </c>
      <c r="K1048" s="26">
        <v>45837</v>
      </c>
      <c r="L1048" s="32">
        <v>3</v>
      </c>
      <c r="M1048" s="13" t="s">
        <v>3867</v>
      </c>
      <c r="N1048" s="13" t="s">
        <v>3868</v>
      </c>
      <c r="O1048" s="19" t="s">
        <v>3869</v>
      </c>
      <c r="P1048" s="2" t="s">
        <v>3870</v>
      </c>
      <c r="Q1048" s="2" t="s">
        <v>5139</v>
      </c>
      <c r="R1048" s="2"/>
      <c r="S1048" s="2" t="s">
        <v>3871</v>
      </c>
      <c r="T1048" s="2">
        <v>581204</v>
      </c>
      <c r="U1048" s="2" t="s">
        <v>22</v>
      </c>
      <c r="V1048" s="2" t="s">
        <v>23</v>
      </c>
      <c r="W1048" s="2">
        <v>8</v>
      </c>
      <c r="X1048" s="2">
        <v>0</v>
      </c>
      <c r="Y1048" s="2">
        <v>0</v>
      </c>
      <c r="Z1048" s="2">
        <v>1</v>
      </c>
      <c r="AA1048" s="193" t="s">
        <v>4118</v>
      </c>
      <c r="AB1048" s="2"/>
    </row>
    <row r="1049" spans="1:28" ht="15" customHeight="1">
      <c r="A1049" s="16">
        <v>1048</v>
      </c>
      <c r="B1049" s="13" t="s">
        <v>3872</v>
      </c>
      <c r="C1049" s="14" t="str">
        <f>_xlfn.CONCAT(B1049&amp;" "&amp;W1049&amp;X1049&amp;Y1049&amp;Z1049)</f>
        <v>Wipro Enterprises Pvt Ltd 8071</v>
      </c>
      <c r="D1049" s="17">
        <v>1136</v>
      </c>
      <c r="E1049" s="13" t="s">
        <v>90</v>
      </c>
      <c r="F1049" s="13"/>
      <c r="G1049" s="28">
        <v>45478</v>
      </c>
      <c r="H1049" s="28"/>
      <c r="I1049" s="28"/>
      <c r="J1049" s="26">
        <v>45833</v>
      </c>
      <c r="K1049" s="26">
        <v>46197</v>
      </c>
      <c r="L1049" s="32">
        <v>3</v>
      </c>
      <c r="M1049" s="13" t="s">
        <v>3873</v>
      </c>
      <c r="N1049" s="13" t="s">
        <v>3874</v>
      </c>
      <c r="O1049" s="19">
        <v>9739180698</v>
      </c>
      <c r="P1049" s="2" t="s">
        <v>3875</v>
      </c>
      <c r="Q1049" s="2" t="s">
        <v>5140</v>
      </c>
      <c r="R1049" s="2"/>
      <c r="S1049" s="2" t="s">
        <v>21</v>
      </c>
      <c r="T1049" s="2">
        <v>562129</v>
      </c>
      <c r="U1049" s="2" t="s">
        <v>22</v>
      </c>
      <c r="V1049" s="2" t="s">
        <v>23</v>
      </c>
      <c r="W1049" s="2">
        <v>8</v>
      </c>
      <c r="X1049" s="2">
        <v>0</v>
      </c>
      <c r="Y1049" s="2">
        <v>7</v>
      </c>
      <c r="Z1049" s="2">
        <v>1</v>
      </c>
      <c r="AA1049" s="193" t="s">
        <v>4118</v>
      </c>
      <c r="AB1049" s="2"/>
    </row>
    <row r="1050" spans="1:28" ht="15" customHeight="1">
      <c r="A1050" s="16">
        <v>1049</v>
      </c>
      <c r="B1050" s="13" t="s">
        <v>3876</v>
      </c>
      <c r="C1050" s="14" t="str">
        <f>_xlfn.CONCAT(B1050&amp;" "&amp;W1050&amp;X1050&amp;Y1050&amp;Z1050)</f>
        <v>Bhavani Machining Solutions Pvt Ltd 8011</v>
      </c>
      <c r="D1050" s="17">
        <v>1141</v>
      </c>
      <c r="E1050" s="13" t="s">
        <v>42</v>
      </c>
      <c r="F1050" s="13"/>
      <c r="G1050" s="28">
        <v>45484</v>
      </c>
      <c r="H1050" s="28"/>
      <c r="I1050" s="28"/>
      <c r="J1050" s="26">
        <v>45484</v>
      </c>
      <c r="K1050" s="26">
        <v>45848</v>
      </c>
      <c r="L1050" s="32">
        <v>3</v>
      </c>
      <c r="M1050" s="13" t="s">
        <v>3700</v>
      </c>
      <c r="N1050" s="13"/>
      <c r="O1050" s="19">
        <v>9840624198</v>
      </c>
      <c r="P1050" s="2" t="s">
        <v>3877</v>
      </c>
      <c r="Q1050" s="2" t="s">
        <v>5141</v>
      </c>
      <c r="R1050" s="2" t="s">
        <v>3878</v>
      </c>
      <c r="S1050" s="2" t="s">
        <v>21</v>
      </c>
      <c r="T1050" s="2">
        <v>560100</v>
      </c>
      <c r="U1050" s="2" t="s">
        <v>22</v>
      </c>
      <c r="V1050" s="2" t="s">
        <v>23</v>
      </c>
      <c r="W1050" s="2">
        <v>8</v>
      </c>
      <c r="X1050" s="2">
        <v>0</v>
      </c>
      <c r="Y1050" s="2">
        <v>1</v>
      </c>
      <c r="Z1050" s="2">
        <v>1</v>
      </c>
      <c r="AA1050" s="193" t="s">
        <v>4118</v>
      </c>
      <c r="AB1050" s="2"/>
    </row>
    <row r="1051" spans="1:28" ht="15" customHeight="1">
      <c r="A1051" s="16">
        <v>1050</v>
      </c>
      <c r="B1051" s="13" t="s">
        <v>3879</v>
      </c>
      <c r="C1051" s="14" t="str">
        <f>_xlfn.CONCAT(B1051&amp;" "&amp;W1051&amp;X1051&amp;Y1051&amp;Z1051)</f>
        <v>Siddhatva Engg Pvt Ltd 2421</v>
      </c>
      <c r="D1051" s="17">
        <v>1137</v>
      </c>
      <c r="E1051" s="13" t="s">
        <v>90</v>
      </c>
      <c r="F1051" s="13"/>
      <c r="G1051" s="28">
        <v>45498</v>
      </c>
      <c r="H1051" s="28"/>
      <c r="I1051" s="28"/>
      <c r="J1051" s="26">
        <v>45498</v>
      </c>
      <c r="K1051" s="26">
        <v>45862</v>
      </c>
      <c r="L1051" s="32">
        <v>3</v>
      </c>
      <c r="M1051" s="13" t="s">
        <v>3880</v>
      </c>
      <c r="N1051" s="13" t="s">
        <v>17</v>
      </c>
      <c r="O1051" s="19">
        <v>7829817971</v>
      </c>
      <c r="P1051" s="2" t="s">
        <v>3881</v>
      </c>
      <c r="Q1051" s="2" t="s">
        <v>5142</v>
      </c>
      <c r="R1051" s="2" t="s">
        <v>3882</v>
      </c>
      <c r="S1051" s="2" t="s">
        <v>215</v>
      </c>
      <c r="T1051" s="2">
        <v>410501</v>
      </c>
      <c r="U1051" s="2" t="s">
        <v>172</v>
      </c>
      <c r="V1051" s="2" t="s">
        <v>23</v>
      </c>
      <c r="W1051" s="2">
        <v>2</v>
      </c>
      <c r="X1051" s="2">
        <v>4</v>
      </c>
      <c r="Y1051" s="2">
        <v>2</v>
      </c>
      <c r="Z1051" s="2">
        <v>1</v>
      </c>
      <c r="AA1051" s="193" t="s">
        <v>4151</v>
      </c>
      <c r="AB1051" s="2"/>
    </row>
    <row r="1052" spans="1:28" ht="15" customHeight="1">
      <c r="A1052" s="16">
        <v>1051</v>
      </c>
      <c r="B1052" s="13" t="s">
        <v>3883</v>
      </c>
      <c r="C1052" s="14" t="str">
        <f>_xlfn.CONCAT(B1052&amp;" "&amp;W1052&amp;X1052&amp;Y1052&amp;Z1052)</f>
        <v>BRS Precision Manufacturing Pvt. Ltd., 8022</v>
      </c>
      <c r="D1052" s="17">
        <v>1143</v>
      </c>
      <c r="E1052" s="13" t="s">
        <v>42</v>
      </c>
      <c r="F1052" s="13"/>
      <c r="G1052" s="28">
        <v>45498</v>
      </c>
      <c r="H1052" s="28"/>
      <c r="I1052" s="28"/>
      <c r="J1052" s="26">
        <v>45498</v>
      </c>
      <c r="K1052" s="26">
        <v>45862</v>
      </c>
      <c r="L1052" s="32">
        <v>3</v>
      </c>
      <c r="M1052" s="13" t="s">
        <v>3779</v>
      </c>
      <c r="N1052" s="13"/>
      <c r="O1052" s="19">
        <v>8748013801</v>
      </c>
      <c r="P1052" s="2" t="s">
        <v>2246</v>
      </c>
      <c r="Q1052" s="2" t="s">
        <v>5143</v>
      </c>
      <c r="R1052" s="2" t="s">
        <v>3884</v>
      </c>
      <c r="S1052" s="2" t="s">
        <v>1269</v>
      </c>
      <c r="T1052" s="2">
        <v>562112</v>
      </c>
      <c r="U1052" s="2" t="s">
        <v>22</v>
      </c>
      <c r="V1052" s="2" t="s">
        <v>23</v>
      </c>
      <c r="W1052" s="2">
        <v>8</v>
      </c>
      <c r="X1052" s="2">
        <v>0</v>
      </c>
      <c r="Y1052" s="2">
        <v>2</v>
      </c>
      <c r="Z1052" s="2">
        <v>2</v>
      </c>
      <c r="AA1052" s="193" t="s">
        <v>4118</v>
      </c>
      <c r="AB1052" s="2"/>
    </row>
    <row r="1053" spans="1:28" ht="15" customHeight="1">
      <c r="A1053" s="16">
        <v>1052</v>
      </c>
      <c r="B1053" s="13" t="s">
        <v>3885</v>
      </c>
      <c r="C1053" s="14" t="str">
        <f>_xlfn.CONCAT(B1053&amp;" "&amp;W1053&amp;X1053&amp;Y1053&amp;Z1053)</f>
        <v>Hulgol Aerospace Private Limited 8051</v>
      </c>
      <c r="D1053" s="17">
        <v>1142</v>
      </c>
      <c r="E1053" s="13" t="s">
        <v>42</v>
      </c>
      <c r="F1053" s="13"/>
      <c r="G1053" s="28">
        <v>45499</v>
      </c>
      <c r="H1053" s="28"/>
      <c r="I1053" s="28"/>
      <c r="J1053" s="26">
        <v>45499</v>
      </c>
      <c r="K1053" s="26">
        <v>45863</v>
      </c>
      <c r="L1053" s="32">
        <v>3</v>
      </c>
      <c r="M1053" s="13" t="s">
        <v>1510</v>
      </c>
      <c r="N1053" s="13"/>
      <c r="O1053" s="19">
        <v>9900433608</v>
      </c>
      <c r="P1053" s="2" t="s">
        <v>3886</v>
      </c>
      <c r="Q1053" s="2" t="s">
        <v>5144</v>
      </c>
      <c r="R1053" s="2" t="s">
        <v>3887</v>
      </c>
      <c r="S1053" s="2" t="s">
        <v>21</v>
      </c>
      <c r="T1053" s="2">
        <v>560091</v>
      </c>
      <c r="U1053" s="2" t="s">
        <v>22</v>
      </c>
      <c r="V1053" s="2" t="s">
        <v>23</v>
      </c>
      <c r="W1053" s="2">
        <v>8</v>
      </c>
      <c r="X1053" s="2">
        <v>0</v>
      </c>
      <c r="Y1053" s="2">
        <v>5</v>
      </c>
      <c r="Z1053" s="2">
        <v>1</v>
      </c>
      <c r="AA1053" s="193" t="s">
        <v>4118</v>
      </c>
      <c r="AB1053" s="2"/>
    </row>
    <row r="1054" spans="1:28" ht="15" customHeight="1">
      <c r="A1054" s="16">
        <v>1053</v>
      </c>
      <c r="B1054" s="13" t="s">
        <v>3888</v>
      </c>
      <c r="C1054" s="14" t="str">
        <f>_xlfn.CONCAT(B1054&amp;" "&amp;W1054&amp;X1054&amp;Y1054&amp;Z1054)</f>
        <v>Bosch Ltd 4031</v>
      </c>
      <c r="D1054" s="17">
        <v>1152</v>
      </c>
      <c r="E1054" s="13" t="s">
        <v>3391</v>
      </c>
      <c r="F1054" s="13"/>
      <c r="G1054" s="28">
        <v>45502</v>
      </c>
      <c r="H1054" s="28"/>
      <c r="I1054" s="28"/>
      <c r="J1054" s="26">
        <v>45866</v>
      </c>
      <c r="K1054" s="26">
        <v>46230</v>
      </c>
      <c r="L1054" s="32">
        <v>3</v>
      </c>
      <c r="M1054" s="13" t="s">
        <v>3889</v>
      </c>
      <c r="N1054" s="13"/>
      <c r="O1054" s="19">
        <v>8939865344</v>
      </c>
      <c r="P1054" s="2" t="s">
        <v>743</v>
      </c>
      <c r="Q1054" s="2" t="s">
        <v>5145</v>
      </c>
      <c r="R1054" s="2" t="s">
        <v>3890</v>
      </c>
      <c r="S1054" s="2" t="s">
        <v>2503</v>
      </c>
      <c r="T1054" s="2">
        <v>602105</v>
      </c>
      <c r="U1054" s="2" t="s">
        <v>38</v>
      </c>
      <c r="V1054" s="2" t="s">
        <v>23</v>
      </c>
      <c r="W1054" s="2">
        <v>4</v>
      </c>
      <c r="X1054" s="2">
        <v>0</v>
      </c>
      <c r="Y1054" s="2">
        <v>3</v>
      </c>
      <c r="Z1054" s="2">
        <v>1</v>
      </c>
      <c r="AA1054" s="193" t="s">
        <v>4148</v>
      </c>
      <c r="AB1054" s="2"/>
    </row>
    <row r="1055" spans="1:28" ht="15" customHeight="1">
      <c r="A1055" s="16">
        <v>1054</v>
      </c>
      <c r="B1055" s="13" t="s">
        <v>3575</v>
      </c>
      <c r="C1055" s="14" t="str">
        <f>_xlfn.CONCAT(B1055&amp;" "&amp;W1055&amp;X1055&amp;Y1055&amp;Z1055)</f>
        <v>MARS Electronics  8022</v>
      </c>
      <c r="D1055" s="17">
        <v>373</v>
      </c>
      <c r="E1055" s="13" t="s">
        <v>3891</v>
      </c>
      <c r="F1055" s="13"/>
      <c r="G1055" s="28">
        <v>45523</v>
      </c>
      <c r="H1055" s="28"/>
      <c r="I1055" s="28"/>
      <c r="J1055" s="26">
        <v>45523</v>
      </c>
      <c r="K1055" s="26">
        <v>45887</v>
      </c>
      <c r="L1055" s="32">
        <v>3</v>
      </c>
      <c r="M1055" s="13" t="s">
        <v>3892</v>
      </c>
      <c r="N1055" s="13"/>
      <c r="O1055" s="19">
        <v>7022043400</v>
      </c>
      <c r="P1055" s="2" t="s">
        <v>2325</v>
      </c>
      <c r="Q1055" s="2" t="s">
        <v>5044</v>
      </c>
      <c r="R1055" s="2" t="s">
        <v>3203</v>
      </c>
      <c r="S1055" s="2" t="s">
        <v>21</v>
      </c>
      <c r="T1055" s="2">
        <v>560062</v>
      </c>
      <c r="U1055" s="2" t="s">
        <v>22</v>
      </c>
      <c r="V1055" s="2" t="s">
        <v>23</v>
      </c>
      <c r="W1055" s="2">
        <v>8</v>
      </c>
      <c r="X1055" s="2">
        <v>0</v>
      </c>
      <c r="Y1055" s="2">
        <v>2</v>
      </c>
      <c r="Z1055" s="2">
        <v>2</v>
      </c>
      <c r="AA1055" s="193" t="s">
        <v>4118</v>
      </c>
      <c r="AB1055" s="2"/>
    </row>
    <row r="1056" spans="1:28" ht="15" customHeight="1">
      <c r="A1056" s="16">
        <v>1055</v>
      </c>
      <c r="B1056" s="13" t="s">
        <v>3893</v>
      </c>
      <c r="C1056" s="14" t="str">
        <f>_xlfn.CONCAT(B1056&amp;" "&amp;W1056&amp;X1056&amp;Y1056&amp;Z1056)</f>
        <v>Sinhal Udyog Pvt Ltd 1152</v>
      </c>
      <c r="D1056" s="17">
        <v>1131</v>
      </c>
      <c r="E1056" s="13" t="s">
        <v>3359</v>
      </c>
      <c r="F1056" s="13"/>
      <c r="G1056" s="28">
        <v>45527</v>
      </c>
      <c r="H1056" s="28"/>
      <c r="I1056" s="28"/>
      <c r="J1056" s="26">
        <v>45527</v>
      </c>
      <c r="K1056" s="26">
        <v>45891</v>
      </c>
      <c r="L1056" s="32">
        <v>3</v>
      </c>
      <c r="M1056" s="13" t="s">
        <v>3894</v>
      </c>
      <c r="N1056" s="13"/>
      <c r="O1056" s="19" t="s">
        <v>3895</v>
      </c>
      <c r="P1056" s="2" t="s">
        <v>2484</v>
      </c>
      <c r="Q1056" s="2" t="s">
        <v>5146</v>
      </c>
      <c r="R1056" s="2"/>
      <c r="S1056" s="2" t="s">
        <v>2201</v>
      </c>
      <c r="T1056" s="2">
        <v>201306</v>
      </c>
      <c r="U1056" s="2" t="s">
        <v>184</v>
      </c>
      <c r="V1056" s="2" t="s">
        <v>23</v>
      </c>
      <c r="W1056" s="2">
        <v>1</v>
      </c>
      <c r="X1056" s="2">
        <v>1</v>
      </c>
      <c r="Y1056" s="2">
        <v>5</v>
      </c>
      <c r="Z1056" s="2">
        <v>2</v>
      </c>
      <c r="AA1056" s="193" t="s">
        <v>4118</v>
      </c>
      <c r="AB1056" s="2"/>
    </row>
    <row r="1057" spans="1:28" ht="15" customHeight="1">
      <c r="A1057" s="16">
        <v>1056</v>
      </c>
      <c r="B1057" s="13" t="s">
        <v>3896</v>
      </c>
      <c r="C1057" s="14" t="str">
        <f>_xlfn.CONCAT(B1057&amp;" "&amp;W1057&amp;X1057&amp;Y1057&amp;Z1057)</f>
        <v>Elcko Mould Centre (Kads Engg Solutions) 4103</v>
      </c>
      <c r="D1057" s="17">
        <v>1153</v>
      </c>
      <c r="E1057" s="13" t="s">
        <v>42</v>
      </c>
      <c r="F1057" s="13"/>
      <c r="G1057" s="28">
        <v>45529</v>
      </c>
      <c r="H1057" s="28"/>
      <c r="I1057" s="28"/>
      <c r="J1057" s="26">
        <v>45529</v>
      </c>
      <c r="K1057" s="26">
        <v>45893</v>
      </c>
      <c r="L1057" s="32">
        <v>3</v>
      </c>
      <c r="M1057" s="13" t="s">
        <v>3897</v>
      </c>
      <c r="N1057" s="13"/>
      <c r="O1057" s="19">
        <v>7012868648</v>
      </c>
      <c r="P1057" s="2" t="s">
        <v>3898</v>
      </c>
      <c r="Q1057" s="2" t="s">
        <v>5147</v>
      </c>
      <c r="R1057" s="2"/>
      <c r="S1057" s="2" t="s">
        <v>3899</v>
      </c>
      <c r="T1057" s="2">
        <v>690502</v>
      </c>
      <c r="U1057" s="2" t="s">
        <v>136</v>
      </c>
      <c r="V1057" s="2" t="s">
        <v>23</v>
      </c>
      <c r="W1057" s="2">
        <v>4</v>
      </c>
      <c r="X1057" s="2">
        <v>1</v>
      </c>
      <c r="Y1057" s="2">
        <v>0</v>
      </c>
      <c r="Z1057" s="2">
        <v>3</v>
      </c>
      <c r="AA1057" s="193" t="s">
        <v>4148</v>
      </c>
      <c r="AB1057" s="2"/>
    </row>
    <row r="1058" spans="1:28" ht="15" customHeight="1">
      <c r="A1058" s="16">
        <v>1057</v>
      </c>
      <c r="B1058" s="13" t="s">
        <v>3900</v>
      </c>
      <c r="C1058" s="14" t="str">
        <f>_xlfn.CONCAT(B1058&amp;" "&amp;W1058&amp;X1058&amp;Y1058&amp;Z1058)</f>
        <v>Brukar Metal Components Pvt Ltd 8023</v>
      </c>
      <c r="D1058" s="17">
        <v>1125</v>
      </c>
      <c r="E1058" s="13" t="s">
        <v>3670</v>
      </c>
      <c r="F1058" s="13"/>
      <c r="G1058" s="28">
        <v>45530</v>
      </c>
      <c r="H1058" s="28"/>
      <c r="I1058" s="28"/>
      <c r="J1058" s="26">
        <v>45530</v>
      </c>
      <c r="K1058" s="26">
        <v>45894</v>
      </c>
      <c r="L1058" s="32">
        <v>3</v>
      </c>
      <c r="M1058" s="13" t="s">
        <v>3901</v>
      </c>
      <c r="N1058" s="13" t="s">
        <v>3902</v>
      </c>
      <c r="O1058" s="19" t="s">
        <v>3903</v>
      </c>
      <c r="P1058" s="2" t="s">
        <v>3904</v>
      </c>
      <c r="Q1058" s="2" t="s">
        <v>5148</v>
      </c>
      <c r="R1058" s="2" t="s">
        <v>3905</v>
      </c>
      <c r="S1058" s="2" t="s">
        <v>21</v>
      </c>
      <c r="T1058" s="2">
        <v>560062</v>
      </c>
      <c r="U1058" s="2" t="s">
        <v>22</v>
      </c>
      <c r="V1058" s="2" t="s">
        <v>23</v>
      </c>
      <c r="W1058" s="2">
        <v>8</v>
      </c>
      <c r="X1058" s="2">
        <v>0</v>
      </c>
      <c r="Y1058" s="2">
        <v>2</v>
      </c>
      <c r="Z1058" s="2">
        <v>3</v>
      </c>
      <c r="AA1058" s="193" t="s">
        <v>4118</v>
      </c>
      <c r="AB1058" s="2"/>
    </row>
    <row r="1059" spans="1:28" ht="15" customHeight="1">
      <c r="A1059" s="16">
        <v>1058</v>
      </c>
      <c r="B1059" s="13" t="s">
        <v>3906</v>
      </c>
      <c r="C1059" s="14" t="str">
        <f>_xlfn.CONCAT(B1059&amp;" "&amp;W1059&amp;X1059&amp;Y1059&amp;Z1059)</f>
        <v>Spark Engineers 8013</v>
      </c>
      <c r="D1059" s="17">
        <v>1145</v>
      </c>
      <c r="E1059" s="13" t="s">
        <v>90</v>
      </c>
      <c r="F1059" s="13"/>
      <c r="G1059" s="28">
        <v>45531</v>
      </c>
      <c r="H1059" s="28"/>
      <c r="I1059" s="28"/>
      <c r="J1059" s="26">
        <v>45531</v>
      </c>
      <c r="K1059" s="26">
        <v>45895</v>
      </c>
      <c r="L1059" s="32">
        <v>3</v>
      </c>
      <c r="M1059" s="13" t="s">
        <v>3907</v>
      </c>
      <c r="N1059" s="13" t="s">
        <v>3908</v>
      </c>
      <c r="O1059" s="19">
        <v>7339145963</v>
      </c>
      <c r="P1059" s="2" t="s">
        <v>1312</v>
      </c>
      <c r="Q1059" s="2" t="s">
        <v>5149</v>
      </c>
      <c r="R1059" s="2"/>
      <c r="S1059" s="2" t="s">
        <v>121</v>
      </c>
      <c r="T1059" s="2">
        <v>635109</v>
      </c>
      <c r="U1059" s="2" t="s">
        <v>38</v>
      </c>
      <c r="V1059" s="2" t="s">
        <v>23</v>
      </c>
      <c r="W1059" s="2">
        <v>8</v>
      </c>
      <c r="X1059" s="2">
        <v>0</v>
      </c>
      <c r="Y1059" s="2">
        <v>1</v>
      </c>
      <c r="Z1059" s="2">
        <v>3</v>
      </c>
      <c r="AA1059" s="193" t="s">
        <v>4118</v>
      </c>
      <c r="AB1059" s="2"/>
    </row>
    <row r="1060" spans="1:28" ht="15" customHeight="1">
      <c r="A1060" s="16">
        <v>1059</v>
      </c>
      <c r="B1060" s="13" t="s">
        <v>3909</v>
      </c>
      <c r="C1060" s="14" t="str">
        <f>_xlfn.CONCAT(B1060&amp;" "&amp;W1060&amp;X1060&amp;Y1060&amp;Z1060)</f>
        <v>Rollon Hydraulics Pvt Ltd 8051</v>
      </c>
      <c r="D1060" s="17">
        <v>1144</v>
      </c>
      <c r="E1060" s="13" t="s">
        <v>90</v>
      </c>
      <c r="F1060" s="13"/>
      <c r="G1060" s="28">
        <v>45532</v>
      </c>
      <c r="H1060" s="28"/>
      <c r="I1060" s="28"/>
      <c r="J1060" s="26">
        <v>45532</v>
      </c>
      <c r="K1060" s="26">
        <v>45896</v>
      </c>
      <c r="L1060" s="32">
        <v>3</v>
      </c>
      <c r="M1060" s="13" t="s">
        <v>3910</v>
      </c>
      <c r="N1060" s="13"/>
      <c r="O1060" s="19">
        <v>9986650213</v>
      </c>
      <c r="P1060" s="2" t="s">
        <v>3911</v>
      </c>
      <c r="Q1060" s="2" t="s">
        <v>5150</v>
      </c>
      <c r="R1060" s="2" t="s">
        <v>1512</v>
      </c>
      <c r="S1060" s="2" t="s">
        <v>21</v>
      </c>
      <c r="T1060" s="2">
        <v>560058</v>
      </c>
      <c r="U1060" s="2" t="s">
        <v>38</v>
      </c>
      <c r="V1060" s="2" t="s">
        <v>23</v>
      </c>
      <c r="W1060" s="2">
        <v>8</v>
      </c>
      <c r="X1060" s="2">
        <v>0</v>
      </c>
      <c r="Y1060" s="2">
        <v>5</v>
      </c>
      <c r="Z1060" s="2">
        <v>1</v>
      </c>
      <c r="AA1060" s="193" t="s">
        <v>4118</v>
      </c>
      <c r="AB1060" s="2"/>
    </row>
    <row r="1061" spans="1:28" ht="15" customHeight="1">
      <c r="A1061" s="16">
        <v>1060</v>
      </c>
      <c r="B1061" s="13" t="s">
        <v>3912</v>
      </c>
      <c r="C1061" s="14" t="str">
        <f>_xlfn.CONCAT(B1061&amp;" "&amp;W1061&amp;X1061&amp;Y1061&amp;Z1061)</f>
        <v>Multitek Auto Parts 8061</v>
      </c>
      <c r="D1061" s="17">
        <v>1154</v>
      </c>
      <c r="E1061" s="13" t="s">
        <v>42</v>
      </c>
      <c r="F1061" s="13"/>
      <c r="G1061" s="28">
        <v>45532</v>
      </c>
      <c r="H1061" s="28"/>
      <c r="I1061" s="28"/>
      <c r="J1061" s="26">
        <v>45532</v>
      </c>
      <c r="K1061" s="26">
        <v>45896</v>
      </c>
      <c r="L1061" s="32">
        <v>3</v>
      </c>
      <c r="M1061" s="13" t="s">
        <v>3913</v>
      </c>
      <c r="N1061" s="13"/>
      <c r="O1061" s="19">
        <v>7619158707</v>
      </c>
      <c r="P1061" s="2" t="s">
        <v>2267</v>
      </c>
      <c r="Q1061" s="2" t="s">
        <v>5151</v>
      </c>
      <c r="R1061" s="2" t="s">
        <v>3914</v>
      </c>
      <c r="S1061" s="2" t="s">
        <v>749</v>
      </c>
      <c r="T1061" s="2">
        <v>561203</v>
      </c>
      <c r="U1061" s="2" t="s">
        <v>22</v>
      </c>
      <c r="V1061" s="2" t="s">
        <v>23</v>
      </c>
      <c r="W1061" s="2">
        <v>8</v>
      </c>
      <c r="X1061" s="2">
        <v>0</v>
      </c>
      <c r="Y1061" s="2">
        <v>6</v>
      </c>
      <c r="Z1061" s="2">
        <v>1</v>
      </c>
      <c r="AA1061" s="193" t="s">
        <v>4118</v>
      </c>
      <c r="AB1061" s="2"/>
    </row>
    <row r="1062" spans="1:28" ht="15" customHeight="1">
      <c r="A1062" s="16">
        <v>1061</v>
      </c>
      <c r="B1062" s="13" t="s">
        <v>3915</v>
      </c>
      <c r="C1062" s="14" t="str">
        <f>_xlfn.CONCAT(B1062&amp;" "&amp;W1062&amp;X1062&amp;Y1062&amp;Z1062)</f>
        <v>Voltkon Switchgear Pvt Ltd 1152</v>
      </c>
      <c r="D1062" s="17">
        <v>1155</v>
      </c>
      <c r="E1062" s="13" t="s">
        <v>42</v>
      </c>
      <c r="F1062" s="13"/>
      <c r="G1062" s="28">
        <v>45546</v>
      </c>
      <c r="H1062" s="28"/>
      <c r="I1062" s="28"/>
      <c r="J1062" s="26">
        <v>45546</v>
      </c>
      <c r="K1062" s="26">
        <v>45910</v>
      </c>
      <c r="L1062" s="32">
        <v>3</v>
      </c>
      <c r="M1062" s="13" t="s">
        <v>3916</v>
      </c>
      <c r="N1062" s="13"/>
      <c r="O1062" s="19">
        <v>9108015957</v>
      </c>
      <c r="P1062" s="2" t="s">
        <v>3917</v>
      </c>
      <c r="Q1062" s="2" t="s">
        <v>5152</v>
      </c>
      <c r="R1062" s="2"/>
      <c r="S1062" s="2" t="s">
        <v>2201</v>
      </c>
      <c r="T1062" s="2">
        <v>201308</v>
      </c>
      <c r="U1062" s="2" t="s">
        <v>184</v>
      </c>
      <c r="V1062" s="2" t="s">
        <v>23</v>
      </c>
      <c r="W1062" s="2">
        <v>1</v>
      </c>
      <c r="X1062" s="2">
        <v>1</v>
      </c>
      <c r="Y1062" s="2">
        <v>5</v>
      </c>
      <c r="Z1062" s="2">
        <v>2</v>
      </c>
      <c r="AA1062" s="193" t="s">
        <v>4118</v>
      </c>
      <c r="AB1062" s="2"/>
    </row>
    <row r="1063" spans="1:28" ht="15" customHeight="1">
      <c r="A1063" s="16">
        <v>1062</v>
      </c>
      <c r="B1063" s="13" t="s">
        <v>3607</v>
      </c>
      <c r="C1063" s="14" t="str">
        <f>_xlfn.CONCAT(B1063&amp;" "&amp;W1063&amp;X1063&amp;Y1063&amp;Z1063)</f>
        <v>Schneider Electric India Pvt Ltd  2431</v>
      </c>
      <c r="D1063" s="17">
        <v>1146</v>
      </c>
      <c r="E1063" s="13" t="s">
        <v>90</v>
      </c>
      <c r="F1063" s="13"/>
      <c r="G1063" s="28">
        <v>45580</v>
      </c>
      <c r="H1063" s="28"/>
      <c r="I1063" s="28"/>
      <c r="J1063" s="26">
        <v>45580</v>
      </c>
      <c r="K1063" s="26">
        <v>45944</v>
      </c>
      <c r="L1063" s="32">
        <v>3</v>
      </c>
      <c r="M1063" s="13" t="s">
        <v>3918</v>
      </c>
      <c r="N1063" s="13"/>
      <c r="O1063" s="19">
        <v>9922602756</v>
      </c>
      <c r="P1063" s="2" t="s">
        <v>3919</v>
      </c>
      <c r="Q1063" s="2" t="s">
        <v>5153</v>
      </c>
      <c r="R1063" s="2" t="s">
        <v>3920</v>
      </c>
      <c r="S1063" s="2" t="s">
        <v>1421</v>
      </c>
      <c r="T1063" s="2">
        <v>414111</v>
      </c>
      <c r="U1063" s="2" t="s">
        <v>172</v>
      </c>
      <c r="V1063" s="2" t="s">
        <v>23</v>
      </c>
      <c r="W1063" s="2">
        <v>2</v>
      </c>
      <c r="X1063" s="2">
        <v>4</v>
      </c>
      <c r="Y1063" s="2">
        <v>3</v>
      </c>
      <c r="Z1063" s="2">
        <v>1</v>
      </c>
      <c r="AA1063" s="193" t="s">
        <v>4151</v>
      </c>
      <c r="AB1063" s="2"/>
    </row>
    <row r="1064" spans="1:28" ht="15" customHeight="1">
      <c r="A1064" s="16">
        <v>1063</v>
      </c>
      <c r="B1064" s="13" t="s">
        <v>3607</v>
      </c>
      <c r="C1064" s="14" t="str">
        <f>_xlfn.CONCAT(B1064&amp;" "&amp;W1064&amp;X1064&amp;Y1064&amp;Z1064)</f>
        <v>Schneider Electric India Pvt Ltd  2431</v>
      </c>
      <c r="D1064" s="17">
        <v>1147</v>
      </c>
      <c r="E1064" s="13" t="s">
        <v>90</v>
      </c>
      <c r="F1064" s="13"/>
      <c r="G1064" s="28">
        <v>45580</v>
      </c>
      <c r="H1064" s="28"/>
      <c r="I1064" s="28"/>
      <c r="J1064" s="26">
        <v>45580</v>
      </c>
      <c r="K1064" s="26">
        <v>45944</v>
      </c>
      <c r="L1064" s="32">
        <v>3</v>
      </c>
      <c r="M1064" s="13" t="s">
        <v>3918</v>
      </c>
      <c r="N1064" s="13"/>
      <c r="O1064" s="19">
        <v>9922602756</v>
      </c>
      <c r="P1064" s="2" t="s">
        <v>3919</v>
      </c>
      <c r="Q1064" s="2" t="s">
        <v>5153</v>
      </c>
      <c r="R1064" s="2" t="s">
        <v>3920</v>
      </c>
      <c r="S1064" s="2" t="s">
        <v>1421</v>
      </c>
      <c r="T1064" s="2">
        <v>414111</v>
      </c>
      <c r="U1064" s="2" t="s">
        <v>172</v>
      </c>
      <c r="V1064" s="2" t="s">
        <v>23</v>
      </c>
      <c r="W1064" s="2">
        <v>2</v>
      </c>
      <c r="X1064" s="2">
        <v>4</v>
      </c>
      <c r="Y1064" s="2">
        <v>3</v>
      </c>
      <c r="Z1064" s="2">
        <v>1</v>
      </c>
      <c r="AA1064" s="193" t="s">
        <v>4151</v>
      </c>
      <c r="AB1064" s="2"/>
    </row>
    <row r="1065" spans="1:28" ht="15" customHeight="1">
      <c r="A1065" s="16">
        <v>1064</v>
      </c>
      <c r="B1065" s="13" t="s">
        <v>3921</v>
      </c>
      <c r="C1065" s="14" t="str">
        <f>_xlfn.CONCAT(B1065&amp;" "&amp;W1065&amp;X1065&amp;Y1065&amp;Z1065)</f>
        <v>A.C Industries 2301</v>
      </c>
      <c r="D1065" s="17">
        <v>1158</v>
      </c>
      <c r="E1065" s="13" t="s">
        <v>42</v>
      </c>
      <c r="F1065" s="13"/>
      <c r="G1065" s="28">
        <v>45600</v>
      </c>
      <c r="H1065" s="28"/>
      <c r="I1065" s="28"/>
      <c r="J1065" s="26">
        <v>45600</v>
      </c>
      <c r="K1065" s="26">
        <v>45933</v>
      </c>
      <c r="L1065" s="32">
        <v>3</v>
      </c>
      <c r="M1065" s="13" t="s">
        <v>3922</v>
      </c>
      <c r="N1065" s="13" t="s">
        <v>17</v>
      </c>
      <c r="O1065" s="19">
        <v>9960537473</v>
      </c>
      <c r="P1065" s="2" t="s">
        <v>3923</v>
      </c>
      <c r="Q1065" s="2" t="s">
        <v>5154</v>
      </c>
      <c r="R1065" s="2"/>
      <c r="S1065" s="2" t="s">
        <v>321</v>
      </c>
      <c r="T1065" s="2">
        <v>422112</v>
      </c>
      <c r="U1065" s="2" t="s">
        <v>172</v>
      </c>
      <c r="V1065" s="2" t="s">
        <v>23</v>
      </c>
      <c r="W1065" s="2">
        <v>2</v>
      </c>
      <c r="X1065" s="2">
        <v>3</v>
      </c>
      <c r="Y1065" s="2">
        <v>0</v>
      </c>
      <c r="Z1065" s="2">
        <v>1</v>
      </c>
      <c r="AA1065" s="193" t="s">
        <v>5215</v>
      </c>
      <c r="AB1065" s="2"/>
    </row>
    <row r="1066" spans="1:28" ht="15" customHeight="1">
      <c r="A1066" s="16">
        <v>1065</v>
      </c>
      <c r="B1066" s="13" t="s">
        <v>3924</v>
      </c>
      <c r="C1066" s="14" t="str">
        <f>_xlfn.CONCAT(B1066&amp;" "&amp;W1066&amp;X1066&amp;Y1066&amp;Z1066)</f>
        <v>Connectwell Industries Pvt Ltd. 0000</v>
      </c>
      <c r="D1066" s="45" t="s">
        <v>3925</v>
      </c>
      <c r="E1066" s="13" t="s">
        <v>42</v>
      </c>
      <c r="F1066" s="13"/>
      <c r="G1066" s="28">
        <v>45600</v>
      </c>
      <c r="H1066" s="28"/>
      <c r="I1066" s="28"/>
      <c r="J1066" s="26">
        <v>45600</v>
      </c>
      <c r="K1066" s="26">
        <v>45933</v>
      </c>
      <c r="L1066" s="32">
        <v>3</v>
      </c>
      <c r="M1066" s="13" t="s">
        <v>3926</v>
      </c>
      <c r="N1066" s="13"/>
      <c r="O1066" s="19" t="s">
        <v>3927</v>
      </c>
      <c r="P1066" s="2" t="s">
        <v>501</v>
      </c>
      <c r="Q1066" s="2" t="s">
        <v>5155</v>
      </c>
      <c r="R1066" s="2" t="s">
        <v>3928</v>
      </c>
      <c r="S1066" s="2" t="s">
        <v>3929</v>
      </c>
      <c r="T1066" s="2">
        <v>421506</v>
      </c>
      <c r="U1066" s="2" t="s">
        <v>172</v>
      </c>
      <c r="V1066" s="2" t="s">
        <v>23</v>
      </c>
      <c r="W1066" s="2">
        <v>0</v>
      </c>
      <c r="X1066" s="2">
        <v>0</v>
      </c>
      <c r="Y1066" s="2">
        <v>0</v>
      </c>
      <c r="Z1066" s="2">
        <v>0</v>
      </c>
      <c r="AA1066" s="193">
        <v>0</v>
      </c>
      <c r="AB1066" s="2"/>
    </row>
    <row r="1067" spans="1:28" ht="15" customHeight="1">
      <c r="A1067" s="16">
        <v>1066</v>
      </c>
      <c r="B1067" s="13" t="s">
        <v>2932</v>
      </c>
      <c r="C1067" s="14" t="str">
        <f>_xlfn.CONCAT(B1067&amp;" "&amp;W1067&amp;X1067&amp;Y1067&amp;Z1067)</f>
        <v>KDDL Limited 1334</v>
      </c>
      <c r="D1067" s="17">
        <v>1148</v>
      </c>
      <c r="E1067" s="13" t="s">
        <v>90</v>
      </c>
      <c r="F1067" s="13"/>
      <c r="G1067" s="28">
        <v>45604</v>
      </c>
      <c r="H1067" s="28"/>
      <c r="I1067" s="28"/>
      <c r="J1067" s="26">
        <v>45604</v>
      </c>
      <c r="K1067" s="26">
        <v>45969</v>
      </c>
      <c r="L1067" s="32">
        <v>3</v>
      </c>
      <c r="M1067" s="13" t="s">
        <v>3930</v>
      </c>
      <c r="N1067" s="13"/>
      <c r="O1067" s="19">
        <v>9780128489</v>
      </c>
      <c r="P1067" s="2" t="s">
        <v>2934</v>
      </c>
      <c r="Q1067" s="2" t="s">
        <v>5156</v>
      </c>
      <c r="R1067" s="2"/>
      <c r="S1067" s="2" t="s">
        <v>2935</v>
      </c>
      <c r="T1067" s="2">
        <v>140507</v>
      </c>
      <c r="U1067" s="2" t="s">
        <v>3931</v>
      </c>
      <c r="V1067" s="2" t="s">
        <v>23</v>
      </c>
      <c r="W1067" s="2">
        <v>1</v>
      </c>
      <c r="X1067" s="2">
        <v>3</v>
      </c>
      <c r="Y1067" s="2">
        <v>3</v>
      </c>
      <c r="Z1067" s="2">
        <v>4</v>
      </c>
      <c r="AA1067" s="193" t="s">
        <v>4118</v>
      </c>
      <c r="AB1067" s="2"/>
    </row>
    <row r="1068" spans="1:28" ht="15" customHeight="1">
      <c r="A1068" s="16">
        <v>1067</v>
      </c>
      <c r="B1068" s="13" t="s">
        <v>3932</v>
      </c>
      <c r="C1068" s="14" t="str">
        <f>_xlfn.CONCAT(B1068&amp;" "&amp;W1068&amp;X1068&amp;Y1068&amp;Z1068)</f>
        <v>Panacea Medical Technologies Pvt Ltd 8082</v>
      </c>
      <c r="D1068" s="17">
        <v>1156</v>
      </c>
      <c r="E1068" s="13" t="s">
        <v>42</v>
      </c>
      <c r="F1068" s="13"/>
      <c r="G1068" s="28">
        <v>45609</v>
      </c>
      <c r="H1068" s="28"/>
      <c r="I1068" s="28"/>
      <c r="J1068" s="26">
        <v>45609</v>
      </c>
      <c r="K1068" s="26">
        <v>45973</v>
      </c>
      <c r="L1068" s="32">
        <v>3</v>
      </c>
      <c r="M1068" s="13" t="s">
        <v>3933</v>
      </c>
      <c r="N1068" s="13"/>
      <c r="O1068" s="19">
        <v>8310839592</v>
      </c>
      <c r="P1068" s="2" t="s">
        <v>3934</v>
      </c>
      <c r="Q1068" s="2" t="s">
        <v>5157</v>
      </c>
      <c r="R1068" s="2" t="s">
        <v>3935</v>
      </c>
      <c r="S1068" s="2" t="s">
        <v>507</v>
      </c>
      <c r="T1068" s="2">
        <v>563130</v>
      </c>
      <c r="U1068" s="2" t="s">
        <v>22</v>
      </c>
      <c r="V1068" s="2" t="s">
        <v>23</v>
      </c>
      <c r="W1068" s="2">
        <v>8</v>
      </c>
      <c r="X1068" s="2">
        <v>0</v>
      </c>
      <c r="Y1068" s="2">
        <v>8</v>
      </c>
      <c r="Z1068" s="2">
        <v>2</v>
      </c>
      <c r="AA1068" s="193" t="s">
        <v>4118</v>
      </c>
      <c r="AB1068" s="2"/>
    </row>
    <row r="1069" spans="1:28" ht="15" customHeight="1">
      <c r="A1069" s="16">
        <v>1068</v>
      </c>
      <c r="B1069" s="13" t="s">
        <v>3778</v>
      </c>
      <c r="C1069" s="14" t="str">
        <f>_xlfn.CONCAT(B1069&amp;" "&amp;W1069&amp;X1069&amp;Y1069&amp;Z1069)</f>
        <v>J.J Glastronics Pvt Ltd 8011</v>
      </c>
      <c r="D1069" s="17">
        <v>1159</v>
      </c>
      <c r="E1069" s="13" t="s">
        <v>42</v>
      </c>
      <c r="F1069" s="13"/>
      <c r="G1069" s="28">
        <v>45611</v>
      </c>
      <c r="H1069" s="28"/>
      <c r="I1069" s="28"/>
      <c r="J1069" s="26">
        <v>45611</v>
      </c>
      <c r="K1069" s="26">
        <v>45975</v>
      </c>
      <c r="L1069" s="32">
        <v>3</v>
      </c>
      <c r="M1069" s="13" t="s">
        <v>3779</v>
      </c>
      <c r="N1069" s="13" t="s">
        <v>3936</v>
      </c>
      <c r="O1069" s="19">
        <v>9731264612</v>
      </c>
      <c r="P1069" s="2" t="s">
        <v>3555</v>
      </c>
      <c r="Q1069" s="2" t="s">
        <v>5158</v>
      </c>
      <c r="R1069" s="2" t="s">
        <v>2345</v>
      </c>
      <c r="S1069" s="2" t="s">
        <v>21</v>
      </c>
      <c r="T1069" s="2">
        <v>560100</v>
      </c>
      <c r="U1069" s="2" t="s">
        <v>22</v>
      </c>
      <c r="V1069" s="2" t="s">
        <v>23</v>
      </c>
      <c r="W1069" s="2">
        <v>8</v>
      </c>
      <c r="X1069" s="2">
        <v>0</v>
      </c>
      <c r="Y1069" s="2">
        <v>1</v>
      </c>
      <c r="Z1069" s="2">
        <v>1</v>
      </c>
      <c r="AA1069" s="193" t="s">
        <v>4118</v>
      </c>
      <c r="AB1069" s="2"/>
    </row>
    <row r="1070" spans="1:28" ht="15" customHeight="1">
      <c r="A1070" s="16">
        <v>1069</v>
      </c>
      <c r="B1070" s="13" t="s">
        <v>3937</v>
      </c>
      <c r="C1070" s="14" t="str">
        <f>_xlfn.CONCAT(B1070&amp;" "&amp;W1070&amp;X1070&amp;Y1070&amp;Z1070)</f>
        <v>R&amp;N Techauto Industries Pvt Ltd 1151</v>
      </c>
      <c r="D1070" s="17">
        <v>1160</v>
      </c>
      <c r="E1070" s="13" t="s">
        <v>42</v>
      </c>
      <c r="F1070" s="13"/>
      <c r="G1070" s="28">
        <v>45622</v>
      </c>
      <c r="H1070" s="28"/>
      <c r="I1070" s="28"/>
      <c r="J1070" s="26">
        <v>45622</v>
      </c>
      <c r="K1070" s="26">
        <v>45986</v>
      </c>
      <c r="L1070" s="32">
        <v>3</v>
      </c>
      <c r="M1070" s="13" t="s">
        <v>3938</v>
      </c>
      <c r="N1070" s="13"/>
      <c r="O1070" s="19">
        <v>9717005722</v>
      </c>
      <c r="P1070" s="2" t="s">
        <v>185</v>
      </c>
      <c r="Q1070" s="2" t="s">
        <v>5159</v>
      </c>
      <c r="R1070" s="2"/>
      <c r="S1070" s="2" t="s">
        <v>2484</v>
      </c>
      <c r="T1070" s="2">
        <v>201301</v>
      </c>
      <c r="U1070" s="2" t="s">
        <v>184</v>
      </c>
      <c r="V1070" s="2" t="s">
        <v>23</v>
      </c>
      <c r="W1070" s="2">
        <v>1</v>
      </c>
      <c r="X1070" s="2">
        <v>1</v>
      </c>
      <c r="Y1070" s="2">
        <v>5</v>
      </c>
      <c r="Z1070" s="2">
        <v>1</v>
      </c>
      <c r="AA1070" s="193" t="s">
        <v>4118</v>
      </c>
      <c r="AB1070" s="2"/>
    </row>
    <row r="1071" spans="1:28" ht="15" customHeight="1">
      <c r="A1071" s="16">
        <v>1070</v>
      </c>
      <c r="B1071" s="13" t="s">
        <v>3939</v>
      </c>
      <c r="C1071" s="14" t="str">
        <f>_xlfn.CONCAT(B1071&amp;" "&amp;W1071&amp;X1071&amp;Y1071&amp;Z1071)</f>
        <v>Anvish Precision 8007</v>
      </c>
      <c r="D1071" s="17">
        <v>1151</v>
      </c>
      <c r="E1071" s="13" t="s">
        <v>90</v>
      </c>
      <c r="F1071" s="13"/>
      <c r="G1071" s="28">
        <v>45625</v>
      </c>
      <c r="H1071" s="28"/>
      <c r="I1071" s="28"/>
      <c r="J1071" s="26">
        <v>45625</v>
      </c>
      <c r="K1071" s="26">
        <v>45989</v>
      </c>
      <c r="L1071" s="32">
        <v>3</v>
      </c>
      <c r="M1071" s="13" t="s">
        <v>3940</v>
      </c>
      <c r="N1071" s="13" t="s">
        <v>151</v>
      </c>
      <c r="O1071" s="19">
        <v>9513666372</v>
      </c>
      <c r="P1071" s="2" t="s">
        <v>3941</v>
      </c>
      <c r="Q1071" s="2" t="s">
        <v>5160</v>
      </c>
      <c r="R1071" s="2" t="s">
        <v>3942</v>
      </c>
      <c r="S1071" s="2" t="s">
        <v>3943</v>
      </c>
      <c r="T1071" s="2">
        <v>575001</v>
      </c>
      <c r="U1071" s="2" t="s">
        <v>22</v>
      </c>
      <c r="V1071" s="2" t="s">
        <v>23</v>
      </c>
      <c r="W1071" s="2">
        <v>8</v>
      </c>
      <c r="X1071" s="2">
        <v>0</v>
      </c>
      <c r="Y1071" s="2">
        <v>0</v>
      </c>
      <c r="Z1071" s="2">
        <v>7</v>
      </c>
      <c r="AA1071" s="193" t="s">
        <v>4118</v>
      </c>
      <c r="AB1071" s="2"/>
    </row>
    <row r="1072" spans="1:28" ht="15" customHeight="1">
      <c r="A1072" s="16">
        <v>1071</v>
      </c>
      <c r="B1072" s="13" t="s">
        <v>3944</v>
      </c>
      <c r="C1072" s="14" t="str">
        <f>_xlfn.CONCAT(B1072&amp;" "&amp;W1072&amp;X1072&amp;Y1072&amp;Z1072)</f>
        <v>Prakathi Industries 8013</v>
      </c>
      <c r="D1072" s="17">
        <v>1161</v>
      </c>
      <c r="E1072" s="13" t="s">
        <v>42</v>
      </c>
      <c r="F1072" s="13"/>
      <c r="G1072" s="28">
        <v>45634</v>
      </c>
      <c r="H1072" s="28"/>
      <c r="I1072" s="28"/>
      <c r="J1072" s="26">
        <v>45634</v>
      </c>
      <c r="K1072" s="26">
        <v>46363</v>
      </c>
      <c r="L1072" s="32">
        <v>3</v>
      </c>
      <c r="M1072" s="13" t="s">
        <v>3945</v>
      </c>
      <c r="N1072" s="13"/>
      <c r="O1072" s="19">
        <v>9092146153</v>
      </c>
      <c r="P1072" s="2" t="s">
        <v>3946</v>
      </c>
      <c r="Q1072" s="2" t="s">
        <v>5161</v>
      </c>
      <c r="R1072" s="2" t="s">
        <v>3947</v>
      </c>
      <c r="S1072" s="2" t="s">
        <v>121</v>
      </c>
      <c r="T1072" s="2">
        <v>635126</v>
      </c>
      <c r="U1072" s="2" t="s">
        <v>38</v>
      </c>
      <c r="V1072" s="2" t="s">
        <v>23</v>
      </c>
      <c r="W1072" s="2">
        <v>8</v>
      </c>
      <c r="X1072" s="2">
        <v>0</v>
      </c>
      <c r="Y1072" s="2">
        <v>1</v>
      </c>
      <c r="Z1072" s="2">
        <v>3</v>
      </c>
      <c r="AA1072" s="193" t="s">
        <v>4118</v>
      </c>
      <c r="AB1072" s="2"/>
    </row>
    <row r="1073" spans="1:28" ht="15" customHeight="1">
      <c r="A1073" s="16">
        <v>1072</v>
      </c>
      <c r="B1073" s="13" t="s">
        <v>3948</v>
      </c>
      <c r="C1073" s="14" t="str">
        <f>_xlfn.CONCAT(B1073&amp;" "&amp;W1073&amp;X1073&amp;Y1073&amp;Z1073)</f>
        <v>Aequs Consumer Products Pvt Ltd 8001</v>
      </c>
      <c r="D1073" s="17">
        <v>1132</v>
      </c>
      <c r="E1073" s="13" t="s">
        <v>2082</v>
      </c>
      <c r="F1073" s="13"/>
      <c r="G1073" s="28">
        <v>45636</v>
      </c>
      <c r="H1073" s="28"/>
      <c r="I1073" s="28"/>
      <c r="J1073" s="26">
        <v>45636</v>
      </c>
      <c r="K1073" s="26">
        <v>46547</v>
      </c>
      <c r="L1073" s="32">
        <v>3</v>
      </c>
      <c r="M1073" s="13" t="s">
        <v>3949</v>
      </c>
      <c r="N1073" s="13"/>
      <c r="O1073" s="19">
        <v>9742671184</v>
      </c>
      <c r="P1073" s="2" t="s">
        <v>3950</v>
      </c>
      <c r="Q1073" s="2" t="s">
        <v>5162</v>
      </c>
      <c r="R1073" s="2" t="s">
        <v>3951</v>
      </c>
      <c r="S1073" s="2" t="s">
        <v>3871</v>
      </c>
      <c r="T1073" s="2">
        <v>580114</v>
      </c>
      <c r="U1073" s="2" t="s">
        <v>22</v>
      </c>
      <c r="V1073" s="2" t="s">
        <v>23</v>
      </c>
      <c r="W1073" s="2">
        <v>8</v>
      </c>
      <c r="X1073" s="2">
        <v>0</v>
      </c>
      <c r="Y1073" s="2">
        <v>0</v>
      </c>
      <c r="Z1073" s="2">
        <v>1</v>
      </c>
      <c r="AA1073" s="193" t="s">
        <v>4118</v>
      </c>
      <c r="AB1073" s="2"/>
    </row>
    <row r="1074" spans="1:28" ht="15" customHeight="1">
      <c r="A1074" s="16">
        <v>1073</v>
      </c>
      <c r="B1074" s="13" t="s">
        <v>3952</v>
      </c>
      <c r="C1074" s="14" t="str">
        <f>_xlfn.CONCAT(B1074&amp;" "&amp;W1074&amp;X1074&amp;Y1074&amp;Z1074)</f>
        <v>Techno Springs India Pvt Ltd 1161</v>
      </c>
      <c r="D1074" s="17">
        <v>1162</v>
      </c>
      <c r="E1074" s="13" t="s">
        <v>42</v>
      </c>
      <c r="F1074" s="13"/>
      <c r="G1074" s="28">
        <v>45639</v>
      </c>
      <c r="H1074" s="28"/>
      <c r="I1074" s="28"/>
      <c r="J1074" s="26">
        <v>45639</v>
      </c>
      <c r="K1074" s="26">
        <v>46003</v>
      </c>
      <c r="L1074" s="32">
        <v>3</v>
      </c>
      <c r="M1074" s="13" t="s">
        <v>3953</v>
      </c>
      <c r="N1074" s="13" t="s">
        <v>2154</v>
      </c>
      <c r="O1074" s="19">
        <v>9871097404</v>
      </c>
      <c r="P1074" s="2" t="s">
        <v>3224</v>
      </c>
      <c r="Q1074" s="2" t="s">
        <v>5163</v>
      </c>
      <c r="R1074" s="2"/>
      <c r="S1074" s="2" t="s">
        <v>454</v>
      </c>
      <c r="T1074" s="2">
        <v>121004</v>
      </c>
      <c r="U1074" s="2" t="s">
        <v>429</v>
      </c>
      <c r="V1074" s="2" t="s">
        <v>23</v>
      </c>
      <c r="W1074" s="2">
        <v>1</v>
      </c>
      <c r="X1074" s="2">
        <v>1</v>
      </c>
      <c r="Y1074" s="2">
        <v>6</v>
      </c>
      <c r="Z1074" s="2">
        <v>1</v>
      </c>
      <c r="AA1074" s="193" t="s">
        <v>4118</v>
      </c>
      <c r="AB1074" s="2"/>
    </row>
    <row r="1075" spans="1:28" ht="15" customHeight="1">
      <c r="A1075" s="16">
        <v>1074</v>
      </c>
      <c r="B1075" s="13" t="s">
        <v>3954</v>
      </c>
      <c r="C1075" s="14" t="str">
        <f>_xlfn.CONCAT(B1075&amp;" "&amp;W1075&amp;X1075&amp;Y1075&amp;Z1075)</f>
        <v>Mersen India Pvt Ltd 8012</v>
      </c>
      <c r="D1075" s="17">
        <v>1149</v>
      </c>
      <c r="E1075" s="13" t="s">
        <v>90</v>
      </c>
      <c r="F1075" s="13"/>
      <c r="G1075" s="28">
        <v>45649</v>
      </c>
      <c r="H1075" s="28"/>
      <c r="I1075" s="28"/>
      <c r="J1075" s="26">
        <v>45649</v>
      </c>
      <c r="K1075" s="26">
        <v>46013</v>
      </c>
      <c r="L1075" s="32">
        <v>3</v>
      </c>
      <c r="M1075" s="13" t="s">
        <v>3955</v>
      </c>
      <c r="N1075" s="13" t="s">
        <v>2154</v>
      </c>
      <c r="O1075" s="19">
        <v>7618727239</v>
      </c>
      <c r="P1075" s="2" t="s">
        <v>2209</v>
      </c>
      <c r="Q1075" s="2" t="s">
        <v>5164</v>
      </c>
      <c r="R1075" s="2"/>
      <c r="S1075" s="2" t="s">
        <v>21</v>
      </c>
      <c r="T1075" s="2">
        <v>560099</v>
      </c>
      <c r="U1075" s="2" t="s">
        <v>22</v>
      </c>
      <c r="V1075" s="2" t="s">
        <v>23</v>
      </c>
      <c r="W1075" s="2">
        <v>8</v>
      </c>
      <c r="X1075" s="2">
        <v>0</v>
      </c>
      <c r="Y1075" s="2">
        <v>1</v>
      </c>
      <c r="Z1075" s="2">
        <v>2</v>
      </c>
      <c r="AA1075" s="193" t="s">
        <v>4118</v>
      </c>
      <c r="AB1075" s="2"/>
    </row>
    <row r="1076" spans="1:28" ht="15" customHeight="1">
      <c r="A1076" s="16">
        <v>1075</v>
      </c>
      <c r="B1076" s="13" t="s">
        <v>2401</v>
      </c>
      <c r="C1076" s="14" t="str">
        <f>_xlfn.CONCAT(B1076&amp;" "&amp;W1076&amp;X1076&amp;Y1076&amp;Z1076)</f>
        <v>Oswin Industries 1334</v>
      </c>
      <c r="D1076" s="17">
        <v>1150</v>
      </c>
      <c r="E1076" s="13" t="s">
        <v>90</v>
      </c>
      <c r="F1076" s="13"/>
      <c r="G1076" s="28">
        <v>45650</v>
      </c>
      <c r="H1076" s="28"/>
      <c r="I1076" s="28"/>
      <c r="J1076" s="26">
        <v>45650</v>
      </c>
      <c r="K1076" s="26">
        <v>46014</v>
      </c>
      <c r="L1076" s="32">
        <v>3</v>
      </c>
      <c r="M1076" s="13" t="s">
        <v>3348</v>
      </c>
      <c r="N1076" s="13"/>
      <c r="O1076" s="19">
        <v>8968533440</v>
      </c>
      <c r="P1076" s="2" t="s">
        <v>3349</v>
      </c>
      <c r="Q1076" s="2" t="s">
        <v>5165</v>
      </c>
      <c r="R1076" s="2"/>
      <c r="S1076" s="2" t="s">
        <v>2934</v>
      </c>
      <c r="T1076" s="2">
        <v>140507</v>
      </c>
      <c r="U1076" s="2" t="s">
        <v>1787</v>
      </c>
      <c r="V1076" s="2" t="s">
        <v>23</v>
      </c>
      <c r="W1076" s="2">
        <v>1</v>
      </c>
      <c r="X1076" s="2">
        <v>3</v>
      </c>
      <c r="Y1076" s="2">
        <v>3</v>
      </c>
      <c r="Z1076" s="2">
        <v>4</v>
      </c>
      <c r="AA1076" s="193" t="s">
        <v>4118</v>
      </c>
      <c r="AB1076" s="2"/>
    </row>
    <row r="1077" spans="1:28" ht="15" customHeight="1">
      <c r="A1077" s="16">
        <v>1076</v>
      </c>
      <c r="B1077" s="13" t="s">
        <v>3888</v>
      </c>
      <c r="C1077" s="14" t="str">
        <f>_xlfn.CONCAT(B1077&amp;" "&amp;W1077&amp;X1077&amp;Y1077&amp;Z1077)</f>
        <v>Bosch Ltd 8011</v>
      </c>
      <c r="D1077" s="17">
        <v>1152</v>
      </c>
      <c r="E1077" s="13" t="s">
        <v>90</v>
      </c>
      <c r="F1077" s="13"/>
      <c r="G1077" s="28">
        <v>45654</v>
      </c>
      <c r="H1077" s="28"/>
      <c r="I1077" s="28"/>
      <c r="J1077" s="26">
        <v>45654</v>
      </c>
      <c r="K1077" s="26">
        <v>46018</v>
      </c>
      <c r="L1077" s="32">
        <v>3</v>
      </c>
      <c r="M1077" s="13" t="s">
        <v>2992</v>
      </c>
      <c r="N1077" s="13"/>
      <c r="O1077" s="19">
        <v>9972060631</v>
      </c>
      <c r="P1077" s="2" t="s">
        <v>2830</v>
      </c>
      <c r="Q1077" s="2" t="s">
        <v>5166</v>
      </c>
      <c r="R1077" s="2"/>
      <c r="S1077" s="2" t="s">
        <v>21</v>
      </c>
      <c r="T1077" s="2">
        <v>560100</v>
      </c>
      <c r="U1077" s="2" t="s">
        <v>22</v>
      </c>
      <c r="V1077" s="2" t="s">
        <v>23</v>
      </c>
      <c r="W1077" s="2">
        <v>8</v>
      </c>
      <c r="X1077" s="2">
        <v>0</v>
      </c>
      <c r="Y1077" s="2">
        <v>1</v>
      </c>
      <c r="Z1077" s="2">
        <v>1</v>
      </c>
      <c r="AA1077" s="193" t="s">
        <v>4118</v>
      </c>
      <c r="AB1077" s="2"/>
    </row>
    <row r="1078" spans="1:28" ht="15" customHeight="1">
      <c r="A1078" s="16">
        <v>1077</v>
      </c>
      <c r="B1078" s="13" t="s">
        <v>3956</v>
      </c>
      <c r="C1078" s="14" t="str">
        <f>_xlfn.CONCAT(B1078&amp;" "&amp;W1078&amp;X1078&amp;Y1078&amp;Z1078)</f>
        <v>RRP S4E Innovation Pvt Ltd 2224</v>
      </c>
      <c r="D1078" s="17">
        <v>1133</v>
      </c>
      <c r="E1078" s="13" t="s">
        <v>2082</v>
      </c>
      <c r="F1078" s="13"/>
      <c r="G1078" s="28">
        <v>45667</v>
      </c>
      <c r="H1078" s="28"/>
      <c r="I1078" s="28"/>
      <c r="J1078" s="26">
        <v>45667</v>
      </c>
      <c r="K1078" s="26">
        <v>46031</v>
      </c>
      <c r="L1078" s="32">
        <v>3</v>
      </c>
      <c r="M1078" s="13" t="s">
        <v>3957</v>
      </c>
      <c r="N1078" s="13"/>
      <c r="O1078" s="19">
        <v>9076012812</v>
      </c>
      <c r="P1078" s="2" t="s">
        <v>1607</v>
      </c>
      <c r="Q1078" s="2" t="s">
        <v>5167</v>
      </c>
      <c r="R1078" s="2"/>
      <c r="S1078" s="2" t="s">
        <v>3958</v>
      </c>
      <c r="T1078" s="2">
        <v>400710</v>
      </c>
      <c r="U1078" s="2" t="s">
        <v>172</v>
      </c>
      <c r="V1078" s="2" t="s">
        <v>23</v>
      </c>
      <c r="W1078" s="2">
        <v>2</v>
      </c>
      <c r="X1078" s="2">
        <v>2</v>
      </c>
      <c r="Y1078" s="2">
        <v>2</v>
      </c>
      <c r="Z1078" s="2">
        <v>4</v>
      </c>
      <c r="AA1078" s="193" t="s">
        <v>4148</v>
      </c>
      <c r="AB1078" s="2"/>
    </row>
    <row r="1079" spans="1:28" ht="15" customHeight="1">
      <c r="A1079" s="16">
        <v>1078</v>
      </c>
      <c r="B1079" s="13" t="s">
        <v>3959</v>
      </c>
      <c r="C1079" s="14" t="str">
        <f>_xlfn.CONCAT(B1079&amp;" "&amp;W1079&amp;X1079&amp;Y1079&amp;Z1079)</f>
        <v>Kaanra Technology Inc 4021</v>
      </c>
      <c r="D1079" s="17">
        <v>1165</v>
      </c>
      <c r="E1079" s="13" t="s">
        <v>90</v>
      </c>
      <c r="F1079" s="13"/>
      <c r="G1079" s="28">
        <v>45672</v>
      </c>
      <c r="H1079" s="28"/>
      <c r="I1079" s="28"/>
      <c r="J1079" s="26">
        <v>45672</v>
      </c>
      <c r="K1079" s="26">
        <v>46036</v>
      </c>
      <c r="L1079" s="32">
        <v>3</v>
      </c>
      <c r="M1079" s="13" t="s">
        <v>3960</v>
      </c>
      <c r="N1079" s="13" t="s">
        <v>151</v>
      </c>
      <c r="O1079" s="19">
        <v>9500045211</v>
      </c>
      <c r="P1079" s="2" t="s">
        <v>3961</v>
      </c>
      <c r="Q1079" s="2" t="s">
        <v>5168</v>
      </c>
      <c r="R1079" s="2" t="s">
        <v>3962</v>
      </c>
      <c r="S1079" s="2" t="s">
        <v>37</v>
      </c>
      <c r="T1079" s="2">
        <v>600041</v>
      </c>
      <c r="U1079" s="2" t="s">
        <v>38</v>
      </c>
      <c r="V1079" s="2" t="s">
        <v>23</v>
      </c>
      <c r="W1079" s="2">
        <v>4</v>
      </c>
      <c r="X1079" s="2">
        <v>0</v>
      </c>
      <c r="Y1079" s="2">
        <v>2</v>
      </c>
      <c r="Z1079" s="2">
        <v>1</v>
      </c>
      <c r="AA1079" s="193" t="s">
        <v>4148</v>
      </c>
      <c r="AB1079" s="2"/>
    </row>
    <row r="1080" spans="1:28" ht="15" customHeight="1">
      <c r="A1080" s="16">
        <v>1079</v>
      </c>
      <c r="B1080" s="13" t="s">
        <v>3678</v>
      </c>
      <c r="C1080" s="14" t="str">
        <f>_xlfn.CONCAT(B1080&amp;" "&amp;W1080&amp;X1080&amp;Y1080&amp;Z1080)</f>
        <v>L.G. Balakrishnan &amp; Bros Ltd (Candid Micron Measurements Pvt Ltd) 4112</v>
      </c>
      <c r="D1080" s="17">
        <v>1166</v>
      </c>
      <c r="E1080" s="13" t="s">
        <v>90</v>
      </c>
      <c r="F1080" s="13"/>
      <c r="G1080" s="28">
        <v>45675</v>
      </c>
      <c r="H1080" s="28"/>
      <c r="I1080" s="28"/>
      <c r="J1080" s="26">
        <v>45675</v>
      </c>
      <c r="K1080" s="26">
        <v>46039</v>
      </c>
      <c r="L1080" s="32">
        <v>3</v>
      </c>
      <c r="M1080" s="13"/>
      <c r="N1080" s="13"/>
      <c r="O1080" s="19"/>
      <c r="P1080" s="2" t="s">
        <v>3803</v>
      </c>
      <c r="Q1080" s="2" t="s">
        <v>5169</v>
      </c>
      <c r="R1080" s="2" t="s">
        <v>3963</v>
      </c>
      <c r="S1080" s="2" t="s">
        <v>3964</v>
      </c>
      <c r="T1080" s="2"/>
      <c r="U1080" s="2" t="s">
        <v>38</v>
      </c>
      <c r="V1080" s="2" t="s">
        <v>23</v>
      </c>
      <c r="W1080" s="2">
        <v>4</v>
      </c>
      <c r="X1080" s="2">
        <v>1</v>
      </c>
      <c r="Y1080" s="2">
        <v>1</v>
      </c>
      <c r="Z1080" s="2">
        <v>2</v>
      </c>
      <c r="AA1080" s="193" t="s">
        <v>4148</v>
      </c>
      <c r="AB1080" s="2"/>
    </row>
    <row r="1081" spans="1:28" ht="15" customHeight="1">
      <c r="A1081" s="16">
        <v>1080</v>
      </c>
      <c r="B1081" s="13" t="s">
        <v>3965</v>
      </c>
      <c r="C1081" s="14" t="str">
        <f>_xlfn.CONCAT(B1081&amp;" "&amp;W1081&amp;X1081&amp;Y1081&amp;Z1081)</f>
        <v>Rotary Connectors P Ltd 8054</v>
      </c>
      <c r="D1081" s="17">
        <v>1163</v>
      </c>
      <c r="E1081" s="13" t="s">
        <v>42</v>
      </c>
      <c r="F1081" s="13"/>
      <c r="G1081" s="28">
        <v>45687</v>
      </c>
      <c r="H1081" s="28"/>
      <c r="I1081" s="28"/>
      <c r="J1081" s="26">
        <v>45687</v>
      </c>
      <c r="K1081" s="26">
        <v>46051</v>
      </c>
      <c r="L1081" s="32">
        <v>3</v>
      </c>
      <c r="M1081" s="13" t="s">
        <v>3966</v>
      </c>
      <c r="N1081" s="13" t="s">
        <v>1155</v>
      </c>
      <c r="O1081" s="19">
        <v>9611614380</v>
      </c>
      <c r="P1081" s="2" t="s">
        <v>2677</v>
      </c>
      <c r="Q1081" s="2" t="s">
        <v>5170</v>
      </c>
      <c r="R1081" s="2" t="s">
        <v>3967</v>
      </c>
      <c r="S1081" s="2" t="s">
        <v>21</v>
      </c>
      <c r="T1081" s="2">
        <v>562132</v>
      </c>
      <c r="U1081" s="2" t="s">
        <v>22</v>
      </c>
      <c r="V1081" s="2" t="s">
        <v>23</v>
      </c>
      <c r="W1081" s="2">
        <v>8</v>
      </c>
      <c r="X1081" s="2">
        <v>0</v>
      </c>
      <c r="Y1081" s="2">
        <v>5</v>
      </c>
      <c r="Z1081" s="2">
        <v>4</v>
      </c>
      <c r="AA1081" s="193" t="s">
        <v>4118</v>
      </c>
      <c r="AB1081" s="2"/>
    </row>
    <row r="1082" spans="1:28" ht="15" customHeight="1">
      <c r="A1082" s="16">
        <v>1081</v>
      </c>
      <c r="B1082" s="13" t="s">
        <v>3968</v>
      </c>
      <c r="C1082" s="14" t="str">
        <f>_xlfn.CONCAT(B1082&amp;" "&amp;W1082&amp;X1082&amp;Y1082&amp;Z1082)</f>
        <v>Primaeam Solutions Pvt Ltd 4032</v>
      </c>
      <c r="D1082" s="17">
        <v>1168</v>
      </c>
      <c r="E1082" s="13" t="s">
        <v>2082</v>
      </c>
      <c r="F1082" s="13"/>
      <c r="G1082" s="28">
        <v>45690</v>
      </c>
      <c r="H1082" s="28"/>
      <c r="I1082" s="28"/>
      <c r="J1082" s="26">
        <v>45690</v>
      </c>
      <c r="K1082" s="26">
        <v>46054</v>
      </c>
      <c r="L1082" s="32">
        <v>3</v>
      </c>
      <c r="M1082" s="13" t="s">
        <v>3969</v>
      </c>
      <c r="N1082" s="13"/>
      <c r="O1082" s="19">
        <v>9698087155</v>
      </c>
      <c r="P1082" s="2" t="s">
        <v>3970</v>
      </c>
      <c r="Q1082" s="2" t="s">
        <v>5171</v>
      </c>
      <c r="R1082" s="2" t="s">
        <v>674</v>
      </c>
      <c r="S1082" s="2" t="s">
        <v>37</v>
      </c>
      <c r="T1082" s="2">
        <v>600058</v>
      </c>
      <c r="U1082" s="2" t="s">
        <v>38</v>
      </c>
      <c r="V1082" s="2" t="s">
        <v>23</v>
      </c>
      <c r="W1082" s="2">
        <v>4</v>
      </c>
      <c r="X1082" s="2">
        <v>0</v>
      </c>
      <c r="Y1082" s="2">
        <v>3</v>
      </c>
      <c r="Z1082" s="2">
        <v>2</v>
      </c>
      <c r="AA1082" s="193" t="s">
        <v>4148</v>
      </c>
      <c r="AB1082" s="2"/>
    </row>
    <row r="1083" spans="1:28" ht="15" customHeight="1">
      <c r="A1083" s="16">
        <v>1082</v>
      </c>
      <c r="B1083" s="13" t="s">
        <v>3971</v>
      </c>
      <c r="C1083" s="14" t="str">
        <f>_xlfn.CONCAT(B1083&amp;" "&amp;W1083&amp;X1083&amp;Y1083&amp;Z1083)</f>
        <v>Nassa Polymers 4043</v>
      </c>
      <c r="D1083" s="17">
        <v>1177</v>
      </c>
      <c r="E1083" s="13" t="s">
        <v>90</v>
      </c>
      <c r="F1083" s="13"/>
      <c r="G1083" s="28">
        <v>45716</v>
      </c>
      <c r="H1083" s="28"/>
      <c r="I1083" s="28"/>
      <c r="J1083" s="26">
        <v>45716</v>
      </c>
      <c r="K1083" s="26">
        <v>46080</v>
      </c>
      <c r="L1083" s="32">
        <v>3</v>
      </c>
      <c r="M1083" s="13" t="s">
        <v>3972</v>
      </c>
      <c r="N1083" s="13" t="s">
        <v>2154</v>
      </c>
      <c r="O1083" s="19">
        <v>9444744835</v>
      </c>
      <c r="P1083" s="2" t="s">
        <v>3973</v>
      </c>
      <c r="Q1083" s="2" t="s">
        <v>5172</v>
      </c>
      <c r="R1083" s="2"/>
      <c r="S1083" s="2" t="s">
        <v>493</v>
      </c>
      <c r="T1083" s="2">
        <v>602003</v>
      </c>
      <c r="U1083" s="2" t="s">
        <v>38</v>
      </c>
      <c r="V1083" s="2" t="s">
        <v>23</v>
      </c>
      <c r="W1083" s="2">
        <v>4</v>
      </c>
      <c r="X1083" s="2">
        <v>0</v>
      </c>
      <c r="Y1083" s="2">
        <v>4</v>
      </c>
      <c r="Z1083" s="2">
        <v>3</v>
      </c>
      <c r="AA1083" s="193" t="s">
        <v>4148</v>
      </c>
      <c r="AB1083" s="2"/>
    </row>
    <row r="1084" spans="1:28" ht="15" customHeight="1">
      <c r="A1084" s="16">
        <v>1083</v>
      </c>
      <c r="B1084" s="13" t="s">
        <v>3974</v>
      </c>
      <c r="C1084" s="14" t="str">
        <f>_xlfn.CONCAT(B1084&amp;" "&amp;W1084&amp;X1084&amp;Y1084&amp;Z1084)</f>
        <v>Vision Tec 8041</v>
      </c>
      <c r="D1084" s="17">
        <v>1176</v>
      </c>
      <c r="E1084" s="13" t="s">
        <v>90</v>
      </c>
      <c r="F1084" s="13"/>
      <c r="G1084" s="28">
        <v>45730</v>
      </c>
      <c r="H1084" s="28"/>
      <c r="I1084" s="28"/>
      <c r="J1084" s="26">
        <v>45730</v>
      </c>
      <c r="K1084" s="26">
        <v>46094</v>
      </c>
      <c r="L1084" s="32">
        <v>3</v>
      </c>
      <c r="M1084" s="13" t="s">
        <v>3975</v>
      </c>
      <c r="N1084" s="13" t="s">
        <v>339</v>
      </c>
      <c r="O1084" s="19"/>
      <c r="P1084" s="2"/>
      <c r="Q1084" s="2" t="s">
        <v>3838</v>
      </c>
      <c r="R1084" s="2"/>
      <c r="S1084" s="2" t="s">
        <v>21</v>
      </c>
      <c r="T1084" s="2">
        <v>560091</v>
      </c>
      <c r="U1084" s="2" t="s">
        <v>22</v>
      </c>
      <c r="V1084" s="2" t="s">
        <v>23</v>
      </c>
      <c r="W1084" s="2">
        <v>8</v>
      </c>
      <c r="X1084" s="2">
        <v>0</v>
      </c>
      <c r="Y1084" s="2">
        <v>4</v>
      </c>
      <c r="Z1084" s="2">
        <v>1</v>
      </c>
      <c r="AA1084" s="193" t="s">
        <v>4118</v>
      </c>
      <c r="AB1084" s="2"/>
    </row>
    <row r="1085" spans="1:28" ht="15" customHeight="1">
      <c r="A1085" s="16">
        <v>1084</v>
      </c>
      <c r="B1085" s="13" t="s">
        <v>2485</v>
      </c>
      <c r="C1085" s="14" t="str">
        <f>_xlfn.CONCAT(B1085&amp;" "&amp;W1085&amp;X1085&amp;Y1085&amp;Z1085)</f>
        <v>Titan Engg &amp; Automation Limited 8013</v>
      </c>
      <c r="D1085" s="17">
        <v>1172</v>
      </c>
      <c r="E1085" s="13" t="s">
        <v>3670</v>
      </c>
      <c r="F1085" s="13"/>
      <c r="G1085" s="28">
        <v>45741</v>
      </c>
      <c r="H1085" s="28"/>
      <c r="I1085" s="28"/>
      <c r="J1085" s="26">
        <v>45741</v>
      </c>
      <c r="K1085" s="26">
        <v>46105</v>
      </c>
      <c r="L1085" s="32">
        <v>3</v>
      </c>
      <c r="M1085" s="13" t="s">
        <v>3976</v>
      </c>
      <c r="N1085" s="13"/>
      <c r="O1085" s="19" t="s">
        <v>3977</v>
      </c>
      <c r="P1085" s="2" t="s">
        <v>3978</v>
      </c>
      <c r="Q1085" s="2" t="s">
        <v>5173</v>
      </c>
      <c r="R1085" s="2"/>
      <c r="S1085" s="2" t="s">
        <v>121</v>
      </c>
      <c r="T1085" s="2">
        <v>635110</v>
      </c>
      <c r="U1085" s="2" t="s">
        <v>38</v>
      </c>
      <c r="V1085" s="2" t="s">
        <v>23</v>
      </c>
      <c r="W1085" s="2">
        <v>8</v>
      </c>
      <c r="X1085" s="2">
        <v>0</v>
      </c>
      <c r="Y1085" s="2">
        <v>1</v>
      </c>
      <c r="Z1085" s="2">
        <v>3</v>
      </c>
      <c r="AA1085" s="193" t="s">
        <v>4118</v>
      </c>
      <c r="AB1085" s="2"/>
    </row>
    <row r="1086" spans="1:28" ht="15" customHeight="1">
      <c r="A1086" s="16">
        <v>1085</v>
      </c>
      <c r="B1086" s="13" t="s">
        <v>3979</v>
      </c>
      <c r="C1086" s="14" t="str">
        <f>_xlfn.CONCAT(B1086&amp;" "&amp;W1086&amp;X1086&amp;Y1086&amp;Z1086)</f>
        <v>Nicomatic India Electronics Pvt Ltd 8071</v>
      </c>
      <c r="D1086" s="17">
        <v>1180</v>
      </c>
      <c r="E1086" s="13" t="s">
        <v>42</v>
      </c>
      <c r="F1086" s="13"/>
      <c r="G1086" s="28">
        <v>45743</v>
      </c>
      <c r="H1086" s="28"/>
      <c r="I1086" s="28"/>
      <c r="J1086" s="26">
        <v>45743</v>
      </c>
      <c r="K1086" s="26">
        <v>46107</v>
      </c>
      <c r="L1086" s="32">
        <v>3</v>
      </c>
      <c r="M1086" s="13" t="s">
        <v>3980</v>
      </c>
      <c r="N1086" s="13" t="s">
        <v>3981</v>
      </c>
      <c r="O1086" s="19" t="s">
        <v>3982</v>
      </c>
      <c r="P1086" s="2" t="s">
        <v>3983</v>
      </c>
      <c r="Q1086" s="2" t="s">
        <v>5174</v>
      </c>
      <c r="R1086" s="2" t="s">
        <v>3984</v>
      </c>
      <c r="S1086" s="2" t="s">
        <v>21</v>
      </c>
      <c r="T1086" s="2">
        <v>562149</v>
      </c>
      <c r="U1086" s="2" t="s">
        <v>22</v>
      </c>
      <c r="V1086" s="2" t="s">
        <v>23</v>
      </c>
      <c r="W1086" s="2">
        <v>8</v>
      </c>
      <c r="X1086" s="2">
        <v>0</v>
      </c>
      <c r="Y1086" s="2">
        <v>7</v>
      </c>
      <c r="Z1086" s="2">
        <v>1</v>
      </c>
      <c r="AA1086" s="193" t="s">
        <v>4118</v>
      </c>
      <c r="AB1086" s="2"/>
    </row>
    <row r="1087" spans="1:28" ht="15" customHeight="1">
      <c r="A1087" s="16">
        <v>1086</v>
      </c>
      <c r="B1087" s="13" t="s">
        <v>3985</v>
      </c>
      <c r="C1087" s="14" t="str">
        <f>_xlfn.CONCAT(B1087&amp;" "&amp;W1087&amp;X1087&amp;Y1087&amp;Z1087)</f>
        <v>Indian Institute of Technology (Mumbai) 2224</v>
      </c>
      <c r="D1087" s="17">
        <v>1181</v>
      </c>
      <c r="E1087" s="13" t="s">
        <v>42</v>
      </c>
      <c r="F1087" s="13"/>
      <c r="G1087" s="28">
        <v>45814</v>
      </c>
      <c r="H1087" s="28"/>
      <c r="I1087" s="28"/>
      <c r="J1087" s="26">
        <v>45814</v>
      </c>
      <c r="K1087" s="26">
        <v>46178</v>
      </c>
      <c r="L1087" s="32">
        <v>3</v>
      </c>
      <c r="M1087" s="13" t="s">
        <v>3986</v>
      </c>
      <c r="N1087" s="193" t="s">
        <v>3987</v>
      </c>
      <c r="O1087" s="19">
        <v>8871575530</v>
      </c>
      <c r="P1087" s="2"/>
      <c r="Q1087" s="2" t="s">
        <v>3838</v>
      </c>
      <c r="R1087" s="2" t="s">
        <v>1515</v>
      </c>
      <c r="S1087" s="2" t="s">
        <v>221</v>
      </c>
      <c r="T1087" s="2">
        <v>400076</v>
      </c>
      <c r="U1087" s="2" t="s">
        <v>172</v>
      </c>
      <c r="V1087" s="2" t="s">
        <v>23</v>
      </c>
      <c r="W1087" s="2">
        <v>2</v>
      </c>
      <c r="X1087" s="2">
        <v>2</v>
      </c>
      <c r="Y1087" s="2">
        <v>2</v>
      </c>
      <c r="Z1087" s="2">
        <v>4</v>
      </c>
      <c r="AA1087" s="193" t="s">
        <v>4148</v>
      </c>
      <c r="AB1087" s="2"/>
    </row>
    <row r="1088" spans="1:28" ht="15" customHeight="1">
      <c r="A1088" s="16">
        <v>1087</v>
      </c>
      <c r="B1088" s="13" t="s">
        <v>3988</v>
      </c>
      <c r="C1088" s="14" t="str">
        <f>_xlfn.CONCAT(B1088&amp;" "&amp;W1088&amp;X1088&amp;Y1088&amp;Z1088)</f>
        <v>Vignesh Polymers India Pvt Ltd 4031</v>
      </c>
      <c r="D1088" s="17">
        <v>1178</v>
      </c>
      <c r="E1088" s="13" t="s">
        <v>90</v>
      </c>
      <c r="F1088" s="13"/>
      <c r="G1088" s="28">
        <v>45839</v>
      </c>
      <c r="H1088" s="28"/>
      <c r="I1088" s="28"/>
      <c r="J1088" s="26">
        <v>45839</v>
      </c>
      <c r="K1088" s="26">
        <v>46203</v>
      </c>
      <c r="L1088" s="32">
        <v>3</v>
      </c>
      <c r="M1088" s="13" t="s">
        <v>3989</v>
      </c>
      <c r="N1088" s="13" t="s">
        <v>1161</v>
      </c>
      <c r="O1088" s="19">
        <v>8754490271</v>
      </c>
      <c r="P1088" s="2" t="s">
        <v>3990</v>
      </c>
      <c r="Q1088" s="2" t="s">
        <v>5175</v>
      </c>
      <c r="R1088" s="2" t="s">
        <v>353</v>
      </c>
      <c r="S1088" s="2" t="s">
        <v>3991</v>
      </c>
      <c r="T1088" s="2">
        <v>631604</v>
      </c>
      <c r="U1088" s="2" t="s">
        <v>38</v>
      </c>
      <c r="V1088" s="2" t="s">
        <v>23</v>
      </c>
      <c r="W1088" s="2">
        <v>4</v>
      </c>
      <c r="X1088" s="2">
        <v>0</v>
      </c>
      <c r="Y1088" s="2">
        <v>3</v>
      </c>
      <c r="Z1088" s="2">
        <v>1</v>
      </c>
      <c r="AA1088" s="193" t="s">
        <v>4148</v>
      </c>
      <c r="AB1088" s="2"/>
    </row>
    <row r="1089" spans="1:28" ht="15" customHeight="1">
      <c r="A1089" s="16">
        <v>1088</v>
      </c>
      <c r="B1089" s="13" t="s">
        <v>2854</v>
      </c>
      <c r="C1089" s="14" t="str">
        <f>_xlfn.CONCAT(B1089&amp;" "&amp;W1089&amp;X1089&amp;Y1089&amp;Z1089)</f>
        <v>Spectrum Electrical Industries Ltd 2010</v>
      </c>
      <c r="D1089" s="17">
        <v>1182</v>
      </c>
      <c r="E1089" s="13" t="s">
        <v>42</v>
      </c>
      <c r="F1089" s="13"/>
      <c r="G1089" s="28">
        <v>45843</v>
      </c>
      <c r="H1089" s="28"/>
      <c r="I1089" s="28"/>
      <c r="J1089" s="26">
        <v>45843</v>
      </c>
      <c r="K1089" s="26">
        <v>46207</v>
      </c>
      <c r="L1089" s="32">
        <v>3</v>
      </c>
      <c r="M1089" s="13" t="s">
        <v>3992</v>
      </c>
      <c r="N1089" s="13" t="s">
        <v>968</v>
      </c>
      <c r="O1089" s="19">
        <v>8788947707</v>
      </c>
      <c r="P1089" s="2" t="s">
        <v>3993</v>
      </c>
      <c r="Q1089" s="2" t="s">
        <v>5176</v>
      </c>
      <c r="R1089" s="2"/>
      <c r="S1089" s="2" t="s">
        <v>1410</v>
      </c>
      <c r="T1089" s="2">
        <v>425003</v>
      </c>
      <c r="U1089" s="2" t="s">
        <v>172</v>
      </c>
      <c r="V1089" s="2" t="s">
        <v>23</v>
      </c>
      <c r="W1089" s="2">
        <v>2</v>
      </c>
      <c r="X1089" s="2">
        <v>0</v>
      </c>
      <c r="Y1089" s="2">
        <v>1</v>
      </c>
      <c r="Z1089" s="2">
        <v>0</v>
      </c>
      <c r="AA1089" s="193" t="s">
        <v>4118</v>
      </c>
      <c r="AB1089" s="2"/>
    </row>
    <row r="1090" spans="1:28" ht="15" customHeight="1">
      <c r="A1090" s="16">
        <v>1089</v>
      </c>
      <c r="B1090" s="13" t="s">
        <v>3053</v>
      </c>
      <c r="C1090" s="14" t="str">
        <f>_xlfn.CONCAT(B1090&amp;" "&amp;W1090&amp;X1090&amp;Y1090&amp;Z1090)</f>
        <v>Terminal Technologies (I) Pvt Ltd 2112</v>
      </c>
      <c r="D1090" s="17">
        <v>1185</v>
      </c>
      <c r="E1090" s="13" t="s">
        <v>42</v>
      </c>
      <c r="F1090" s="13"/>
      <c r="G1090" s="28">
        <v>45848</v>
      </c>
      <c r="H1090" s="28"/>
      <c r="I1090" s="28"/>
      <c r="J1090" s="26">
        <v>45848</v>
      </c>
      <c r="K1090" s="26">
        <v>46577</v>
      </c>
      <c r="L1090" s="32">
        <v>3</v>
      </c>
      <c r="M1090" s="13" t="s">
        <v>3994</v>
      </c>
      <c r="N1090" s="13" t="s">
        <v>2150</v>
      </c>
      <c r="O1090" s="19">
        <v>9545455067</v>
      </c>
      <c r="P1090" s="2" t="s">
        <v>3056</v>
      </c>
      <c r="Q1090" s="2" t="s">
        <v>5177</v>
      </c>
      <c r="R1090" s="2" t="s">
        <v>2143</v>
      </c>
      <c r="S1090" s="2" t="s">
        <v>178</v>
      </c>
      <c r="T1090" s="2">
        <v>401208</v>
      </c>
      <c r="U1090" s="2" t="s">
        <v>172</v>
      </c>
      <c r="V1090" s="2" t="s">
        <v>23</v>
      </c>
      <c r="W1090" s="2">
        <v>2</v>
      </c>
      <c r="X1090" s="2">
        <v>1</v>
      </c>
      <c r="Y1090" s="2">
        <v>1</v>
      </c>
      <c r="Z1090" s="2">
        <v>2</v>
      </c>
      <c r="AA1090" s="193" t="s">
        <v>4118</v>
      </c>
      <c r="AB1090" s="2"/>
    </row>
    <row r="1091" spans="1:28" ht="15" customHeight="1">
      <c r="A1091" s="16">
        <v>1090</v>
      </c>
      <c r="B1091" s="13" t="s">
        <v>3995</v>
      </c>
      <c r="C1091" s="14" t="str">
        <f>_xlfn.CONCAT(B1091&amp;" "&amp;W1091&amp;X1091&amp;Y1091&amp;Z1091)</f>
        <v>Pushpagiri CNC 8051</v>
      </c>
      <c r="D1091" s="17">
        <v>1184</v>
      </c>
      <c r="E1091" s="13" t="s">
        <v>42</v>
      </c>
      <c r="F1091" s="13"/>
      <c r="G1091" s="28">
        <v>45857</v>
      </c>
      <c r="H1091" s="28"/>
      <c r="I1091" s="28"/>
      <c r="J1091" s="26">
        <v>45857</v>
      </c>
      <c r="K1091" s="26">
        <v>46221</v>
      </c>
      <c r="L1091" s="32">
        <v>3</v>
      </c>
      <c r="M1091" s="13" t="s">
        <v>3996</v>
      </c>
      <c r="N1091" s="13" t="s">
        <v>17</v>
      </c>
      <c r="O1091" s="19">
        <v>9141460116</v>
      </c>
      <c r="P1091" s="2" t="s">
        <v>2529</v>
      </c>
      <c r="Q1091" s="2" t="s">
        <v>5178</v>
      </c>
      <c r="R1091" s="2" t="s">
        <v>1512</v>
      </c>
      <c r="S1091" s="2" t="s">
        <v>21</v>
      </c>
      <c r="T1091" s="2">
        <v>560058</v>
      </c>
      <c r="U1091" s="2" t="s">
        <v>22</v>
      </c>
      <c r="V1091" s="2" t="s">
        <v>23</v>
      </c>
      <c r="W1091" s="2">
        <v>8</v>
      </c>
      <c r="X1091" s="2">
        <v>0</v>
      </c>
      <c r="Y1091" s="2">
        <v>5</v>
      </c>
      <c r="Z1091" s="2">
        <v>1</v>
      </c>
      <c r="AA1091" s="193" t="s">
        <v>4118</v>
      </c>
      <c r="AB1091" s="2"/>
    </row>
    <row r="1092" spans="1:28" ht="15" customHeight="1">
      <c r="A1092" s="16">
        <v>1091</v>
      </c>
      <c r="B1092" s="13" t="s">
        <v>3997</v>
      </c>
      <c r="C1092" s="14" t="str">
        <f>_xlfn.CONCAT(B1092&amp;" "&amp;W1092&amp;X1092&amp;Y1092&amp;Z1092)</f>
        <v>Modison Ltd 2111</v>
      </c>
      <c r="D1092" s="17">
        <v>1167</v>
      </c>
      <c r="E1092" s="13" t="s">
        <v>90</v>
      </c>
      <c r="F1092" s="13"/>
      <c r="G1092" s="28">
        <v>45860</v>
      </c>
      <c r="H1092" s="28"/>
      <c r="I1092" s="28"/>
      <c r="J1092" s="26">
        <v>45860</v>
      </c>
      <c r="K1092" s="26">
        <v>46224</v>
      </c>
      <c r="L1092" s="32">
        <v>3</v>
      </c>
      <c r="M1092" s="13" t="s">
        <v>3998</v>
      </c>
      <c r="N1092" s="13" t="s">
        <v>3999</v>
      </c>
      <c r="O1092" s="19" t="s">
        <v>4000</v>
      </c>
      <c r="P1092" s="2" t="s">
        <v>1812</v>
      </c>
      <c r="Q1092" s="2" t="s">
        <v>5179</v>
      </c>
      <c r="R1092" s="2" t="s">
        <v>4001</v>
      </c>
      <c r="S1092" s="2" t="s">
        <v>2931</v>
      </c>
      <c r="T1092" s="2">
        <v>396195</v>
      </c>
      <c r="U1092" s="2" t="s">
        <v>144</v>
      </c>
      <c r="V1092" s="2" t="s">
        <v>23</v>
      </c>
      <c r="W1092" s="2">
        <v>2</v>
      </c>
      <c r="X1092" s="2">
        <v>1</v>
      </c>
      <c r="Y1092" s="2">
        <v>1</v>
      </c>
      <c r="Z1092" s="2">
        <v>1</v>
      </c>
      <c r="AA1092" s="193" t="s">
        <v>4118</v>
      </c>
      <c r="AB1092" s="2"/>
    </row>
    <row r="1093" spans="1:28" ht="15" customHeight="1">
      <c r="A1093" s="16">
        <v>1092</v>
      </c>
      <c r="B1093" s="13" t="s">
        <v>3053</v>
      </c>
      <c r="C1093" s="14" t="str">
        <f>_xlfn.CONCAT(B1093&amp;" "&amp;W1093&amp;X1093&amp;Y1093&amp;Z1093)</f>
        <v>Terminal Technologies (I) Pvt Ltd 2421</v>
      </c>
      <c r="D1093" s="17">
        <v>1192</v>
      </c>
      <c r="E1093" s="13" t="s">
        <v>42</v>
      </c>
      <c r="F1093" s="13"/>
      <c r="G1093" s="28">
        <v>45864</v>
      </c>
      <c r="H1093" s="28"/>
      <c r="I1093" s="28"/>
      <c r="J1093" s="26">
        <v>45864</v>
      </c>
      <c r="K1093" s="26">
        <v>46593</v>
      </c>
      <c r="L1093" s="32">
        <v>3</v>
      </c>
      <c r="M1093" s="13" t="s">
        <v>3057</v>
      </c>
      <c r="N1093" s="13" t="s">
        <v>2145</v>
      </c>
      <c r="O1093" s="19">
        <v>9545455045</v>
      </c>
      <c r="P1093" s="2" t="s">
        <v>2146</v>
      </c>
      <c r="Q1093" s="2" t="s">
        <v>4641</v>
      </c>
      <c r="R1093" s="2" t="s">
        <v>2147</v>
      </c>
      <c r="S1093" s="2" t="s">
        <v>215</v>
      </c>
      <c r="T1093" s="2">
        <v>410501</v>
      </c>
      <c r="U1093" s="2" t="s">
        <v>172</v>
      </c>
      <c r="V1093" s="2" t="s">
        <v>23</v>
      </c>
      <c r="W1093" s="2">
        <v>2</v>
      </c>
      <c r="X1093" s="2">
        <v>4</v>
      </c>
      <c r="Y1093" s="2">
        <v>2</v>
      </c>
      <c r="Z1093" s="2">
        <v>1</v>
      </c>
      <c r="AA1093" s="193" t="s">
        <v>4151</v>
      </c>
      <c r="AB1093" s="2"/>
    </row>
    <row r="1094" spans="1:28" ht="15" customHeight="1">
      <c r="A1094" s="16">
        <v>1093</v>
      </c>
      <c r="B1094" s="13" t="s">
        <v>4002</v>
      </c>
      <c r="C1094" s="14" t="str">
        <f>_xlfn.CONCAT(B1094&amp;" "&amp;W1094&amp;X1094&amp;Y1094&amp;Z1094)</f>
        <v>Aimtech Toolings 8051</v>
      </c>
      <c r="D1094" s="17">
        <v>1183</v>
      </c>
      <c r="E1094" s="13" t="s">
        <v>42</v>
      </c>
      <c r="F1094" s="13"/>
      <c r="G1094" s="28">
        <v>45873</v>
      </c>
      <c r="H1094" s="28"/>
      <c r="I1094" s="28"/>
      <c r="J1094" s="26">
        <v>45873</v>
      </c>
      <c r="K1094" s="26">
        <v>46237</v>
      </c>
      <c r="L1094" s="32">
        <v>3</v>
      </c>
      <c r="M1094" s="13" t="s">
        <v>4003</v>
      </c>
      <c r="N1094" s="13" t="s">
        <v>17</v>
      </c>
      <c r="O1094" s="19">
        <v>9380961281</v>
      </c>
      <c r="P1094" s="2" t="s">
        <v>4004</v>
      </c>
      <c r="Q1094" s="2" t="s">
        <v>5180</v>
      </c>
      <c r="R1094" s="2"/>
      <c r="S1094" s="2" t="s">
        <v>21</v>
      </c>
      <c r="T1094" s="2">
        <v>560091</v>
      </c>
      <c r="U1094" s="2" t="s">
        <v>22</v>
      </c>
      <c r="V1094" s="2" t="s">
        <v>23</v>
      </c>
      <c r="W1094" s="2">
        <v>8</v>
      </c>
      <c r="X1094" s="2">
        <v>0</v>
      </c>
      <c r="Y1094" s="2">
        <v>5</v>
      </c>
      <c r="Z1094" s="2">
        <v>1</v>
      </c>
      <c r="AA1094" s="193" t="s">
        <v>4118</v>
      </c>
      <c r="AB1094" s="2"/>
    </row>
    <row r="1095" spans="1:28" ht="15" customHeight="1">
      <c r="A1095" s="16">
        <v>1094</v>
      </c>
      <c r="B1095" s="13" t="s">
        <v>4005</v>
      </c>
      <c r="C1095" s="14" t="str">
        <f>_xlfn.CONCAT(B1095&amp;" "&amp;W1095&amp;X1095&amp;Y1095&amp;Z1095)</f>
        <v>Protectron Mechatronics Pvt Ltd 8031</v>
      </c>
      <c r="D1095" s="17">
        <v>1190</v>
      </c>
      <c r="E1095" s="13" t="s">
        <v>42</v>
      </c>
      <c r="F1095" s="13"/>
      <c r="G1095" s="28">
        <v>45875</v>
      </c>
      <c r="H1095" s="28"/>
      <c r="I1095" s="28"/>
      <c r="J1095" s="26">
        <v>45875</v>
      </c>
      <c r="K1095" s="26">
        <v>46970</v>
      </c>
      <c r="L1095" s="32">
        <v>3</v>
      </c>
      <c r="M1095" s="13" t="s">
        <v>4006</v>
      </c>
      <c r="N1095" s="13" t="s">
        <v>2537</v>
      </c>
      <c r="O1095" s="19">
        <v>9844499101</v>
      </c>
      <c r="P1095" s="2" t="s">
        <v>4007</v>
      </c>
      <c r="Q1095" s="2" t="s">
        <v>5181</v>
      </c>
      <c r="R1095" s="2" t="s">
        <v>4008</v>
      </c>
      <c r="S1095" s="2" t="s">
        <v>21</v>
      </c>
      <c r="T1095" s="2">
        <v>560070</v>
      </c>
      <c r="U1095" s="2" t="s">
        <v>22</v>
      </c>
      <c r="V1095" s="2" t="s">
        <v>23</v>
      </c>
      <c r="W1095" s="2">
        <v>8</v>
      </c>
      <c r="X1095" s="2">
        <v>0</v>
      </c>
      <c r="Y1095" s="2">
        <v>3</v>
      </c>
      <c r="Z1095" s="2">
        <v>1</v>
      </c>
      <c r="AA1095" s="193" t="s">
        <v>4118</v>
      </c>
      <c r="AB1095" s="2"/>
    </row>
    <row r="1096" spans="1:28" ht="15" customHeight="1">
      <c r="A1096" s="16">
        <v>1095</v>
      </c>
      <c r="B1096" s="13" t="s">
        <v>4009</v>
      </c>
      <c r="C1096" s="14" t="str">
        <f>_xlfn.CONCAT(B1096&amp;" "&amp;W1096&amp;X1096&amp;Y1096&amp;Z1096)</f>
        <v>SR Automats 8031</v>
      </c>
      <c r="D1096" s="17">
        <v>1186</v>
      </c>
      <c r="E1096" s="13" t="s">
        <v>90</v>
      </c>
      <c r="F1096" s="13"/>
      <c r="G1096" s="28">
        <v>45877</v>
      </c>
      <c r="H1096" s="28"/>
      <c r="I1096" s="28"/>
      <c r="J1096" s="26">
        <v>45877</v>
      </c>
      <c r="K1096" s="26">
        <v>46241</v>
      </c>
      <c r="L1096" s="32">
        <v>3</v>
      </c>
      <c r="M1096" s="13" t="s">
        <v>4010</v>
      </c>
      <c r="N1096" s="13" t="s">
        <v>28</v>
      </c>
      <c r="O1096" s="19">
        <v>9844177537</v>
      </c>
      <c r="P1096" s="2" t="s">
        <v>4011</v>
      </c>
      <c r="Q1096" s="2" t="s">
        <v>5182</v>
      </c>
      <c r="R1096" s="2" t="s">
        <v>4012</v>
      </c>
      <c r="S1096" s="2" t="s">
        <v>21</v>
      </c>
      <c r="T1096" s="2">
        <v>560044</v>
      </c>
      <c r="U1096" s="2" t="s">
        <v>22</v>
      </c>
      <c r="V1096" s="2" t="s">
        <v>23</v>
      </c>
      <c r="W1096" s="2">
        <v>8</v>
      </c>
      <c r="X1096" s="2">
        <v>0</v>
      </c>
      <c r="Y1096" s="2">
        <v>3</v>
      </c>
      <c r="Z1096" s="2">
        <v>1</v>
      </c>
      <c r="AA1096" s="193" t="s">
        <v>4118</v>
      </c>
      <c r="AB1096" s="2"/>
    </row>
    <row r="1097" spans="1:28" ht="15" customHeight="1">
      <c r="A1097" s="16">
        <v>1096</v>
      </c>
      <c r="B1097" s="13" t="s">
        <v>3053</v>
      </c>
      <c r="C1097" s="14" t="str">
        <f>_xlfn.CONCAT(B1097&amp;" "&amp;W1097&amp;X1097&amp;Y1097&amp;Z1097)</f>
        <v>Terminal Technologies (I) Pvt Ltd 2421</v>
      </c>
      <c r="D1097" s="17">
        <v>1191</v>
      </c>
      <c r="E1097" s="13" t="s">
        <v>42</v>
      </c>
      <c r="F1097" s="13"/>
      <c r="G1097" s="28">
        <v>45885</v>
      </c>
      <c r="H1097" s="28"/>
      <c r="I1097" s="28"/>
      <c r="J1097" s="26">
        <v>45885</v>
      </c>
      <c r="K1097" s="26">
        <v>46614</v>
      </c>
      <c r="L1097" s="32">
        <v>3</v>
      </c>
      <c r="M1097" s="13" t="s">
        <v>3057</v>
      </c>
      <c r="N1097" s="13" t="s">
        <v>2145</v>
      </c>
      <c r="O1097" s="19">
        <v>9545455045</v>
      </c>
      <c r="P1097" s="2" t="s">
        <v>2146</v>
      </c>
      <c r="Q1097" s="2" t="s">
        <v>4641</v>
      </c>
      <c r="R1097" s="2" t="s">
        <v>2147</v>
      </c>
      <c r="S1097" s="2" t="s">
        <v>215</v>
      </c>
      <c r="T1097" s="2">
        <v>410501</v>
      </c>
      <c r="U1097" s="2" t="s">
        <v>172</v>
      </c>
      <c r="V1097" s="2" t="s">
        <v>23</v>
      </c>
      <c r="W1097" s="2">
        <v>2</v>
      </c>
      <c r="X1097" s="2">
        <v>4</v>
      </c>
      <c r="Y1097" s="2">
        <v>2</v>
      </c>
      <c r="Z1097" s="2">
        <v>1</v>
      </c>
      <c r="AA1097" s="193" t="s">
        <v>4151</v>
      </c>
      <c r="AB1097" s="2"/>
    </row>
    <row r="1098" spans="1:28" ht="15" customHeight="1">
      <c r="A1098" s="16">
        <v>1097</v>
      </c>
      <c r="B1098" s="13" t="s">
        <v>4013</v>
      </c>
      <c r="C1098" s="14" t="str">
        <f>_xlfn.CONCAT(B1098&amp;" "&amp;W1098&amp;X1098&amp;Y1098&amp;Z1098)</f>
        <v>Veer-O-Metals Pvt Ltd 8054</v>
      </c>
      <c r="D1098" s="17">
        <v>1169</v>
      </c>
      <c r="E1098" s="13" t="s">
        <v>2082</v>
      </c>
      <c r="F1098" s="13"/>
      <c r="G1098" s="28">
        <v>45893</v>
      </c>
      <c r="H1098" s="28"/>
      <c r="I1098" s="28"/>
      <c r="J1098" s="26">
        <v>45893</v>
      </c>
      <c r="K1098" s="26">
        <v>46257</v>
      </c>
      <c r="L1098" s="32">
        <v>3</v>
      </c>
      <c r="M1098" s="13" t="s">
        <v>4014</v>
      </c>
      <c r="N1098" s="13" t="s">
        <v>3558</v>
      </c>
      <c r="O1098" s="19">
        <v>9916941285</v>
      </c>
      <c r="P1098" s="2" t="s">
        <v>4015</v>
      </c>
      <c r="Q1098" s="2" t="s">
        <v>5183</v>
      </c>
      <c r="R1098" s="2" t="s">
        <v>3510</v>
      </c>
      <c r="S1098" s="2" t="s">
        <v>21</v>
      </c>
      <c r="T1098" s="2">
        <v>562123</v>
      </c>
      <c r="U1098" s="2" t="s">
        <v>22</v>
      </c>
      <c r="V1098" s="2" t="s">
        <v>23</v>
      </c>
      <c r="W1098" s="2">
        <v>8</v>
      </c>
      <c r="X1098" s="2">
        <v>0</v>
      </c>
      <c r="Y1098" s="2">
        <v>5</v>
      </c>
      <c r="Z1098" s="2">
        <v>4</v>
      </c>
      <c r="AA1098" s="193" t="s">
        <v>4118</v>
      </c>
      <c r="AB1098" s="2"/>
    </row>
    <row r="1099" spans="1:28" ht="15" customHeight="1">
      <c r="A1099" s="16">
        <v>1098</v>
      </c>
      <c r="B1099" s="13" t="s">
        <v>4016</v>
      </c>
      <c r="C1099" s="14" t="str">
        <f>_xlfn.CONCAT(B1099&amp;" "&amp;W1099&amp;X1099&amp;Y1099&amp;Z1099)</f>
        <v>LPS Bossard Pvt Ltd 1122</v>
      </c>
      <c r="D1099" s="17">
        <v>1193</v>
      </c>
      <c r="E1099" s="13" t="s">
        <v>42</v>
      </c>
      <c r="F1099" s="13"/>
      <c r="G1099" s="28">
        <v>45901</v>
      </c>
      <c r="H1099" s="28"/>
      <c r="I1099" s="28"/>
      <c r="J1099" s="26">
        <v>45901</v>
      </c>
      <c r="K1099" s="26">
        <v>46265</v>
      </c>
      <c r="L1099" s="32">
        <v>3</v>
      </c>
      <c r="M1099" s="13" t="s">
        <v>4017</v>
      </c>
      <c r="N1099" s="13" t="s">
        <v>4018</v>
      </c>
      <c r="O1099" s="19">
        <v>7015993083</v>
      </c>
      <c r="P1099" s="2" t="s">
        <v>4019</v>
      </c>
      <c r="Q1099" s="2" t="s">
        <v>5184</v>
      </c>
      <c r="R1099" s="2"/>
      <c r="S1099" s="2" t="s">
        <v>1529</v>
      </c>
      <c r="T1099" s="2">
        <v>124001</v>
      </c>
      <c r="U1099" s="2" t="s">
        <v>429</v>
      </c>
      <c r="V1099" s="2" t="s">
        <v>23</v>
      </c>
      <c r="W1099" s="2">
        <v>1</v>
      </c>
      <c r="X1099" s="2">
        <v>1</v>
      </c>
      <c r="Y1099" s="2">
        <v>2</v>
      </c>
      <c r="Z1099" s="2">
        <v>2</v>
      </c>
      <c r="AA1099" s="193" t="s">
        <v>4118</v>
      </c>
      <c r="AB1099" s="2"/>
    </row>
    <row r="1100" spans="1:28" ht="15" customHeight="1">
      <c r="A1100" s="16">
        <v>1099</v>
      </c>
      <c r="B1100" s="13" t="s">
        <v>4020</v>
      </c>
      <c r="C1100" s="14" t="str">
        <f>_xlfn.CONCAT(B1100&amp;" "&amp;W1100&amp;X1100&amp;Y1100&amp;Z1100)</f>
        <v>AR Precision 8021</v>
      </c>
      <c r="D1100" s="17">
        <v>1188</v>
      </c>
      <c r="E1100" s="13" t="s">
        <v>90</v>
      </c>
      <c r="F1100" s="13"/>
      <c r="G1100" s="28">
        <v>45903</v>
      </c>
      <c r="H1100" s="28"/>
      <c r="I1100" s="28"/>
      <c r="J1100" s="26">
        <v>45903</v>
      </c>
      <c r="K1100" s="26">
        <v>46267</v>
      </c>
      <c r="L1100" s="32">
        <v>3</v>
      </c>
      <c r="M1100" s="13" t="s">
        <v>2828</v>
      </c>
      <c r="N1100" s="13" t="s">
        <v>17</v>
      </c>
      <c r="O1100" s="19">
        <v>9740696216</v>
      </c>
      <c r="P1100" s="2" t="s">
        <v>4021</v>
      </c>
      <c r="Q1100" s="2" t="s">
        <v>5185</v>
      </c>
      <c r="R1100" s="2" t="s">
        <v>4022</v>
      </c>
      <c r="S1100" s="2" t="s">
        <v>21</v>
      </c>
      <c r="T1100" s="2">
        <v>560105</v>
      </c>
      <c r="U1100" s="2" t="s">
        <v>22</v>
      </c>
      <c r="V1100" s="2" t="s">
        <v>23</v>
      </c>
      <c r="W1100" s="2">
        <v>8</v>
      </c>
      <c r="X1100" s="2">
        <v>0</v>
      </c>
      <c r="Y1100" s="2">
        <v>2</v>
      </c>
      <c r="Z1100" s="2">
        <v>1</v>
      </c>
      <c r="AA1100" s="193" t="s">
        <v>4118</v>
      </c>
      <c r="AB1100" s="2"/>
    </row>
    <row r="1101" spans="1:28" ht="15" customHeight="1">
      <c r="A1101" s="16">
        <v>1100</v>
      </c>
      <c r="B1101" s="13" t="s">
        <v>4023</v>
      </c>
      <c r="C1101" s="14" t="str">
        <f>_xlfn.CONCAT(B1101&amp;" "&amp;W1101&amp;X1101&amp;Y1101&amp;Z1101)</f>
        <v>Carboloy Precision Stamping 4161</v>
      </c>
      <c r="D1101" s="17">
        <v>1187</v>
      </c>
      <c r="E1101" s="13" t="s">
        <v>90</v>
      </c>
      <c r="F1101" s="13"/>
      <c r="G1101" s="28">
        <v>45911</v>
      </c>
      <c r="H1101" s="28"/>
      <c r="I1101" s="28"/>
      <c r="J1101" s="26">
        <v>45911</v>
      </c>
      <c r="K1101" s="26">
        <v>46275</v>
      </c>
      <c r="L1101" s="32">
        <v>3</v>
      </c>
      <c r="M1101" s="13" t="s">
        <v>2493</v>
      </c>
      <c r="N1101" s="13"/>
      <c r="O1101" s="19">
        <v>9566589301</v>
      </c>
      <c r="P1101" s="2" t="s">
        <v>4024</v>
      </c>
      <c r="Q1101" s="2" t="s">
        <v>5186</v>
      </c>
      <c r="R1101" s="2" t="s">
        <v>448</v>
      </c>
      <c r="S1101" s="2" t="s">
        <v>101</v>
      </c>
      <c r="T1101" s="2">
        <v>641049</v>
      </c>
      <c r="U1101" s="2" t="s">
        <v>38</v>
      </c>
      <c r="V1101" s="2" t="s">
        <v>23</v>
      </c>
      <c r="W1101" s="2">
        <v>4</v>
      </c>
      <c r="X1101" s="2">
        <v>1</v>
      </c>
      <c r="Y1101" s="2">
        <v>6</v>
      </c>
      <c r="Z1101" s="2">
        <v>1</v>
      </c>
      <c r="AA1101" s="193" t="s">
        <v>4148</v>
      </c>
      <c r="AB1101" s="2"/>
    </row>
    <row r="1102" spans="1:28" ht="15" customHeight="1">
      <c r="A1102" s="16">
        <v>1101</v>
      </c>
      <c r="B1102" s="13" t="s">
        <v>4025</v>
      </c>
      <c r="C1102" s="14" t="str">
        <f>_xlfn.CONCAT(B1102&amp;" "&amp;W1102&amp;X1102&amp;Y1102&amp;Z1102)</f>
        <v>Speciality Sintered Products P Ltd 2421</v>
      </c>
      <c r="D1102" s="17">
        <v>1195</v>
      </c>
      <c r="E1102" s="13" t="s">
        <v>42</v>
      </c>
      <c r="F1102" s="13"/>
      <c r="G1102" s="28">
        <v>45913</v>
      </c>
      <c r="H1102" s="28"/>
      <c r="I1102" s="28"/>
      <c r="J1102" s="26">
        <v>45913</v>
      </c>
      <c r="K1102" s="26">
        <v>46279</v>
      </c>
      <c r="L1102" s="32">
        <v>3</v>
      </c>
      <c r="M1102" s="13" t="s">
        <v>4026</v>
      </c>
      <c r="N1102" s="13" t="s">
        <v>4027</v>
      </c>
      <c r="O1102" s="19">
        <v>9850844076</v>
      </c>
      <c r="P1102" s="2" t="s">
        <v>4028</v>
      </c>
      <c r="Q1102" s="2" t="s">
        <v>5187</v>
      </c>
      <c r="R1102" s="2" t="s">
        <v>480</v>
      </c>
      <c r="S1102" s="2" t="s">
        <v>215</v>
      </c>
      <c r="T1102" s="2">
        <v>410501</v>
      </c>
      <c r="U1102" s="2" t="s">
        <v>172</v>
      </c>
      <c r="V1102" s="2" t="s">
        <v>23</v>
      </c>
      <c r="W1102" s="2">
        <v>2</v>
      </c>
      <c r="X1102" s="2">
        <v>4</v>
      </c>
      <c r="Y1102" s="2">
        <v>2</v>
      </c>
      <c r="Z1102" s="2">
        <v>1</v>
      </c>
      <c r="AA1102" s="193" t="s">
        <v>4151</v>
      </c>
      <c r="AB1102" s="2"/>
    </row>
    <row r="1103" spans="1:28" ht="15" customHeight="1">
      <c r="A1103" s="16">
        <v>1102</v>
      </c>
      <c r="B1103" s="13" t="s">
        <v>4029</v>
      </c>
      <c r="C1103" s="14" t="str">
        <f>_xlfn.CONCAT(B1103&amp;" "&amp;W1103&amp;X1103&amp;Y1103&amp;Z1103)</f>
        <v>Elemech Engg Solution (Bhavani Industries) 8051</v>
      </c>
      <c r="D1103" s="17">
        <v>1194</v>
      </c>
      <c r="E1103" s="13" t="s">
        <v>42</v>
      </c>
      <c r="F1103" s="13"/>
      <c r="G1103" s="28">
        <v>45916</v>
      </c>
      <c r="H1103" s="28"/>
      <c r="I1103" s="28"/>
      <c r="J1103" s="26">
        <v>45916</v>
      </c>
      <c r="K1103" s="26">
        <v>46280</v>
      </c>
      <c r="L1103" s="32">
        <v>3</v>
      </c>
      <c r="M1103" s="13" t="s">
        <v>4030</v>
      </c>
      <c r="N1103" s="13" t="s">
        <v>17</v>
      </c>
      <c r="O1103" s="19">
        <v>9980139472</v>
      </c>
      <c r="P1103" s="2" t="s">
        <v>4031</v>
      </c>
      <c r="Q1103" s="2" t="s">
        <v>5188</v>
      </c>
      <c r="R1103" s="2" t="s">
        <v>4032</v>
      </c>
      <c r="S1103" s="2" t="s">
        <v>21</v>
      </c>
      <c r="T1103" s="2">
        <v>560058</v>
      </c>
      <c r="U1103" s="2" t="s">
        <v>22</v>
      </c>
      <c r="V1103" s="2" t="s">
        <v>23</v>
      </c>
      <c r="W1103" s="2">
        <v>8</v>
      </c>
      <c r="X1103" s="2">
        <v>0</v>
      </c>
      <c r="Y1103" s="2">
        <v>5</v>
      </c>
      <c r="Z1103" s="2">
        <v>1</v>
      </c>
      <c r="AA1103" s="193" t="s">
        <v>4118</v>
      </c>
      <c r="AB1103" s="2"/>
    </row>
    <row r="1104" spans="1:28" ht="15" customHeight="1">
      <c r="A1104" s="16">
        <v>1103</v>
      </c>
      <c r="B1104" s="13" t="s">
        <v>4033</v>
      </c>
      <c r="C1104" s="14" t="str">
        <f>_xlfn.CONCAT(B1104&amp;" "&amp;W1104&amp;X1104&amp;Y1104&amp;Z1104)</f>
        <v>Resolute Star Pvt Ltd (Skyquad Electronics &amp; Appliances Pvt Ltd) 6011</v>
      </c>
      <c r="D1104" s="17">
        <v>1179</v>
      </c>
      <c r="E1104" s="13" t="s">
        <v>90</v>
      </c>
      <c r="F1104" s="13"/>
      <c r="G1104" s="28">
        <v>45923</v>
      </c>
      <c r="H1104" s="28"/>
      <c r="I1104" s="28"/>
      <c r="J1104" s="26">
        <v>45923</v>
      </c>
      <c r="K1104" s="26">
        <v>46287</v>
      </c>
      <c r="L1104" s="32">
        <v>3</v>
      </c>
      <c r="M1104" s="13" t="s">
        <v>4034</v>
      </c>
      <c r="N1104" s="13" t="s">
        <v>4035</v>
      </c>
      <c r="O1104" s="19">
        <v>9629199092</v>
      </c>
      <c r="P1104" s="2" t="s">
        <v>4036</v>
      </c>
      <c r="Q1104" s="2" t="s">
        <v>5189</v>
      </c>
      <c r="R1104" s="2" t="s">
        <v>4037</v>
      </c>
      <c r="S1104" s="2" t="s">
        <v>53</v>
      </c>
      <c r="T1104" s="2">
        <v>501359</v>
      </c>
      <c r="U1104" s="2" t="s">
        <v>1844</v>
      </c>
      <c r="V1104" s="2" t="s">
        <v>23</v>
      </c>
      <c r="W1104" s="2">
        <v>6</v>
      </c>
      <c r="X1104" s="2">
        <v>0</v>
      </c>
      <c r="Y1104" s="2">
        <v>1</v>
      </c>
      <c r="Z1104" s="2">
        <v>1</v>
      </c>
      <c r="AA1104" s="193" t="s">
        <v>4148</v>
      </c>
      <c r="AB1104" s="2"/>
    </row>
    <row r="1105" spans="1:28" ht="15" customHeight="1">
      <c r="A1105" s="16">
        <v>1104</v>
      </c>
      <c r="B1105" s="13" t="s">
        <v>2356</v>
      </c>
      <c r="C1105" s="14" t="str">
        <f>_xlfn.CONCAT(B1105&amp;" "&amp;W1105&amp;X1105&amp;Y1105&amp;Z1105)</f>
        <v>British Engines India Pvt Ltd 8013</v>
      </c>
      <c r="D1105" s="17">
        <v>1170</v>
      </c>
      <c r="E1105" s="13" t="s">
        <v>3359</v>
      </c>
      <c r="F1105" s="13"/>
      <c r="G1105" s="28">
        <v>45926</v>
      </c>
      <c r="H1105" s="28"/>
      <c r="I1105" s="28"/>
      <c r="J1105" s="26">
        <v>45926</v>
      </c>
      <c r="K1105" s="26">
        <v>46290</v>
      </c>
      <c r="L1105" s="32">
        <v>3</v>
      </c>
      <c r="M1105" s="13" t="s">
        <v>4038</v>
      </c>
      <c r="N1105" s="13" t="s">
        <v>4027</v>
      </c>
      <c r="O1105" s="19"/>
      <c r="P1105" s="2" t="s">
        <v>4039</v>
      </c>
      <c r="Q1105" s="2" t="s">
        <v>5190</v>
      </c>
      <c r="R1105" s="2" t="s">
        <v>4040</v>
      </c>
      <c r="S1105" s="2" t="s">
        <v>21</v>
      </c>
      <c r="T1105" s="2">
        <v>562107</v>
      </c>
      <c r="U1105" s="2" t="s">
        <v>22</v>
      </c>
      <c r="V1105" s="2" t="s">
        <v>23</v>
      </c>
      <c r="W1105" s="2">
        <v>8</v>
      </c>
      <c r="X1105" s="2">
        <v>0</v>
      </c>
      <c r="Y1105" s="2">
        <v>1</v>
      </c>
      <c r="Z1105" s="2">
        <v>3</v>
      </c>
      <c r="AA1105" s="193" t="s">
        <v>4118</v>
      </c>
      <c r="AB1105" s="2"/>
    </row>
    <row r="1106" spans="1:28" ht="15" customHeight="1">
      <c r="A1106" s="16">
        <v>1105</v>
      </c>
      <c r="B1106" s="13" t="s">
        <v>3014</v>
      </c>
      <c r="C1106" s="14" t="str">
        <f>_xlfn.CONCAT(B1106&amp;" "&amp;W1106&amp;X1106&amp;Y1106&amp;Z1106)</f>
        <v>TGT Tech Private Limited 8051</v>
      </c>
      <c r="D1106" s="17">
        <v>1196</v>
      </c>
      <c r="E1106" s="13" t="s">
        <v>42</v>
      </c>
      <c r="F1106" s="13"/>
      <c r="G1106" s="28">
        <v>45927</v>
      </c>
      <c r="H1106" s="28"/>
      <c r="I1106" s="28"/>
      <c r="J1106" s="26">
        <v>45927</v>
      </c>
      <c r="K1106" s="26">
        <v>46291</v>
      </c>
      <c r="L1106" s="32">
        <v>3</v>
      </c>
      <c r="M1106" s="13" t="s">
        <v>2542</v>
      </c>
      <c r="N1106" s="13" t="s">
        <v>28</v>
      </c>
      <c r="O1106" s="19">
        <v>9886126239</v>
      </c>
      <c r="P1106" s="2" t="s">
        <v>2543</v>
      </c>
      <c r="Q1106" s="2" t="s">
        <v>5191</v>
      </c>
      <c r="R1106" s="2" t="s">
        <v>1512</v>
      </c>
      <c r="S1106" s="2" t="s">
        <v>21</v>
      </c>
      <c r="T1106" s="2">
        <v>560058</v>
      </c>
      <c r="U1106" s="2" t="s">
        <v>22</v>
      </c>
      <c r="V1106" s="2" t="s">
        <v>23</v>
      </c>
      <c r="W1106" s="2">
        <v>8</v>
      </c>
      <c r="X1106" s="2">
        <v>0</v>
      </c>
      <c r="Y1106" s="2">
        <v>5</v>
      </c>
      <c r="Z1106" s="2">
        <v>1</v>
      </c>
      <c r="AA1106" s="193" t="s">
        <v>4118</v>
      </c>
      <c r="AB1106" s="2"/>
    </row>
    <row r="1107" spans="1:28" ht="15" customHeight="1">
      <c r="A1107" s="16">
        <v>1106</v>
      </c>
      <c r="B1107" s="13" t="s">
        <v>4041</v>
      </c>
      <c r="C1107" s="14" t="str">
        <f>_xlfn.CONCAT(B1107&amp;" "&amp;W1107&amp;X1107&amp;Y1107&amp;Z1107)</f>
        <v>SFO Technologies Pvt Ltd 4103</v>
      </c>
      <c r="D1107" s="17">
        <v>1197</v>
      </c>
      <c r="E1107" s="13" t="s">
        <v>42</v>
      </c>
      <c r="F1107" s="13"/>
      <c r="G1107" s="28">
        <v>45938</v>
      </c>
      <c r="H1107" s="28"/>
      <c r="I1107" s="28"/>
      <c r="J1107" s="26">
        <v>45938</v>
      </c>
      <c r="K1107" s="26">
        <v>46302</v>
      </c>
      <c r="L1107" s="32">
        <v>3</v>
      </c>
      <c r="M1107" s="13" t="s">
        <v>4042</v>
      </c>
      <c r="N1107" s="13"/>
      <c r="O1107" s="19">
        <v>9995446711</v>
      </c>
      <c r="P1107" s="2" t="s">
        <v>4043</v>
      </c>
      <c r="Q1107" s="2" t="s">
        <v>5192</v>
      </c>
      <c r="R1107" s="2" t="s">
        <v>4044</v>
      </c>
      <c r="S1107" s="2" t="s">
        <v>3865</v>
      </c>
      <c r="T1107" s="2">
        <v>683105</v>
      </c>
      <c r="U1107" s="2" t="s">
        <v>136</v>
      </c>
      <c r="V1107" s="2" t="s">
        <v>23</v>
      </c>
      <c r="W1107" s="2">
        <v>4</v>
      </c>
      <c r="X1107" s="2">
        <v>1</v>
      </c>
      <c r="Y1107" s="2">
        <v>0</v>
      </c>
      <c r="Z1107" s="2">
        <v>3</v>
      </c>
      <c r="AA1107" s="193" t="s">
        <v>4148</v>
      </c>
      <c r="AB1107" s="2"/>
    </row>
    <row r="1108" spans="1:28" ht="15" customHeight="1">
      <c r="A1108" s="16">
        <v>1107</v>
      </c>
      <c r="B1108" s="13" t="s">
        <v>2401</v>
      </c>
      <c r="C1108" s="14" t="str">
        <f>_xlfn.CONCAT(B1108&amp;" "&amp;W1108&amp;X1108&amp;Y1108&amp;Z1108)</f>
        <v>Oswin Industries 1334</v>
      </c>
      <c r="D1108" s="17">
        <v>1189</v>
      </c>
      <c r="E1108" s="13" t="s">
        <v>90</v>
      </c>
      <c r="F1108" s="13"/>
      <c r="G1108" s="28">
        <v>45938</v>
      </c>
      <c r="H1108" s="28"/>
      <c r="I1108" s="28"/>
      <c r="J1108" s="26">
        <v>45938</v>
      </c>
      <c r="K1108" s="26">
        <v>46302</v>
      </c>
      <c r="L1108" s="32">
        <v>3</v>
      </c>
      <c r="M1108" s="13" t="s">
        <v>3348</v>
      </c>
      <c r="N1108" s="13"/>
      <c r="O1108" s="19">
        <v>9872685267</v>
      </c>
      <c r="P1108" s="2" t="s">
        <v>4045</v>
      </c>
      <c r="Q1108" s="2" t="s">
        <v>5193</v>
      </c>
      <c r="R1108" s="2" t="s">
        <v>4046</v>
      </c>
      <c r="S1108" s="2" t="s">
        <v>4047</v>
      </c>
      <c r="T1108" s="2">
        <v>134118</v>
      </c>
      <c r="U1108" s="2" t="s">
        <v>429</v>
      </c>
      <c r="V1108" s="2" t="s">
        <v>23</v>
      </c>
      <c r="W1108" s="2">
        <v>1</v>
      </c>
      <c r="X1108" s="2">
        <v>3</v>
      </c>
      <c r="Y1108" s="2">
        <v>3</v>
      </c>
      <c r="Z1108" s="2">
        <v>4</v>
      </c>
      <c r="AA1108" s="193" t="s">
        <v>4118</v>
      </c>
      <c r="AB1108" s="2"/>
    </row>
    <row r="1109" spans="1:28" ht="15" customHeight="1">
      <c r="A1109" s="16">
        <v>1108</v>
      </c>
      <c r="B1109" s="13" t="s">
        <v>4048</v>
      </c>
      <c r="C1109" s="14" t="str">
        <f>_xlfn.CONCAT(B1109&amp;" "&amp;W1109&amp;X1109&amp;Y1109&amp;Z1109)</f>
        <v>Shiv Shakti Presstech Pvt Ltd 2224</v>
      </c>
      <c r="D1109" s="17">
        <v>1173</v>
      </c>
      <c r="E1109" s="13" t="s">
        <v>3581</v>
      </c>
      <c r="F1109" s="13"/>
      <c r="G1109" s="28">
        <v>45964</v>
      </c>
      <c r="H1109" s="28"/>
      <c r="I1109" s="28"/>
      <c r="J1109" s="26">
        <v>45964</v>
      </c>
      <c r="K1109" s="26">
        <v>46328</v>
      </c>
      <c r="L1109" s="32">
        <v>3</v>
      </c>
      <c r="M1109" s="13" t="s">
        <v>4049</v>
      </c>
      <c r="N1109" s="13" t="s">
        <v>339</v>
      </c>
      <c r="O1109" s="19">
        <v>9820022800</v>
      </c>
      <c r="P1109" s="2" t="s">
        <v>501</v>
      </c>
      <c r="Q1109" s="2" t="s">
        <v>5194</v>
      </c>
      <c r="R1109" s="2" t="s">
        <v>1205</v>
      </c>
      <c r="S1109" s="2" t="s">
        <v>259</v>
      </c>
      <c r="T1109" s="2">
        <v>400708</v>
      </c>
      <c r="U1109" s="2" t="s">
        <v>172</v>
      </c>
      <c r="V1109" s="2" t="s">
        <v>23</v>
      </c>
      <c r="W1109" s="2">
        <v>2</v>
      </c>
      <c r="X1109" s="2">
        <v>2</v>
      </c>
      <c r="Y1109" s="2">
        <v>2</v>
      </c>
      <c r="Z1109" s="2">
        <v>4</v>
      </c>
      <c r="AA1109" s="193" t="s">
        <v>4148</v>
      </c>
      <c r="AB1109" s="2"/>
    </row>
    <row r="1110" spans="1:28" ht="15" customHeight="1">
      <c r="A1110" s="16">
        <v>1109</v>
      </c>
      <c r="B1110" s="13" t="s">
        <v>4050</v>
      </c>
      <c r="C1110" s="14" t="str">
        <f>_xlfn.CONCAT(B1110&amp;" "&amp;W1110&amp;X1110&amp;Y1110&amp;Z1110)</f>
        <v>SGB Precision Tools 8012</v>
      </c>
      <c r="D1110" s="17">
        <v>1198</v>
      </c>
      <c r="E1110" s="13" t="s">
        <v>42</v>
      </c>
      <c r="F1110" s="13"/>
      <c r="G1110" s="28">
        <v>45967</v>
      </c>
      <c r="H1110" s="28"/>
      <c r="I1110" s="28"/>
      <c r="J1110" s="26">
        <v>45967</v>
      </c>
      <c r="K1110" s="26">
        <v>46331</v>
      </c>
      <c r="L1110" s="32">
        <v>3</v>
      </c>
      <c r="M1110" s="13" t="s">
        <v>4051</v>
      </c>
      <c r="N1110" s="13" t="s">
        <v>17</v>
      </c>
      <c r="O1110" s="19">
        <v>9606807803</v>
      </c>
      <c r="P1110" s="2" t="s">
        <v>4052</v>
      </c>
      <c r="Q1110" s="2" t="s">
        <v>5195</v>
      </c>
      <c r="R1110" s="2" t="s">
        <v>4053</v>
      </c>
      <c r="S1110" s="2" t="s">
        <v>21</v>
      </c>
      <c r="T1110" s="2">
        <v>560068</v>
      </c>
      <c r="U1110" s="2" t="s">
        <v>22</v>
      </c>
      <c r="V1110" s="2" t="s">
        <v>23</v>
      </c>
      <c r="W1110" s="2">
        <v>8</v>
      </c>
      <c r="X1110" s="2">
        <v>0</v>
      </c>
      <c r="Y1110" s="2">
        <v>1</v>
      </c>
      <c r="Z1110" s="2">
        <v>2</v>
      </c>
      <c r="AA1110" s="193" t="s">
        <v>4118</v>
      </c>
      <c r="AB1110" s="2"/>
    </row>
    <row r="1111" spans="1:28" ht="15" customHeight="1">
      <c r="A1111" s="16">
        <v>1110</v>
      </c>
      <c r="B1111" s="13" t="s">
        <v>4055</v>
      </c>
      <c r="C1111" s="14" t="str">
        <f>_xlfn.CONCAT(B1111&amp;" "&amp;W1111&amp;X1111&amp;Y1111&amp;Z1111)</f>
        <v>Divinestamp Pvt Ltd 8013</v>
      </c>
      <c r="D1111" s="17">
        <v>1203</v>
      </c>
      <c r="E1111" s="13" t="s">
        <v>90</v>
      </c>
      <c r="F1111" s="13"/>
      <c r="G1111" s="28">
        <v>45969</v>
      </c>
      <c r="H1111" s="28"/>
      <c r="I1111" s="28"/>
      <c r="J1111" s="26">
        <v>45969</v>
      </c>
      <c r="K1111" s="26">
        <v>46333</v>
      </c>
      <c r="L1111" s="32">
        <v>3</v>
      </c>
      <c r="M1111" s="13" t="s">
        <v>4056</v>
      </c>
      <c r="N1111" s="13" t="s">
        <v>71</v>
      </c>
      <c r="O1111" s="19">
        <v>9900124981</v>
      </c>
      <c r="P1111" s="2" t="s">
        <v>4057</v>
      </c>
      <c r="Q1111" s="2" t="s">
        <v>5196</v>
      </c>
      <c r="R1111" s="2" t="s">
        <v>4058</v>
      </c>
      <c r="S1111" s="2" t="s">
        <v>121</v>
      </c>
      <c r="T1111" s="2">
        <v>635126</v>
      </c>
      <c r="U1111" s="2" t="s">
        <v>38</v>
      </c>
      <c r="V1111" s="2" t="s">
        <v>23</v>
      </c>
      <c r="W1111" s="2">
        <v>8</v>
      </c>
      <c r="X1111" s="2">
        <v>0</v>
      </c>
      <c r="Y1111" s="2">
        <v>1</v>
      </c>
      <c r="Z1111" s="2">
        <v>3</v>
      </c>
      <c r="AA1111" s="193" t="s">
        <v>4118</v>
      </c>
      <c r="AB1111" s="2"/>
    </row>
    <row r="1112" spans="1:28" ht="15" customHeight="1">
      <c r="A1112" s="16">
        <v>1111</v>
      </c>
      <c r="B1112" s="13" t="s">
        <v>3617</v>
      </c>
      <c r="C1112" s="14" t="str">
        <f>_xlfn.CONCAT(B1112&amp;" "&amp;W1112&amp;X1112&amp;Y1112&amp;Z1112)</f>
        <v>Excelon Technologies 8051</v>
      </c>
      <c r="D1112" s="17">
        <v>1204</v>
      </c>
      <c r="E1112" s="13" t="s">
        <v>3720</v>
      </c>
      <c r="F1112" s="13"/>
      <c r="G1112" s="28">
        <v>45982</v>
      </c>
      <c r="H1112" s="28"/>
      <c r="I1112" s="28"/>
      <c r="J1112" s="26">
        <v>45982</v>
      </c>
      <c r="K1112" s="26">
        <v>46346</v>
      </c>
      <c r="L1112" s="32">
        <v>3</v>
      </c>
      <c r="M1112" s="13" t="s">
        <v>4060</v>
      </c>
      <c r="N1112" s="13" t="s">
        <v>339</v>
      </c>
      <c r="O1112" s="19">
        <v>9019408420</v>
      </c>
      <c r="P1112" s="2" t="s">
        <v>4061</v>
      </c>
      <c r="Q1112" s="2" t="s">
        <v>5197</v>
      </c>
      <c r="R1112" s="2" t="s">
        <v>1512</v>
      </c>
      <c r="S1112" s="2" t="s">
        <v>21</v>
      </c>
      <c r="T1112" s="2">
        <v>560058</v>
      </c>
      <c r="U1112" s="2" t="s">
        <v>22</v>
      </c>
      <c r="V1112" s="2" t="s">
        <v>23</v>
      </c>
      <c r="W1112" s="2">
        <v>8</v>
      </c>
      <c r="X1112" s="2">
        <v>0</v>
      </c>
      <c r="Y1112" s="2">
        <v>5</v>
      </c>
      <c r="Z1112" s="2">
        <v>1</v>
      </c>
      <c r="AA1112" s="193" t="s">
        <v>4118</v>
      </c>
      <c r="AB1112" s="2"/>
    </row>
    <row r="1113" spans="1:28" ht="15" customHeight="1">
      <c r="A1113" s="16">
        <v>1112</v>
      </c>
      <c r="B1113" s="13" t="s">
        <v>4062</v>
      </c>
      <c r="C1113" s="14" t="str">
        <f>_xlfn.CONCAT(B1113&amp;" "&amp;W1113&amp;X1113&amp;Y1113&amp;Z1113)</f>
        <v>Seyal Technologies Pvt Ltd 4161</v>
      </c>
      <c r="D1113" s="17">
        <v>1213</v>
      </c>
      <c r="E1113" s="13" t="s">
        <v>90</v>
      </c>
      <c r="F1113" s="13"/>
      <c r="G1113" s="28">
        <v>45993</v>
      </c>
      <c r="H1113" s="28"/>
      <c r="I1113" s="28"/>
      <c r="J1113" s="26">
        <v>45993</v>
      </c>
      <c r="K1113" s="26">
        <v>46357</v>
      </c>
      <c r="L1113" s="32">
        <v>3</v>
      </c>
      <c r="M1113" s="13" t="s">
        <v>4063</v>
      </c>
      <c r="N1113" s="13" t="s">
        <v>4064</v>
      </c>
      <c r="O1113" s="19">
        <v>9894722546</v>
      </c>
      <c r="P1113" s="2" t="s">
        <v>4065</v>
      </c>
      <c r="Q1113" s="2" t="s">
        <v>5198</v>
      </c>
      <c r="R1113" s="2" t="s">
        <v>4066</v>
      </c>
      <c r="S1113" s="2" t="s">
        <v>101</v>
      </c>
      <c r="T1113" s="2">
        <v>641048</v>
      </c>
      <c r="U1113" s="2" t="s">
        <v>38</v>
      </c>
      <c r="V1113" s="2" t="s">
        <v>23</v>
      </c>
      <c r="W1113" s="2">
        <v>4</v>
      </c>
      <c r="X1113" s="2">
        <v>1</v>
      </c>
      <c r="Y1113" s="2">
        <v>6</v>
      </c>
      <c r="Z1113" s="2">
        <v>1</v>
      </c>
      <c r="AA1113" s="193" t="s">
        <v>4148</v>
      </c>
      <c r="AB1113" s="2"/>
    </row>
    <row r="1114" spans="1:28" ht="15" customHeight="1">
      <c r="A1114" s="16">
        <v>1113</v>
      </c>
      <c r="B1114" s="13" t="s">
        <v>4067</v>
      </c>
      <c r="C1114" s="14" t="str">
        <f>_xlfn.CONCAT(B1114&amp;" "&amp;W1114&amp;X1114&amp;Y1114&amp;Z1114)</f>
        <v>Vishnu Moulds &amp; Dies 4101</v>
      </c>
      <c r="D1114" s="17">
        <v>1202</v>
      </c>
      <c r="E1114" s="13" t="s">
        <v>90</v>
      </c>
      <c r="F1114" s="13"/>
      <c r="G1114" s="28">
        <v>45993</v>
      </c>
      <c r="H1114" s="28"/>
      <c r="I1114" s="28"/>
      <c r="J1114" s="26">
        <v>45993</v>
      </c>
      <c r="K1114" s="26">
        <v>46357</v>
      </c>
      <c r="L1114" s="32">
        <v>3</v>
      </c>
      <c r="M1114" s="13" t="s">
        <v>4068</v>
      </c>
      <c r="N1114" s="13" t="s">
        <v>17</v>
      </c>
      <c r="O1114" s="19">
        <v>8608895820</v>
      </c>
      <c r="P1114" s="19" t="s">
        <v>4069</v>
      </c>
      <c r="Q1114" s="19" t="s">
        <v>5199</v>
      </c>
      <c r="R1114" s="2"/>
      <c r="S1114" s="2" t="s">
        <v>894</v>
      </c>
      <c r="T1114" s="2">
        <v>625008</v>
      </c>
      <c r="U1114" s="2" t="s">
        <v>38</v>
      </c>
      <c r="V1114" s="2" t="s">
        <v>23</v>
      </c>
      <c r="W1114" s="2">
        <v>4</v>
      </c>
      <c r="X1114" s="2">
        <v>1</v>
      </c>
      <c r="Y1114" s="2">
        <v>0</v>
      </c>
      <c r="Z1114" s="2">
        <v>1</v>
      </c>
      <c r="AA1114" s="193" t="s">
        <v>4148</v>
      </c>
      <c r="AB1114" s="2"/>
    </row>
    <row r="1115" spans="1:28" ht="15" customHeight="1">
      <c r="A1115" s="16">
        <v>1114</v>
      </c>
      <c r="B1115" s="13" t="s">
        <v>4070</v>
      </c>
      <c r="C1115" s="14" t="str">
        <f>_xlfn.CONCAT(B1115&amp;" "&amp;W1115&amp;X1115&amp;Y1115&amp;Z1115)</f>
        <v>Auronex Precision Pvt ltd 8051</v>
      </c>
      <c r="D1115" s="17">
        <v>1212</v>
      </c>
      <c r="E1115" s="13" t="s">
        <v>42</v>
      </c>
      <c r="F1115" s="13"/>
      <c r="G1115" s="28">
        <v>45999</v>
      </c>
      <c r="H1115" s="28"/>
      <c r="I1115" s="28"/>
      <c r="J1115" s="26">
        <v>45999</v>
      </c>
      <c r="K1115" s="26">
        <v>46363</v>
      </c>
      <c r="L1115" s="32">
        <v>3</v>
      </c>
      <c r="M1115" s="13" t="s">
        <v>3721</v>
      </c>
      <c r="N1115" s="13" t="s">
        <v>151</v>
      </c>
      <c r="O1115" s="19">
        <v>9164041776</v>
      </c>
      <c r="P1115" s="2" t="s">
        <v>4071</v>
      </c>
      <c r="Q1115" s="2" t="s">
        <v>5200</v>
      </c>
      <c r="R1115" s="2" t="s">
        <v>1512</v>
      </c>
      <c r="S1115" s="2" t="s">
        <v>21</v>
      </c>
      <c r="T1115" s="2">
        <v>560058</v>
      </c>
      <c r="U1115" s="2" t="s">
        <v>22</v>
      </c>
      <c r="V1115" s="2" t="s">
        <v>23</v>
      </c>
      <c r="W1115" s="2">
        <v>8</v>
      </c>
      <c r="X1115" s="2">
        <v>0</v>
      </c>
      <c r="Y1115" s="2">
        <v>5</v>
      </c>
      <c r="Z1115" s="2">
        <v>1</v>
      </c>
      <c r="AA1115" s="193" t="s">
        <v>4118</v>
      </c>
      <c r="AB1115" s="2"/>
    </row>
    <row r="1116" spans="1:28" ht="15" customHeight="1">
      <c r="A1116" s="16">
        <v>1115</v>
      </c>
      <c r="B1116" s="13" t="s">
        <v>4072</v>
      </c>
      <c r="C1116" s="14" t="str">
        <f>_xlfn.CONCAT(B1116&amp;" "&amp;W1116&amp;X1116&amp;Y1116&amp;Z1116)</f>
        <v>Metalyst Precision Pvt Ltd 8051</v>
      </c>
      <c r="D1116" s="17">
        <v>1205</v>
      </c>
      <c r="E1116" s="13" t="s">
        <v>90</v>
      </c>
      <c r="F1116" s="13"/>
      <c r="G1116" s="28">
        <v>45999</v>
      </c>
      <c r="H1116" s="28"/>
      <c r="I1116" s="28"/>
      <c r="J1116" s="26">
        <v>45999</v>
      </c>
      <c r="K1116" s="26">
        <v>46363</v>
      </c>
      <c r="L1116" s="32">
        <v>3</v>
      </c>
      <c r="M1116" s="13" t="s">
        <v>4073</v>
      </c>
      <c r="N1116" s="13" t="s">
        <v>339</v>
      </c>
      <c r="O1116" s="19">
        <v>9844484145</v>
      </c>
      <c r="P1116" s="2" t="s">
        <v>4074</v>
      </c>
      <c r="Q1116" s="2" t="s">
        <v>5201</v>
      </c>
      <c r="R1116" s="2" t="s">
        <v>4075</v>
      </c>
      <c r="S1116" s="2" t="s">
        <v>21</v>
      </c>
      <c r="T1116" s="2">
        <v>560091</v>
      </c>
      <c r="U1116" s="2" t="s">
        <v>22</v>
      </c>
      <c r="V1116" s="2" t="s">
        <v>23</v>
      </c>
      <c r="W1116" s="2">
        <v>8</v>
      </c>
      <c r="X1116" s="2">
        <v>0</v>
      </c>
      <c r="Y1116" s="2">
        <v>5</v>
      </c>
      <c r="Z1116" s="2">
        <v>1</v>
      </c>
      <c r="AA1116" s="193" t="s">
        <v>4118</v>
      </c>
      <c r="AB1116" s="2"/>
    </row>
    <row r="1117" spans="1:28" ht="15" customHeight="1">
      <c r="A1117" s="16">
        <v>1116</v>
      </c>
      <c r="B1117" s="13" t="s">
        <v>4076</v>
      </c>
      <c r="C1117" s="14" t="str">
        <f>_xlfn.CONCAT(B1117&amp;" "&amp;W1117&amp;X1117&amp;Y1117&amp;Z1117)</f>
        <v>Auolab 4101</v>
      </c>
      <c r="D1117" s="17">
        <v>1225</v>
      </c>
      <c r="E1117" s="13" t="s">
        <v>90</v>
      </c>
      <c r="F1117" s="13"/>
      <c r="G1117" s="28">
        <v>46008</v>
      </c>
      <c r="H1117" s="28"/>
      <c r="I1117" s="28"/>
      <c r="J1117" s="26">
        <v>46008</v>
      </c>
      <c r="K1117" s="26">
        <v>46372</v>
      </c>
      <c r="L1117" s="32">
        <v>3</v>
      </c>
      <c r="M1117" s="13" t="s">
        <v>4077</v>
      </c>
      <c r="N1117" s="13" t="s">
        <v>4078</v>
      </c>
      <c r="O1117" s="19">
        <v>9566939320</v>
      </c>
      <c r="P1117" s="2" t="s">
        <v>990</v>
      </c>
      <c r="Q1117" s="2" t="s">
        <v>5202</v>
      </c>
      <c r="R1117" s="2"/>
      <c r="S1117" s="2" t="s">
        <v>894</v>
      </c>
      <c r="T1117" s="2">
        <v>625020</v>
      </c>
      <c r="U1117" s="2" t="s">
        <v>22</v>
      </c>
      <c r="V1117" s="2" t="s">
        <v>23</v>
      </c>
      <c r="W1117" s="2">
        <v>4</v>
      </c>
      <c r="X1117" s="2">
        <v>1</v>
      </c>
      <c r="Y1117" s="2">
        <v>0</v>
      </c>
      <c r="Z1117" s="2">
        <v>1</v>
      </c>
      <c r="AA1117" s="193" t="s">
        <v>4148</v>
      </c>
      <c r="AB1117" s="2"/>
    </row>
    <row r="1118" spans="1:28" ht="15" customHeight="1">
      <c r="A1118" s="16">
        <v>1117</v>
      </c>
      <c r="B1118" s="13" t="s">
        <v>4079</v>
      </c>
      <c r="C1118" s="14" t="str">
        <f>_xlfn.CONCAT(B1118&amp;" "&amp;W1118&amp;X1118&amp;Y1118&amp;Z1118)</f>
        <v>Leggett &amp; Platt Automotive (I) Pvt Ltd  4041</v>
      </c>
      <c r="D1118" s="17">
        <v>1224</v>
      </c>
      <c r="E1118" s="13" t="s">
        <v>90</v>
      </c>
      <c r="F1118" s="13"/>
      <c r="G1118" s="28">
        <v>46014</v>
      </c>
      <c r="H1118" s="28"/>
      <c r="I1118" s="28"/>
      <c r="J1118" s="26">
        <v>46014</v>
      </c>
      <c r="K1118" s="26">
        <v>46378</v>
      </c>
      <c r="L1118" s="32">
        <v>3</v>
      </c>
      <c r="M1118" s="13" t="s">
        <v>4080</v>
      </c>
      <c r="N1118" s="13" t="s">
        <v>2154</v>
      </c>
      <c r="O1118" s="19" t="s">
        <v>4081</v>
      </c>
      <c r="P1118" s="2" t="s">
        <v>4082</v>
      </c>
      <c r="Q1118" s="2" t="s">
        <v>5203</v>
      </c>
      <c r="R1118" s="2" t="s">
        <v>4083</v>
      </c>
      <c r="S1118" s="2" t="s">
        <v>37</v>
      </c>
      <c r="T1118" s="2">
        <v>600058</v>
      </c>
      <c r="U1118" s="2" t="s">
        <v>22</v>
      </c>
      <c r="V1118" s="2" t="s">
        <v>23</v>
      </c>
      <c r="W1118" s="2">
        <v>4</v>
      </c>
      <c r="X1118" s="2">
        <v>0</v>
      </c>
      <c r="Y1118" s="2">
        <v>4</v>
      </c>
      <c r="Z1118" s="2">
        <v>1</v>
      </c>
      <c r="AA1118" s="193" t="s">
        <v>4148</v>
      </c>
      <c r="AB1118" s="2"/>
    </row>
    <row r="1119" spans="1:28" ht="15" customHeight="1">
      <c r="A1119" s="16">
        <v>1118</v>
      </c>
      <c r="B1119" s="13" t="s">
        <v>4084</v>
      </c>
      <c r="C1119" s="14" t="str">
        <f>_xlfn.CONCAT(B1119&amp;" "&amp;W1119&amp;X1119&amp;Y1119&amp;Z1119)</f>
        <v>ABB India Ltd 8054</v>
      </c>
      <c r="D1119" s="17">
        <v>1199</v>
      </c>
      <c r="E1119" s="13" t="s">
        <v>42</v>
      </c>
      <c r="F1119" s="13"/>
      <c r="G1119" s="28">
        <v>46015</v>
      </c>
      <c r="H1119" s="28"/>
      <c r="I1119" s="28"/>
      <c r="J1119" s="28">
        <v>46015</v>
      </c>
      <c r="K1119" s="26">
        <v>46379</v>
      </c>
      <c r="L1119" s="32">
        <v>3</v>
      </c>
      <c r="M1119" s="13" t="s">
        <v>4085</v>
      </c>
      <c r="N1119" s="13" t="s">
        <v>2697</v>
      </c>
      <c r="O1119" s="19">
        <v>8088996400</v>
      </c>
      <c r="P1119" s="2" t="s">
        <v>4086</v>
      </c>
      <c r="Q1119" s="2" t="s">
        <v>5204</v>
      </c>
      <c r="R1119" s="2" t="s">
        <v>4087</v>
      </c>
      <c r="S1119" s="2" t="s">
        <v>21</v>
      </c>
      <c r="T1119" s="2">
        <v>562123</v>
      </c>
      <c r="U1119" s="2" t="s">
        <v>22</v>
      </c>
      <c r="V1119" s="2" t="s">
        <v>23</v>
      </c>
      <c r="W1119" s="2">
        <v>8</v>
      </c>
      <c r="X1119" s="2">
        <v>0</v>
      </c>
      <c r="Y1119" s="2">
        <v>5</v>
      </c>
      <c r="Z1119" s="2">
        <v>4</v>
      </c>
      <c r="AA1119" s="193" t="s">
        <v>4118</v>
      </c>
      <c r="AB1119" s="2"/>
    </row>
    <row r="1120" spans="1:28" ht="15" customHeight="1">
      <c r="A1120" s="17">
        <v>1119</v>
      </c>
      <c r="B1120" s="13" t="s">
        <v>4089</v>
      </c>
      <c r="C1120" s="14" t="str">
        <f>_xlfn.CONCAT(B1120&amp;" "&amp;W1120&amp;X1120&amp;Y1120&amp;Z1120)</f>
        <v>Vitesco Technologies India Pvt Ltd  2421</v>
      </c>
      <c r="D1120" s="17">
        <v>1200</v>
      </c>
      <c r="E1120" s="13" t="s">
        <v>42</v>
      </c>
      <c r="F1120" s="13"/>
      <c r="G1120" s="28">
        <v>46015</v>
      </c>
      <c r="H1120" s="28"/>
      <c r="I1120" s="28"/>
      <c r="J1120" s="28">
        <v>46015</v>
      </c>
      <c r="K1120" s="26">
        <v>46379</v>
      </c>
      <c r="L1120" s="32">
        <v>3</v>
      </c>
      <c r="M1120" s="13" t="s">
        <v>4090</v>
      </c>
      <c r="N1120" s="13" t="s">
        <v>4091</v>
      </c>
      <c r="O1120" s="19">
        <v>8390220045</v>
      </c>
      <c r="P1120" s="2" t="s">
        <v>4092</v>
      </c>
      <c r="Q1120" s="2" t="s">
        <v>5205</v>
      </c>
      <c r="R1120" s="2" t="s">
        <v>4093</v>
      </c>
      <c r="S1120" s="2" t="s">
        <v>215</v>
      </c>
      <c r="T1120" s="2">
        <v>410507</v>
      </c>
      <c r="U1120" s="2" t="s">
        <v>172</v>
      </c>
      <c r="V1120" s="2" t="s">
        <v>23</v>
      </c>
      <c r="W1120" s="2">
        <v>2</v>
      </c>
      <c r="X1120" s="2">
        <v>4</v>
      </c>
      <c r="Y1120" s="2">
        <v>2</v>
      </c>
      <c r="Z1120" s="2">
        <v>1</v>
      </c>
      <c r="AA1120" s="193" t="s">
        <v>4151</v>
      </c>
      <c r="AB1120" s="2"/>
    </row>
    <row r="1121" spans="1:28" ht="15" customHeight="1">
      <c r="A1121" s="16">
        <v>1120</v>
      </c>
      <c r="B1121" s="13" t="s">
        <v>4094</v>
      </c>
      <c r="C1121" s="14" t="str">
        <f>_xlfn.CONCAT(B1121&amp;" "&amp;W1121&amp;X1121&amp;Y1121&amp;Z1121)</f>
        <v>Amar Equipments Pvt Ltd 2224</v>
      </c>
      <c r="D1121" s="17">
        <v>1174</v>
      </c>
      <c r="E1121" s="13" t="s">
        <v>3670</v>
      </c>
      <c r="F1121" s="13"/>
      <c r="G1121" s="28">
        <v>46016</v>
      </c>
      <c r="H1121" s="28"/>
      <c r="I1121" s="28"/>
      <c r="J1121" s="26">
        <v>46016</v>
      </c>
      <c r="K1121" s="26">
        <v>46380</v>
      </c>
      <c r="L1121" s="32">
        <v>3</v>
      </c>
      <c r="M1121" s="13" t="s">
        <v>4095</v>
      </c>
      <c r="N1121" s="13" t="s">
        <v>4096</v>
      </c>
      <c r="O1121" s="19">
        <v>9767283678</v>
      </c>
      <c r="P1121" s="2" t="s">
        <v>4097</v>
      </c>
      <c r="Q1121" s="2" t="s">
        <v>5206</v>
      </c>
      <c r="R1121" s="2" t="s">
        <v>4098</v>
      </c>
      <c r="S1121" s="2" t="s">
        <v>221</v>
      </c>
      <c r="T1121" s="2">
        <v>400078</v>
      </c>
      <c r="U1121" s="2" t="s">
        <v>172</v>
      </c>
      <c r="V1121" s="2" t="s">
        <v>23</v>
      </c>
      <c r="W1121" s="2">
        <v>2</v>
      </c>
      <c r="X1121" s="2">
        <v>2</v>
      </c>
      <c r="Y1121" s="2">
        <v>2</v>
      </c>
      <c r="Z1121" s="2">
        <v>4</v>
      </c>
      <c r="AA1121" s="193" t="s">
        <v>4148</v>
      </c>
      <c r="AB1121" s="2"/>
    </row>
    <row r="1122" spans="1:28" ht="15" customHeight="1">
      <c r="A1122" s="16">
        <v>1121</v>
      </c>
      <c r="B1122" s="13" t="s">
        <v>4099</v>
      </c>
      <c r="C1122" s="14" t="str">
        <f>_xlfn.CONCAT(B1122&amp;" "&amp;W1122&amp;X1122&amp;Y1122&amp;Z1122)</f>
        <v>KSH International Ltd 2431</v>
      </c>
      <c r="D1122" s="17">
        <v>1201</v>
      </c>
      <c r="E1122" s="13" t="s">
        <v>42</v>
      </c>
      <c r="F1122" s="13"/>
      <c r="G1122" s="28">
        <v>46023</v>
      </c>
      <c r="H1122" s="28"/>
      <c r="I1122" s="28"/>
      <c r="J1122" s="26">
        <v>46023</v>
      </c>
      <c r="K1122" s="26">
        <v>46387</v>
      </c>
      <c r="L1122" s="32">
        <v>3</v>
      </c>
      <c r="M1122" s="13" t="s">
        <v>4100</v>
      </c>
      <c r="N1122" s="13" t="s">
        <v>2154</v>
      </c>
      <c r="O1122" s="19">
        <v>8624883215</v>
      </c>
      <c r="P1122" s="2" t="s">
        <v>4101</v>
      </c>
      <c r="Q1122" s="2" t="s">
        <v>5207</v>
      </c>
      <c r="R1122" s="2" t="s">
        <v>4102</v>
      </c>
      <c r="S1122" s="2" t="s">
        <v>4103</v>
      </c>
      <c r="T1122" s="2">
        <v>414301</v>
      </c>
      <c r="U1122" s="2" t="s">
        <v>172</v>
      </c>
      <c r="V1122" s="2" t="s">
        <v>23</v>
      </c>
      <c r="W1122" s="2">
        <v>2</v>
      </c>
      <c r="X1122" s="2">
        <v>4</v>
      </c>
      <c r="Y1122" s="2">
        <v>3</v>
      </c>
      <c r="Z1122" s="2">
        <v>1</v>
      </c>
      <c r="AA1122" s="193" t="s">
        <v>4151</v>
      </c>
      <c r="AB1122" s="2"/>
    </row>
    <row r="1123" spans="1:28" ht="15" customHeight="1">
      <c r="A1123" s="17">
        <v>1122</v>
      </c>
      <c r="B1123" s="13" t="s">
        <v>4104</v>
      </c>
      <c r="C1123" s="14" t="str">
        <f>_xlfn.CONCAT(B1123&amp;" "&amp;W1123&amp;X1123&amp;Y1123&amp;Z1123)</f>
        <v>AR Technoplast Pvt Ltd 8012</v>
      </c>
      <c r="D1123" s="17">
        <v>1211</v>
      </c>
      <c r="E1123" s="13" t="s">
        <v>90</v>
      </c>
      <c r="F1123" s="13"/>
      <c r="G1123" s="28">
        <v>46027</v>
      </c>
      <c r="H1123" s="28"/>
      <c r="I1123" s="28"/>
      <c r="J1123" s="26">
        <v>46027</v>
      </c>
      <c r="K1123" s="26">
        <v>46398</v>
      </c>
      <c r="L1123" s="32">
        <v>3</v>
      </c>
      <c r="M1123" s="13" t="s">
        <v>4105</v>
      </c>
      <c r="N1123" s="13"/>
      <c r="O1123" s="19">
        <v>9212737626</v>
      </c>
      <c r="P1123" s="2" t="s">
        <v>2313</v>
      </c>
      <c r="Q1123" s="2" t="s">
        <v>5208</v>
      </c>
      <c r="R1123" s="2"/>
      <c r="S1123" s="2" t="s">
        <v>428</v>
      </c>
      <c r="T1123" s="2">
        <v>122052</v>
      </c>
      <c r="U1123" s="2" t="s">
        <v>429</v>
      </c>
      <c r="V1123" s="2" t="s">
        <v>23</v>
      </c>
      <c r="W1123" s="2">
        <v>8</v>
      </c>
      <c r="X1123" s="2">
        <v>0</v>
      </c>
      <c r="Y1123" s="2">
        <v>1</v>
      </c>
      <c r="Z1123" s="2">
        <v>2</v>
      </c>
      <c r="AA1123" s="193" t="s">
        <v>4118</v>
      </c>
      <c r="AB1123" s="2"/>
    </row>
  </sheetData>
  <mergeCells count="1">
    <mergeCell ref="R204:S204"/>
  </mergeCells>
  <conditionalFormatting sqref="B175 G631:I693 G696:I697 G709:I709 G712:I713 G715:I716 G723:I723 G725:I725 G728:I728 G755:I755 G704:I707 G1:I481 G483:I629 G994:I1048576">
    <cfRule type="cellIs" dxfId="20" priority="125" operator="equal">
      <formula>"Warranty"</formula>
    </cfRule>
    <cfRule type="cellIs" dxfId="19" priority="126" operator="equal">
      <formula>"ACSC or Warranty"</formula>
    </cfRule>
    <cfRule type="cellIs" dxfId="18" priority="127" operator="equal">
      <formula>"Expired"</formula>
    </cfRule>
  </conditionalFormatting>
  <conditionalFormatting sqref="J10">
    <cfRule type="cellIs" dxfId="17" priority="1421" operator="equal">
      <formula>"Warranty"</formula>
    </cfRule>
    <cfRule type="cellIs" dxfId="16" priority="1422" operator="equal">
      <formula>"ACSC or Warranty"</formula>
    </cfRule>
    <cfRule type="cellIs" dxfId="15" priority="1423" operator="equal">
      <formula>"Expired"</formula>
    </cfRule>
  </conditionalFormatting>
  <conditionalFormatting sqref="J706">
    <cfRule type="cellIs" dxfId="14" priority="1763" operator="equal">
      <formula>"Warranty"</formula>
    </cfRule>
    <cfRule type="cellIs" dxfId="13" priority="1764" operator="equal">
      <formula>"ACSC or Warranty"</formula>
    </cfRule>
    <cfRule type="cellIs" dxfId="12" priority="1765" operator="equal">
      <formula>"Expired"</formula>
    </cfRule>
  </conditionalFormatting>
  <conditionalFormatting sqref="J996:J998">
    <cfRule type="cellIs" dxfId="11" priority="167" operator="equal">
      <formula>"Warranty"</formula>
    </cfRule>
    <cfRule type="cellIs" dxfId="10" priority="168" operator="equal">
      <formula>"ACSC or Warranty"</formula>
    </cfRule>
    <cfRule type="cellIs" dxfId="9" priority="169" operator="equal">
      <formula>"Expired"</formula>
    </cfRule>
  </conditionalFormatting>
  <conditionalFormatting sqref="J1008:J1013">
    <cfRule type="cellIs" dxfId="8" priority="143" operator="equal">
      <formula>"Warranty"</formula>
    </cfRule>
    <cfRule type="cellIs" dxfId="7" priority="144" operator="equal">
      <formula>"ACSC or Warranty"</formula>
    </cfRule>
    <cfRule type="cellIs" dxfId="6" priority="145" operator="equal">
      <formula>"Expired"</formula>
    </cfRule>
  </conditionalFormatting>
  <conditionalFormatting sqref="J1043">
    <cfRule type="cellIs" dxfId="5" priority="100" operator="equal">
      <formula>"Warranty"</formula>
    </cfRule>
    <cfRule type="cellIs" dxfId="4" priority="101" operator="equal">
      <formula>"ACSC or Warranty"</formula>
    </cfRule>
    <cfRule type="cellIs" dxfId="3" priority="102" operator="equal">
      <formula>"Expired"</formula>
    </cfRule>
  </conditionalFormatting>
  <conditionalFormatting sqref="J1119:J1120">
    <cfRule type="cellIs" dxfId="2" priority="1" operator="equal">
      <formula>"Warranty"</formula>
    </cfRule>
    <cfRule type="cellIs" dxfId="1" priority="2" operator="equal">
      <formula>"ACSC or Warranty"</formula>
    </cfRule>
    <cfRule type="cellIs" dxfId="0" priority="3" operator="equal">
      <formula>"Expired"</formula>
    </cfRule>
  </conditionalFormatting>
  <pageMargins left="0.31496062992125984" right="0.31496062992125984" top="0.74803149606299213" bottom="0.74803149606299213" header="0.31496062992125984" footer="0.31496062992125984"/>
  <pageSetup paperSize="9" scale="59" orientation="landscape" r:id="rId1"/>
  <rowBreaks count="14" manualBreakCount="14">
    <brk id="51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  <brk id="552" max="16383" man="1"/>
    <brk id="602" max="16383" man="1"/>
    <brk id="652" max="16383" man="1"/>
    <brk id="704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2F88-F753-4E30-BA51-29CEAE88F32C}">
  <dimension ref="A1:BA37"/>
  <sheetViews>
    <sheetView workbookViewId="0">
      <selection activeCell="E13" sqref="E13"/>
    </sheetView>
  </sheetViews>
  <sheetFormatPr defaultRowHeight="15"/>
  <cols>
    <col min="1" max="1" width="2" bestFit="1" customWidth="1"/>
    <col min="2" max="4" width="2.140625" bestFit="1" customWidth="1"/>
    <col min="5" max="5" width="14.28515625" bestFit="1" customWidth="1"/>
    <col min="7" max="7" width="2" bestFit="1" customWidth="1"/>
    <col min="8" max="8" width="15.28515625" bestFit="1" customWidth="1"/>
    <col min="9" max="10" width="2.140625" bestFit="1" customWidth="1"/>
    <col min="11" max="11" width="13.28515625" bestFit="1" customWidth="1"/>
    <col min="13" max="13" width="2" bestFit="1" customWidth="1"/>
    <col min="14" max="16" width="2.140625" bestFit="1" customWidth="1"/>
    <col min="17" max="17" width="10.28515625" bestFit="1" customWidth="1"/>
    <col min="18" max="18" width="5.28515625" bestFit="1" customWidth="1"/>
    <col min="20" max="20" width="2" bestFit="1" customWidth="1"/>
    <col min="21" max="23" width="2.140625" bestFit="1" customWidth="1"/>
    <col min="24" max="24" width="21.42578125" bestFit="1" customWidth="1"/>
    <col min="26" max="26" width="2" bestFit="1" customWidth="1"/>
    <col min="27" max="27" width="2.140625" bestFit="1" customWidth="1"/>
    <col min="28" max="28" width="12.5703125" bestFit="1" customWidth="1"/>
    <col min="29" max="29" width="2.140625" bestFit="1" customWidth="1"/>
    <col min="30" max="30" width="17.5703125" bestFit="1" customWidth="1"/>
    <col min="32" max="32" width="2" bestFit="1" customWidth="1"/>
    <col min="33" max="35" width="2.140625" bestFit="1" customWidth="1"/>
    <col min="36" max="36" width="12.5703125" bestFit="1" customWidth="1"/>
    <col min="38" max="38" width="2" bestFit="1" customWidth="1"/>
    <col min="39" max="41" width="2.140625" bestFit="1" customWidth="1"/>
    <col min="42" max="42" width="13.7109375" bestFit="1" customWidth="1"/>
    <col min="44" max="44" width="2" bestFit="1" customWidth="1"/>
    <col min="45" max="47" width="2.140625" bestFit="1" customWidth="1"/>
    <col min="48" max="48" width="10.5703125" bestFit="1" customWidth="1"/>
    <col min="50" max="50" width="21.28515625" bestFit="1" customWidth="1"/>
    <col min="51" max="51" width="6.42578125" bestFit="1" customWidth="1"/>
    <col min="52" max="52" width="2.140625" bestFit="1" customWidth="1"/>
  </cols>
  <sheetData>
    <row r="1" spans="1:53" ht="15.75">
      <c r="A1" s="51"/>
      <c r="B1" s="52"/>
      <c r="C1" s="210" t="s">
        <v>4106</v>
      </c>
      <c r="D1" s="210"/>
      <c r="E1" s="211"/>
      <c r="F1" s="53"/>
      <c r="G1" s="54"/>
      <c r="H1" s="210" t="s">
        <v>4107</v>
      </c>
      <c r="I1" s="210"/>
      <c r="J1" s="210"/>
      <c r="K1" s="211"/>
      <c r="L1" s="53"/>
      <c r="M1" s="54"/>
      <c r="N1" s="200"/>
      <c r="O1" s="208" t="s">
        <v>4108</v>
      </c>
      <c r="P1" s="208"/>
      <c r="Q1" s="208"/>
      <c r="R1" s="55"/>
      <c r="S1" s="53"/>
      <c r="T1" s="54"/>
      <c r="U1" s="200"/>
      <c r="V1" s="208" t="s">
        <v>4109</v>
      </c>
      <c r="W1" s="208"/>
      <c r="X1" s="209"/>
      <c r="Y1" s="53"/>
      <c r="Z1" s="56"/>
      <c r="AA1" s="197"/>
      <c r="AB1" s="57" t="s">
        <v>4110</v>
      </c>
      <c r="AC1" s="57"/>
      <c r="AD1" s="58"/>
      <c r="AE1" s="53"/>
      <c r="AF1" s="59"/>
      <c r="AG1" s="201"/>
      <c r="AH1" s="212" t="s">
        <v>4111</v>
      </c>
      <c r="AI1" s="212"/>
      <c r="AJ1" s="213"/>
      <c r="AK1" s="53"/>
      <c r="AL1" s="54"/>
      <c r="AM1" s="200"/>
      <c r="AN1" s="208" t="s">
        <v>4112</v>
      </c>
      <c r="AO1" s="208"/>
      <c r="AP1" s="209"/>
      <c r="AQ1" s="53"/>
      <c r="AR1" s="56"/>
      <c r="AS1" s="197"/>
      <c r="AT1" s="204" t="s">
        <v>4113</v>
      </c>
      <c r="AU1" s="204"/>
      <c r="AV1" s="205"/>
      <c r="AW1" s="60"/>
      <c r="AX1" s="60"/>
      <c r="AY1" s="60"/>
      <c r="AZ1" s="60"/>
      <c r="BA1" s="61"/>
    </row>
    <row r="2" spans="1:53" ht="15.75">
      <c r="A2" s="62" t="s">
        <v>10</v>
      </c>
      <c r="B2" s="63" t="s">
        <v>11</v>
      </c>
      <c r="C2" s="64" t="s">
        <v>12</v>
      </c>
      <c r="D2" s="64" t="s">
        <v>13</v>
      </c>
      <c r="E2" s="65" t="s">
        <v>4114</v>
      </c>
      <c r="F2" s="66"/>
      <c r="G2" s="62" t="s">
        <v>10</v>
      </c>
      <c r="H2" s="67" t="s">
        <v>11</v>
      </c>
      <c r="I2" s="67" t="s">
        <v>12</v>
      </c>
      <c r="J2" s="67" t="s">
        <v>13</v>
      </c>
      <c r="K2" s="68" t="s">
        <v>4114</v>
      </c>
      <c r="L2" s="66"/>
      <c r="M2" s="62" t="s">
        <v>10</v>
      </c>
      <c r="N2" s="69" t="s">
        <v>11</v>
      </c>
      <c r="O2" s="67" t="s">
        <v>12</v>
      </c>
      <c r="P2" s="67" t="s">
        <v>13</v>
      </c>
      <c r="Q2" s="70" t="s">
        <v>4114</v>
      </c>
      <c r="R2" s="71" t="s">
        <v>4115</v>
      </c>
      <c r="S2" s="66"/>
      <c r="T2" s="72" t="s">
        <v>10</v>
      </c>
      <c r="U2" s="73" t="s">
        <v>11</v>
      </c>
      <c r="V2" s="74" t="s">
        <v>12</v>
      </c>
      <c r="W2" s="74" t="s">
        <v>13</v>
      </c>
      <c r="X2" s="75" t="s">
        <v>4114</v>
      </c>
      <c r="Y2" s="76"/>
      <c r="Z2" s="77" t="s">
        <v>10</v>
      </c>
      <c r="AA2" s="78" t="s">
        <v>11</v>
      </c>
      <c r="AB2" s="79" t="s">
        <v>12</v>
      </c>
      <c r="AC2" s="79" t="s">
        <v>13</v>
      </c>
      <c r="AD2" s="80" t="s">
        <v>4114</v>
      </c>
      <c r="AE2" s="66"/>
      <c r="AF2" s="62" t="s">
        <v>10</v>
      </c>
      <c r="AG2" s="69" t="s">
        <v>11</v>
      </c>
      <c r="AH2" s="67" t="s">
        <v>12</v>
      </c>
      <c r="AI2" s="67" t="s">
        <v>13</v>
      </c>
      <c r="AJ2" s="68" t="s">
        <v>4114</v>
      </c>
      <c r="AK2" s="66"/>
      <c r="AL2" s="62" t="s">
        <v>10</v>
      </c>
      <c r="AM2" s="69" t="s">
        <v>11</v>
      </c>
      <c r="AN2" s="67" t="s">
        <v>12</v>
      </c>
      <c r="AO2" s="67" t="s">
        <v>13</v>
      </c>
      <c r="AP2" s="68" t="s">
        <v>4114</v>
      </c>
      <c r="AQ2" s="81"/>
      <c r="AR2" s="82" t="s">
        <v>10</v>
      </c>
      <c r="AS2" s="83" t="s">
        <v>11</v>
      </c>
      <c r="AT2" s="84" t="s">
        <v>12</v>
      </c>
      <c r="AU2" s="84" t="s">
        <v>13</v>
      </c>
      <c r="AV2" s="85" t="s">
        <v>4114</v>
      </c>
      <c r="AW2" s="60"/>
      <c r="AX2" s="86" t="s">
        <v>4116</v>
      </c>
      <c r="AY2" s="87" t="s">
        <v>4117</v>
      </c>
      <c r="AZ2" s="81"/>
      <c r="BA2" s="61"/>
    </row>
    <row r="3" spans="1:53" ht="15.75">
      <c r="A3" s="88">
        <v>8</v>
      </c>
      <c r="B3" s="89">
        <v>0</v>
      </c>
      <c r="C3" s="90">
        <v>1</v>
      </c>
      <c r="D3" s="90">
        <v>1</v>
      </c>
      <c r="E3" s="91" t="s">
        <v>115</v>
      </c>
      <c r="F3" s="92"/>
      <c r="G3" s="93">
        <v>2</v>
      </c>
      <c r="H3" s="90">
        <v>1</v>
      </c>
      <c r="I3" s="90">
        <v>1</v>
      </c>
      <c r="J3" s="90">
        <v>5</v>
      </c>
      <c r="K3" s="94" t="s">
        <v>222</v>
      </c>
      <c r="L3" s="92"/>
      <c r="M3" s="95">
        <v>5</v>
      </c>
      <c r="N3" s="90">
        <v>0</v>
      </c>
      <c r="O3" s="90">
        <v>1</v>
      </c>
      <c r="P3" s="90">
        <v>1</v>
      </c>
      <c r="Q3" s="96" t="s">
        <v>145</v>
      </c>
      <c r="R3" s="97" t="s">
        <v>4118</v>
      </c>
      <c r="S3" s="92"/>
      <c r="T3" s="93">
        <v>1</v>
      </c>
      <c r="U3" s="97">
        <v>0</v>
      </c>
      <c r="V3" s="98">
        <v>0</v>
      </c>
      <c r="W3" s="98">
        <v>1</v>
      </c>
      <c r="X3" s="99" t="s">
        <v>2954</v>
      </c>
      <c r="Y3" s="92"/>
      <c r="Z3" s="100">
        <v>4</v>
      </c>
      <c r="AA3" s="101">
        <v>0</v>
      </c>
      <c r="AB3" s="102">
        <v>1</v>
      </c>
      <c r="AC3" s="102">
        <v>1</v>
      </c>
      <c r="AD3" s="103" t="s">
        <v>231</v>
      </c>
      <c r="AE3" s="92"/>
      <c r="AF3" s="93">
        <v>4</v>
      </c>
      <c r="AG3" s="97">
        <v>1</v>
      </c>
      <c r="AH3" s="90">
        <v>0</v>
      </c>
      <c r="AI3" s="90">
        <v>1</v>
      </c>
      <c r="AJ3" s="104" t="s">
        <v>894</v>
      </c>
      <c r="AK3" s="92"/>
      <c r="AL3" s="93">
        <v>6</v>
      </c>
      <c r="AM3" s="97">
        <v>0</v>
      </c>
      <c r="AN3" s="90">
        <v>1</v>
      </c>
      <c r="AO3" s="90">
        <v>1</v>
      </c>
      <c r="AP3" s="105" t="s">
        <v>1713</v>
      </c>
      <c r="AQ3" s="106"/>
      <c r="AR3" s="107">
        <v>3</v>
      </c>
      <c r="AS3" s="108">
        <v>0</v>
      </c>
      <c r="AT3" s="90">
        <v>0</v>
      </c>
      <c r="AU3" s="90">
        <v>1</v>
      </c>
      <c r="AV3" s="109" t="s">
        <v>327</v>
      </c>
      <c r="AW3" s="60"/>
      <c r="AX3" s="110" t="s">
        <v>4119</v>
      </c>
      <c r="AY3" s="111">
        <v>0</v>
      </c>
      <c r="AZ3" s="112"/>
      <c r="BA3" s="61"/>
    </row>
    <row r="4" spans="1:53" ht="15.75">
      <c r="A4" s="88">
        <v>8</v>
      </c>
      <c r="B4" s="89">
        <v>0</v>
      </c>
      <c r="C4" s="90">
        <v>1</v>
      </c>
      <c r="D4" s="90">
        <v>2</v>
      </c>
      <c r="E4" s="91" t="s">
        <v>68</v>
      </c>
      <c r="F4" s="92"/>
      <c r="G4" s="93">
        <v>2</v>
      </c>
      <c r="H4" s="90">
        <v>1</v>
      </c>
      <c r="I4" s="113">
        <v>1</v>
      </c>
      <c r="J4" s="90">
        <v>4</v>
      </c>
      <c r="K4" s="94" t="s">
        <v>624</v>
      </c>
      <c r="L4" s="92"/>
      <c r="M4" s="95">
        <v>5</v>
      </c>
      <c r="N4" s="90">
        <v>0</v>
      </c>
      <c r="O4" s="90">
        <v>2</v>
      </c>
      <c r="P4" s="90">
        <v>1</v>
      </c>
      <c r="Q4" s="96" t="s">
        <v>2713</v>
      </c>
      <c r="R4" s="97" t="s">
        <v>4118</v>
      </c>
      <c r="S4" s="92"/>
      <c r="T4" s="93">
        <v>1</v>
      </c>
      <c r="U4" s="101">
        <v>0</v>
      </c>
      <c r="V4" s="114">
        <v>0</v>
      </c>
      <c r="W4" s="114">
        <v>2</v>
      </c>
      <c r="X4" s="115" t="s">
        <v>73</v>
      </c>
      <c r="Y4" s="92"/>
      <c r="Z4" s="93">
        <v>4</v>
      </c>
      <c r="AA4" s="97">
        <v>0</v>
      </c>
      <c r="AB4" s="90">
        <v>1</v>
      </c>
      <c r="AC4" s="90">
        <v>2</v>
      </c>
      <c r="AD4" s="103" t="s">
        <v>1559</v>
      </c>
      <c r="AE4" s="92"/>
      <c r="AF4" s="107">
        <v>4</v>
      </c>
      <c r="AG4" s="108">
        <v>1</v>
      </c>
      <c r="AH4" s="90">
        <v>0</v>
      </c>
      <c r="AI4" s="90">
        <v>2</v>
      </c>
      <c r="AJ4" s="116" t="s">
        <v>744</v>
      </c>
      <c r="AK4" s="92"/>
      <c r="AL4" s="93">
        <v>6</v>
      </c>
      <c r="AM4" s="97">
        <v>0</v>
      </c>
      <c r="AN4" s="90">
        <v>2</v>
      </c>
      <c r="AO4" s="90">
        <v>1</v>
      </c>
      <c r="AP4" s="105" t="s">
        <v>56</v>
      </c>
      <c r="AQ4" s="106"/>
      <c r="AR4" s="107">
        <v>3</v>
      </c>
      <c r="AS4" s="108">
        <v>0</v>
      </c>
      <c r="AT4" s="90">
        <v>0</v>
      </c>
      <c r="AU4" s="90">
        <v>2</v>
      </c>
      <c r="AV4" s="109" t="s">
        <v>2392</v>
      </c>
      <c r="AW4" s="60"/>
      <c r="AX4" s="110" t="s">
        <v>4120</v>
      </c>
      <c r="AY4" s="111">
        <v>1</v>
      </c>
      <c r="AZ4" s="112" t="s">
        <v>4121</v>
      </c>
      <c r="BA4" s="61"/>
    </row>
    <row r="5" spans="1:53" ht="15.75">
      <c r="A5" s="88">
        <v>8</v>
      </c>
      <c r="B5" s="89">
        <v>0</v>
      </c>
      <c r="C5" s="90">
        <v>1</v>
      </c>
      <c r="D5" s="90">
        <v>3</v>
      </c>
      <c r="E5" s="91" t="s">
        <v>121</v>
      </c>
      <c r="F5" s="92"/>
      <c r="G5" s="93">
        <v>2</v>
      </c>
      <c r="H5" s="90">
        <v>1</v>
      </c>
      <c r="I5" s="90">
        <v>1</v>
      </c>
      <c r="J5" s="90">
        <v>3</v>
      </c>
      <c r="K5" s="94" t="s">
        <v>1288</v>
      </c>
      <c r="L5" s="92"/>
      <c r="M5" s="95">
        <v>5</v>
      </c>
      <c r="N5" s="90">
        <v>0</v>
      </c>
      <c r="O5" s="90">
        <v>3</v>
      </c>
      <c r="P5" s="90">
        <v>1</v>
      </c>
      <c r="Q5" s="96" t="s">
        <v>2865</v>
      </c>
      <c r="R5" s="97" t="s">
        <v>4118</v>
      </c>
      <c r="S5" s="92"/>
      <c r="T5" s="93">
        <v>1</v>
      </c>
      <c r="U5" s="101">
        <v>0</v>
      </c>
      <c r="V5" s="114">
        <v>1</v>
      </c>
      <c r="W5" s="114">
        <v>5</v>
      </c>
      <c r="X5" s="115" t="s">
        <v>759</v>
      </c>
      <c r="Y5" s="92"/>
      <c r="Z5" s="93">
        <v>4</v>
      </c>
      <c r="AA5" s="97">
        <v>0</v>
      </c>
      <c r="AB5" s="90">
        <v>1</v>
      </c>
      <c r="AC5" s="90">
        <v>3</v>
      </c>
      <c r="AD5" s="103" t="s">
        <v>235</v>
      </c>
      <c r="AE5" s="92"/>
      <c r="AF5" s="93">
        <v>4</v>
      </c>
      <c r="AG5" s="97">
        <v>1</v>
      </c>
      <c r="AH5" s="90">
        <v>0</v>
      </c>
      <c r="AI5" s="90">
        <v>3</v>
      </c>
      <c r="AJ5" s="116" t="s">
        <v>137</v>
      </c>
      <c r="AK5" s="92"/>
      <c r="AL5" s="117">
        <v>6</v>
      </c>
      <c r="AM5" s="118">
        <v>0</v>
      </c>
      <c r="AN5" s="119">
        <v>3</v>
      </c>
      <c r="AO5" s="119">
        <v>1</v>
      </c>
      <c r="AP5" s="120" t="s">
        <v>2517</v>
      </c>
      <c r="AQ5" s="106"/>
      <c r="AR5" s="107">
        <v>3</v>
      </c>
      <c r="AS5" s="108">
        <v>0</v>
      </c>
      <c r="AT5" s="90">
        <v>0</v>
      </c>
      <c r="AU5" s="90">
        <v>3</v>
      </c>
      <c r="AV5" s="109" t="s">
        <v>4122</v>
      </c>
      <c r="AW5" s="60"/>
      <c r="AX5" s="110" t="s">
        <v>4123</v>
      </c>
      <c r="AY5" s="111">
        <v>2</v>
      </c>
      <c r="AZ5" s="112" t="s">
        <v>11</v>
      </c>
      <c r="BA5" s="61"/>
    </row>
    <row r="6" spans="1:53" ht="15.75">
      <c r="A6" s="88">
        <v>8</v>
      </c>
      <c r="B6" s="89">
        <v>0</v>
      </c>
      <c r="C6" s="90">
        <v>2</v>
      </c>
      <c r="D6" s="90">
        <v>1</v>
      </c>
      <c r="E6" s="91" t="s">
        <v>161</v>
      </c>
      <c r="F6" s="92"/>
      <c r="G6" s="93">
        <v>2</v>
      </c>
      <c r="H6" s="90">
        <v>1</v>
      </c>
      <c r="I6" s="90">
        <v>1</v>
      </c>
      <c r="J6" s="90">
        <v>2</v>
      </c>
      <c r="K6" s="94" t="s">
        <v>178</v>
      </c>
      <c r="L6" s="92"/>
      <c r="M6" s="95">
        <v>5</v>
      </c>
      <c r="N6" s="90">
        <v>1</v>
      </c>
      <c r="O6" s="90">
        <v>1</v>
      </c>
      <c r="P6" s="90">
        <v>1</v>
      </c>
      <c r="Q6" s="96" t="s">
        <v>1234</v>
      </c>
      <c r="R6" s="97" t="s">
        <v>4118</v>
      </c>
      <c r="S6" s="92"/>
      <c r="T6" s="93">
        <v>1</v>
      </c>
      <c r="U6" s="101">
        <v>0</v>
      </c>
      <c r="V6" s="114">
        <v>4</v>
      </c>
      <c r="W6" s="114">
        <v>2</v>
      </c>
      <c r="X6" s="115" t="s">
        <v>835</v>
      </c>
      <c r="Y6" s="92"/>
      <c r="Z6" s="93">
        <v>4</v>
      </c>
      <c r="AA6" s="97">
        <v>0</v>
      </c>
      <c r="AB6" s="90">
        <v>2</v>
      </c>
      <c r="AC6" s="90">
        <v>1</v>
      </c>
      <c r="AD6" s="103" t="s">
        <v>300</v>
      </c>
      <c r="AE6" s="92"/>
      <c r="AF6" s="93">
        <v>4</v>
      </c>
      <c r="AG6" s="97">
        <v>1</v>
      </c>
      <c r="AH6" s="90">
        <v>1</v>
      </c>
      <c r="AI6" s="90">
        <v>1</v>
      </c>
      <c r="AJ6" s="105" t="s">
        <v>103</v>
      </c>
      <c r="AK6" s="92"/>
      <c r="AL6" s="92"/>
      <c r="AM6" s="92"/>
      <c r="AN6" s="121"/>
      <c r="AO6" s="121"/>
      <c r="AP6" s="92"/>
      <c r="AQ6" s="92"/>
      <c r="AR6" s="122">
        <v>3</v>
      </c>
      <c r="AS6" s="123">
        <v>0</v>
      </c>
      <c r="AT6" s="124">
        <v>0</v>
      </c>
      <c r="AU6" s="124">
        <v>4</v>
      </c>
      <c r="AV6" s="125" t="s">
        <v>3164</v>
      </c>
      <c r="AW6" s="60"/>
      <c r="AX6" s="110" t="s">
        <v>4124</v>
      </c>
      <c r="AY6" s="111">
        <v>3</v>
      </c>
      <c r="AZ6" s="112" t="s">
        <v>4125</v>
      </c>
      <c r="BA6" s="61"/>
    </row>
    <row r="7" spans="1:53" ht="15.75">
      <c r="A7" s="88">
        <v>8</v>
      </c>
      <c r="B7" s="89">
        <v>0</v>
      </c>
      <c r="C7" s="90">
        <v>2</v>
      </c>
      <c r="D7" s="90">
        <v>2</v>
      </c>
      <c r="E7" s="91" t="s">
        <v>388</v>
      </c>
      <c r="F7" s="92"/>
      <c r="G7" s="93">
        <v>2</v>
      </c>
      <c r="H7" s="90">
        <v>1</v>
      </c>
      <c r="I7" s="90">
        <v>1</v>
      </c>
      <c r="J7" s="90">
        <v>1</v>
      </c>
      <c r="K7" s="94" t="s">
        <v>775</v>
      </c>
      <c r="L7" s="92"/>
      <c r="M7" s="95">
        <v>5</v>
      </c>
      <c r="N7" s="90">
        <v>1</v>
      </c>
      <c r="O7" s="90">
        <v>1</v>
      </c>
      <c r="P7" s="90">
        <v>2</v>
      </c>
      <c r="Q7" s="96" t="s">
        <v>1545</v>
      </c>
      <c r="R7" s="97" t="s">
        <v>4118</v>
      </c>
      <c r="S7" s="92"/>
      <c r="T7" s="93">
        <v>1</v>
      </c>
      <c r="U7" s="101">
        <v>0</v>
      </c>
      <c r="V7" s="114">
        <v>5</v>
      </c>
      <c r="W7" s="114">
        <v>4</v>
      </c>
      <c r="X7" s="115" t="s">
        <v>1305</v>
      </c>
      <c r="Y7" s="92"/>
      <c r="Z7" s="93">
        <v>4</v>
      </c>
      <c r="AA7" s="97">
        <v>0</v>
      </c>
      <c r="AB7" s="90">
        <v>2</v>
      </c>
      <c r="AC7" s="90">
        <v>2</v>
      </c>
      <c r="AD7" s="103" t="s">
        <v>944</v>
      </c>
      <c r="AE7" s="92"/>
      <c r="AF7" s="93">
        <v>4</v>
      </c>
      <c r="AG7" s="97">
        <v>1</v>
      </c>
      <c r="AH7" s="90">
        <v>1</v>
      </c>
      <c r="AI7" s="90">
        <v>1</v>
      </c>
      <c r="AJ7" s="105" t="s">
        <v>587</v>
      </c>
      <c r="AK7" s="92"/>
      <c r="AL7" s="126"/>
      <c r="AM7" s="126"/>
      <c r="AN7" s="198"/>
      <c r="AO7" s="198"/>
      <c r="AP7" s="126"/>
      <c r="AQ7" s="126"/>
      <c r="AR7" s="92"/>
      <c r="AS7" s="92"/>
      <c r="AT7" s="92"/>
      <c r="AU7" s="92"/>
      <c r="AV7" s="92"/>
      <c r="AW7" s="60"/>
      <c r="AX7" s="127" t="s">
        <v>4126</v>
      </c>
      <c r="AY7" s="111">
        <v>4</v>
      </c>
      <c r="AZ7" s="112" t="s">
        <v>4127</v>
      </c>
      <c r="BA7" s="61"/>
    </row>
    <row r="8" spans="1:53" ht="15.75">
      <c r="A8" s="88">
        <v>8</v>
      </c>
      <c r="B8" s="89">
        <v>0</v>
      </c>
      <c r="C8" s="90">
        <v>2</v>
      </c>
      <c r="D8" s="90">
        <v>3</v>
      </c>
      <c r="E8" s="91" t="s">
        <v>198</v>
      </c>
      <c r="F8" s="92"/>
      <c r="G8" s="93">
        <v>2</v>
      </c>
      <c r="H8" s="90">
        <v>2</v>
      </c>
      <c r="I8" s="90">
        <v>2</v>
      </c>
      <c r="J8" s="90">
        <v>1</v>
      </c>
      <c r="K8" s="94" t="s">
        <v>2122</v>
      </c>
      <c r="L8" s="92"/>
      <c r="M8" s="95">
        <v>5</v>
      </c>
      <c r="N8" s="90">
        <v>1</v>
      </c>
      <c r="O8" s="90">
        <v>2</v>
      </c>
      <c r="P8" s="90">
        <v>1</v>
      </c>
      <c r="Q8" s="96" t="s">
        <v>4128</v>
      </c>
      <c r="R8" s="97" t="s">
        <v>4118</v>
      </c>
      <c r="S8" s="92"/>
      <c r="T8" s="93">
        <v>1</v>
      </c>
      <c r="U8" s="101">
        <v>1</v>
      </c>
      <c r="V8" s="114">
        <v>1</v>
      </c>
      <c r="W8" s="114">
        <v>1</v>
      </c>
      <c r="X8" s="128" t="s">
        <v>428</v>
      </c>
      <c r="Y8" s="92"/>
      <c r="Z8" s="93">
        <v>4</v>
      </c>
      <c r="AA8" s="97">
        <v>0</v>
      </c>
      <c r="AB8" s="90">
        <v>2</v>
      </c>
      <c r="AC8" s="90">
        <v>3</v>
      </c>
      <c r="AD8" s="103" t="s">
        <v>1603</v>
      </c>
      <c r="AE8" s="92"/>
      <c r="AF8" s="93">
        <v>4</v>
      </c>
      <c r="AG8" s="97">
        <v>1</v>
      </c>
      <c r="AH8" s="90">
        <v>1</v>
      </c>
      <c r="AI8" s="90">
        <v>2</v>
      </c>
      <c r="AJ8" s="105" t="s">
        <v>731</v>
      </c>
      <c r="AK8" s="92"/>
      <c r="AL8" s="126"/>
      <c r="AM8" s="126"/>
      <c r="AN8" s="198"/>
      <c r="AO8" s="198"/>
      <c r="AP8" s="129"/>
      <c r="AQ8" s="129"/>
      <c r="AR8" s="129"/>
      <c r="AS8" s="129"/>
      <c r="AT8" s="129"/>
      <c r="AU8" s="129"/>
      <c r="AV8" s="129"/>
      <c r="AW8" s="60"/>
      <c r="AX8" s="110" t="s">
        <v>4129</v>
      </c>
      <c r="AY8" s="111">
        <v>5</v>
      </c>
      <c r="AZ8" s="112"/>
      <c r="BA8" s="61"/>
    </row>
    <row r="9" spans="1:53" ht="15.75">
      <c r="A9" s="88">
        <v>8</v>
      </c>
      <c r="B9" s="89">
        <v>0</v>
      </c>
      <c r="C9" s="90">
        <v>3</v>
      </c>
      <c r="D9" s="90">
        <v>1</v>
      </c>
      <c r="E9" s="91" t="s">
        <v>25</v>
      </c>
      <c r="F9" s="92"/>
      <c r="G9" s="93">
        <v>2</v>
      </c>
      <c r="H9" s="90">
        <v>2</v>
      </c>
      <c r="I9" s="90">
        <v>2</v>
      </c>
      <c r="J9" s="90">
        <v>2</v>
      </c>
      <c r="K9" s="94" t="s">
        <v>177</v>
      </c>
      <c r="L9" s="92"/>
      <c r="M9" s="95">
        <v>5</v>
      </c>
      <c r="N9" s="90">
        <v>1</v>
      </c>
      <c r="O9" s="90">
        <v>2</v>
      </c>
      <c r="P9" s="90">
        <v>2</v>
      </c>
      <c r="Q9" s="96" t="s">
        <v>4130</v>
      </c>
      <c r="R9" s="97" t="s">
        <v>4118</v>
      </c>
      <c r="S9" s="92"/>
      <c r="T9" s="93">
        <v>1</v>
      </c>
      <c r="U9" s="101">
        <v>1</v>
      </c>
      <c r="V9" s="114">
        <v>1</v>
      </c>
      <c r="W9" s="114">
        <v>2</v>
      </c>
      <c r="X9" s="128" t="s">
        <v>1158</v>
      </c>
      <c r="Y9" s="92"/>
      <c r="Z9" s="93">
        <v>4</v>
      </c>
      <c r="AA9" s="97">
        <v>0</v>
      </c>
      <c r="AB9" s="90">
        <v>2</v>
      </c>
      <c r="AC9" s="90">
        <v>4</v>
      </c>
      <c r="AD9" s="103" t="s">
        <v>366</v>
      </c>
      <c r="AE9" s="92"/>
      <c r="AF9" s="93">
        <v>4</v>
      </c>
      <c r="AG9" s="97">
        <v>1</v>
      </c>
      <c r="AH9" s="90">
        <v>2</v>
      </c>
      <c r="AI9" s="90">
        <v>1</v>
      </c>
      <c r="AJ9" s="109" t="s">
        <v>4131</v>
      </c>
      <c r="AK9" s="76"/>
      <c r="AL9" s="130"/>
      <c r="AM9" s="130"/>
      <c r="AN9" s="198"/>
      <c r="AO9" s="198"/>
      <c r="AP9" s="126"/>
      <c r="AQ9" s="126"/>
      <c r="AR9" s="126"/>
      <c r="AS9" s="126"/>
      <c r="AT9" s="126"/>
      <c r="AU9" s="126"/>
      <c r="AV9" s="126"/>
      <c r="AW9" s="60"/>
      <c r="AX9" s="131" t="s">
        <v>4132</v>
      </c>
      <c r="AY9" s="132">
        <v>6</v>
      </c>
      <c r="AZ9" s="112"/>
      <c r="BA9" s="61"/>
    </row>
    <row r="10" spans="1:53" ht="15" customHeight="1">
      <c r="A10" s="88">
        <v>8</v>
      </c>
      <c r="B10" s="89">
        <v>0</v>
      </c>
      <c r="C10" s="90">
        <v>3</v>
      </c>
      <c r="D10" s="90">
        <v>2</v>
      </c>
      <c r="E10" s="91" t="s">
        <v>560</v>
      </c>
      <c r="F10" s="92"/>
      <c r="G10" s="93">
        <v>2</v>
      </c>
      <c r="H10" s="90">
        <v>2</v>
      </c>
      <c r="I10" s="90">
        <v>2</v>
      </c>
      <c r="J10" s="90">
        <v>3</v>
      </c>
      <c r="K10" s="94" t="s">
        <v>847</v>
      </c>
      <c r="L10" s="92"/>
      <c r="M10" s="95">
        <v>5</v>
      </c>
      <c r="N10" s="90">
        <v>1</v>
      </c>
      <c r="O10" s="90">
        <v>3</v>
      </c>
      <c r="P10" s="90">
        <v>1</v>
      </c>
      <c r="Q10" s="96" t="s">
        <v>2235</v>
      </c>
      <c r="R10" s="97" t="s">
        <v>4118</v>
      </c>
      <c r="S10" s="92"/>
      <c r="T10" s="93">
        <v>1</v>
      </c>
      <c r="U10" s="101">
        <v>1</v>
      </c>
      <c r="V10" s="114">
        <v>1</v>
      </c>
      <c r="W10" s="114">
        <v>3</v>
      </c>
      <c r="X10" s="128" t="s">
        <v>4133</v>
      </c>
      <c r="Y10" s="92"/>
      <c r="Z10" s="93">
        <v>4</v>
      </c>
      <c r="AA10" s="97">
        <v>0</v>
      </c>
      <c r="AB10" s="90">
        <v>2</v>
      </c>
      <c r="AC10" s="90">
        <v>5</v>
      </c>
      <c r="AD10" s="103" t="s">
        <v>997</v>
      </c>
      <c r="AE10" s="92"/>
      <c r="AF10" s="93">
        <v>4</v>
      </c>
      <c r="AG10" s="97">
        <v>1</v>
      </c>
      <c r="AH10" s="90">
        <v>3</v>
      </c>
      <c r="AI10" s="90">
        <v>1</v>
      </c>
      <c r="AJ10" s="133" t="s">
        <v>393</v>
      </c>
      <c r="AK10" s="92"/>
      <c r="AL10" s="126"/>
      <c r="AM10" s="126"/>
      <c r="AN10" s="198"/>
      <c r="AO10" s="198"/>
      <c r="AP10" s="126"/>
      <c r="AQ10" s="126"/>
      <c r="AR10" s="126"/>
      <c r="AS10" s="126"/>
      <c r="AT10" s="126"/>
      <c r="AU10" s="126"/>
      <c r="AV10" s="126"/>
      <c r="AW10" s="60"/>
      <c r="AX10" s="60"/>
      <c r="AY10" s="60"/>
      <c r="AZ10" s="60"/>
      <c r="BA10" s="61"/>
    </row>
    <row r="11" spans="1:53" ht="15.75">
      <c r="A11" s="88">
        <v>8</v>
      </c>
      <c r="B11" s="89">
        <v>0</v>
      </c>
      <c r="C11" s="90">
        <v>3</v>
      </c>
      <c r="D11" s="90">
        <v>3</v>
      </c>
      <c r="E11" s="91" t="s">
        <v>275</v>
      </c>
      <c r="F11" s="92"/>
      <c r="G11" s="93">
        <v>2</v>
      </c>
      <c r="H11" s="90">
        <v>3</v>
      </c>
      <c r="I11" s="90">
        <v>0</v>
      </c>
      <c r="J11" s="90">
        <v>1</v>
      </c>
      <c r="K11" s="94" t="s">
        <v>321</v>
      </c>
      <c r="L11" s="92"/>
      <c r="M11" s="95">
        <v>5</v>
      </c>
      <c r="N11" s="90">
        <v>2</v>
      </c>
      <c r="O11" s="90">
        <v>3</v>
      </c>
      <c r="P11" s="90">
        <v>1</v>
      </c>
      <c r="Q11" s="134" t="s">
        <v>376</v>
      </c>
      <c r="R11" s="97" t="s">
        <v>4118</v>
      </c>
      <c r="S11" s="92"/>
      <c r="T11" s="93">
        <v>1</v>
      </c>
      <c r="U11" s="135">
        <v>1</v>
      </c>
      <c r="V11" s="136">
        <v>1</v>
      </c>
      <c r="W11" s="136">
        <v>4</v>
      </c>
      <c r="X11" s="137" t="s">
        <v>1405</v>
      </c>
      <c r="Y11" s="92"/>
      <c r="Z11" s="93">
        <v>4</v>
      </c>
      <c r="AA11" s="97">
        <v>0</v>
      </c>
      <c r="AB11" s="90">
        <v>3</v>
      </c>
      <c r="AC11" s="90">
        <v>1</v>
      </c>
      <c r="AD11" s="103" t="s">
        <v>40</v>
      </c>
      <c r="AE11" s="92"/>
      <c r="AF11" s="93">
        <v>4</v>
      </c>
      <c r="AG11" s="97">
        <v>1</v>
      </c>
      <c r="AH11" s="90">
        <v>4</v>
      </c>
      <c r="AI11" s="90">
        <v>1</v>
      </c>
      <c r="AJ11" s="105" t="s">
        <v>4134</v>
      </c>
      <c r="AK11" s="92"/>
      <c r="AL11" s="126"/>
      <c r="AM11" s="126"/>
      <c r="AN11" s="198"/>
      <c r="AO11" s="198"/>
      <c r="AP11" s="126"/>
      <c r="AQ11" s="126"/>
      <c r="AR11" s="126"/>
      <c r="AS11" s="126"/>
      <c r="AT11" s="126"/>
      <c r="AU11" s="126"/>
      <c r="AV11" s="126"/>
      <c r="AW11" s="61"/>
      <c r="AX11" s="61"/>
      <c r="AY11" s="61"/>
      <c r="AZ11" s="61"/>
      <c r="BA11" s="61"/>
    </row>
    <row r="12" spans="1:53" ht="15.75">
      <c r="A12" s="88">
        <v>8</v>
      </c>
      <c r="B12" s="89">
        <v>0</v>
      </c>
      <c r="C12" s="90">
        <v>4</v>
      </c>
      <c r="D12" s="90">
        <v>1</v>
      </c>
      <c r="E12" s="91" t="s">
        <v>343</v>
      </c>
      <c r="F12" s="92"/>
      <c r="G12" s="93">
        <v>2</v>
      </c>
      <c r="H12" s="90">
        <v>2</v>
      </c>
      <c r="I12" s="90">
        <v>2</v>
      </c>
      <c r="J12" s="90">
        <v>4</v>
      </c>
      <c r="K12" s="94" t="s">
        <v>259</v>
      </c>
      <c r="L12" s="92"/>
      <c r="M12" s="95">
        <v>5</v>
      </c>
      <c r="N12" s="90">
        <v>3</v>
      </c>
      <c r="O12" s="90">
        <v>0</v>
      </c>
      <c r="P12" s="90">
        <v>1</v>
      </c>
      <c r="Q12" s="134" t="s">
        <v>1131</v>
      </c>
      <c r="R12" s="97" t="s">
        <v>4135</v>
      </c>
      <c r="S12" s="92"/>
      <c r="T12" s="93">
        <v>1</v>
      </c>
      <c r="U12" s="97">
        <v>1</v>
      </c>
      <c r="V12" s="98">
        <v>2</v>
      </c>
      <c r="W12" s="98">
        <v>1</v>
      </c>
      <c r="X12" s="91" t="s">
        <v>656</v>
      </c>
      <c r="Y12" s="92"/>
      <c r="Z12" s="93">
        <v>4</v>
      </c>
      <c r="AA12" s="97">
        <v>0</v>
      </c>
      <c r="AB12" s="90">
        <v>3</v>
      </c>
      <c r="AC12" s="90">
        <v>2</v>
      </c>
      <c r="AD12" s="103" t="s">
        <v>281</v>
      </c>
      <c r="AE12" s="92"/>
      <c r="AF12" s="93">
        <v>4</v>
      </c>
      <c r="AG12" s="97">
        <v>1</v>
      </c>
      <c r="AH12" s="90">
        <v>5</v>
      </c>
      <c r="AI12" s="90">
        <v>1</v>
      </c>
      <c r="AJ12" s="105" t="s">
        <v>4136</v>
      </c>
      <c r="AK12" s="92"/>
      <c r="AL12" s="126"/>
      <c r="AM12" s="126"/>
      <c r="AN12" s="198"/>
      <c r="AO12" s="198"/>
      <c r="AP12" s="126"/>
      <c r="AQ12" s="126"/>
      <c r="AR12" s="126"/>
      <c r="AS12" s="126"/>
      <c r="AT12" s="126"/>
      <c r="AU12" s="126"/>
      <c r="AV12" s="126"/>
      <c r="AW12" s="61"/>
      <c r="AX12" s="61"/>
      <c r="AY12" s="61"/>
      <c r="AZ12" s="61"/>
      <c r="BA12" s="61"/>
    </row>
    <row r="13" spans="1:53" ht="15.75">
      <c r="A13" s="88">
        <v>8</v>
      </c>
      <c r="B13" s="89">
        <v>0</v>
      </c>
      <c r="C13" s="90">
        <v>5</v>
      </c>
      <c r="D13" s="90">
        <v>1</v>
      </c>
      <c r="E13" s="91" t="s">
        <v>31</v>
      </c>
      <c r="F13" s="92"/>
      <c r="G13" s="93">
        <v>2</v>
      </c>
      <c r="H13" s="90">
        <v>4</v>
      </c>
      <c r="I13" s="90">
        <v>1</v>
      </c>
      <c r="J13" s="90">
        <v>1</v>
      </c>
      <c r="K13" s="105" t="s">
        <v>214</v>
      </c>
      <c r="L13" s="92"/>
      <c r="M13" s="95">
        <v>5</v>
      </c>
      <c r="N13" s="90">
        <v>3</v>
      </c>
      <c r="O13" s="90">
        <v>0</v>
      </c>
      <c r="P13" s="90">
        <v>2</v>
      </c>
      <c r="Q13" s="134" t="s">
        <v>2052</v>
      </c>
      <c r="R13" s="97" t="s">
        <v>4118</v>
      </c>
      <c r="S13" s="92"/>
      <c r="T13" s="93">
        <v>1</v>
      </c>
      <c r="U13" s="101">
        <v>1</v>
      </c>
      <c r="V13" s="114">
        <v>2</v>
      </c>
      <c r="W13" s="114">
        <v>2</v>
      </c>
      <c r="X13" s="128" t="s">
        <v>1529</v>
      </c>
      <c r="Y13" s="92"/>
      <c r="Z13" s="93">
        <v>4</v>
      </c>
      <c r="AA13" s="97">
        <v>0</v>
      </c>
      <c r="AB13" s="90">
        <v>3</v>
      </c>
      <c r="AC13" s="90">
        <v>3</v>
      </c>
      <c r="AD13" s="103" t="s">
        <v>879</v>
      </c>
      <c r="AE13" s="92"/>
      <c r="AF13" s="107">
        <v>4</v>
      </c>
      <c r="AG13" s="108">
        <v>1</v>
      </c>
      <c r="AH13" s="138">
        <v>6</v>
      </c>
      <c r="AI13" s="138">
        <v>1</v>
      </c>
      <c r="AJ13" s="109" t="s">
        <v>109</v>
      </c>
      <c r="AK13" s="92"/>
      <c r="AL13" s="126"/>
      <c r="AM13" s="126"/>
      <c r="AN13" s="198"/>
      <c r="AO13" s="198"/>
      <c r="AP13" s="126"/>
      <c r="AQ13" s="126"/>
      <c r="AR13" s="126"/>
      <c r="AS13" s="126"/>
      <c r="AT13" s="126"/>
      <c r="AU13" s="126"/>
      <c r="AV13" s="126"/>
      <c r="AW13" s="61"/>
      <c r="AX13" s="61"/>
      <c r="AY13" s="61"/>
      <c r="AZ13" s="61"/>
      <c r="BA13" s="61"/>
    </row>
    <row r="14" spans="1:53" ht="15.75">
      <c r="A14" s="88">
        <v>8</v>
      </c>
      <c r="B14" s="89">
        <v>0</v>
      </c>
      <c r="C14" s="90">
        <v>5</v>
      </c>
      <c r="D14" s="90">
        <v>2</v>
      </c>
      <c r="E14" s="91" t="s">
        <v>1120</v>
      </c>
      <c r="F14" s="92"/>
      <c r="G14" s="93">
        <v>2</v>
      </c>
      <c r="H14" s="90">
        <v>4</v>
      </c>
      <c r="I14" s="90">
        <v>1</v>
      </c>
      <c r="J14" s="90">
        <v>2</v>
      </c>
      <c r="K14" s="105" t="s">
        <v>985</v>
      </c>
      <c r="L14" s="92"/>
      <c r="M14" s="139">
        <v>5</v>
      </c>
      <c r="N14" s="119">
        <v>4</v>
      </c>
      <c r="O14" s="119">
        <v>0</v>
      </c>
      <c r="P14" s="119">
        <v>1</v>
      </c>
      <c r="Q14" s="140" t="s">
        <v>571</v>
      </c>
      <c r="R14" s="97" t="s">
        <v>4137</v>
      </c>
      <c r="S14" s="92"/>
      <c r="T14" s="93">
        <v>1</v>
      </c>
      <c r="U14" s="101">
        <v>1</v>
      </c>
      <c r="V14" s="114">
        <v>3</v>
      </c>
      <c r="W14" s="114">
        <v>1</v>
      </c>
      <c r="X14" s="128" t="s">
        <v>2570</v>
      </c>
      <c r="Y14" s="92"/>
      <c r="Z14" s="93">
        <v>4</v>
      </c>
      <c r="AA14" s="97">
        <v>0</v>
      </c>
      <c r="AB14" s="90">
        <v>3</v>
      </c>
      <c r="AC14" s="90">
        <v>4</v>
      </c>
      <c r="AD14" s="103" t="s">
        <v>3553</v>
      </c>
      <c r="AE14" s="92"/>
      <c r="AF14" s="122">
        <v>4</v>
      </c>
      <c r="AG14" s="123">
        <v>1</v>
      </c>
      <c r="AH14" s="124">
        <v>6</v>
      </c>
      <c r="AI14" s="124">
        <v>2</v>
      </c>
      <c r="AJ14" s="141" t="s">
        <v>415</v>
      </c>
      <c r="AK14" s="92"/>
      <c r="AL14" s="126"/>
      <c r="AM14" s="126"/>
      <c r="AN14" s="198"/>
      <c r="AO14" s="198"/>
      <c r="AP14" s="126"/>
      <c r="AQ14" s="126"/>
      <c r="AR14" s="126"/>
      <c r="AS14" s="126"/>
      <c r="AT14" s="126"/>
      <c r="AU14" s="126"/>
      <c r="AV14" s="126"/>
      <c r="AW14" s="61"/>
      <c r="AX14" s="61"/>
      <c r="AY14" s="61"/>
      <c r="AZ14" s="61"/>
      <c r="BA14" s="61"/>
    </row>
    <row r="15" spans="1:53" ht="15.75">
      <c r="A15" s="88">
        <v>8</v>
      </c>
      <c r="B15" s="89">
        <v>0</v>
      </c>
      <c r="C15" s="90">
        <v>5</v>
      </c>
      <c r="D15" s="90">
        <v>3</v>
      </c>
      <c r="E15" s="91" t="s">
        <v>2776</v>
      </c>
      <c r="F15" s="92"/>
      <c r="G15" s="93">
        <v>2</v>
      </c>
      <c r="H15" s="90">
        <v>4</v>
      </c>
      <c r="I15" s="90">
        <v>1</v>
      </c>
      <c r="J15" s="142">
        <v>3</v>
      </c>
      <c r="K15" s="143" t="s">
        <v>2426</v>
      </c>
      <c r="L15" s="92"/>
      <c r="M15" s="92"/>
      <c r="N15" s="92"/>
      <c r="O15" s="144"/>
      <c r="P15" s="144"/>
      <c r="Q15" s="92"/>
      <c r="R15" s="92"/>
      <c r="S15" s="92"/>
      <c r="T15" s="93">
        <v>1</v>
      </c>
      <c r="U15" s="101">
        <v>1</v>
      </c>
      <c r="V15" s="114">
        <v>3</v>
      </c>
      <c r="W15" s="114">
        <v>2</v>
      </c>
      <c r="X15" s="128" t="s">
        <v>1103</v>
      </c>
      <c r="Y15" s="92"/>
      <c r="Z15" s="93">
        <v>4</v>
      </c>
      <c r="AA15" s="97">
        <v>0</v>
      </c>
      <c r="AB15" s="90">
        <v>4</v>
      </c>
      <c r="AC15" s="90">
        <v>1</v>
      </c>
      <c r="AD15" s="103" t="s">
        <v>62</v>
      </c>
      <c r="AE15" s="92"/>
      <c r="AF15" s="92"/>
      <c r="AG15" s="92"/>
      <c r="AH15" s="144"/>
      <c r="AI15" s="144"/>
      <c r="AJ15" s="92"/>
      <c r="AK15" s="92"/>
      <c r="AL15" s="126"/>
      <c r="AM15" s="126"/>
      <c r="AN15" s="198"/>
      <c r="AO15" s="198"/>
      <c r="AP15" s="126"/>
      <c r="AQ15" s="126"/>
      <c r="AR15" s="126"/>
      <c r="AS15" s="126"/>
      <c r="AT15" s="126"/>
      <c r="AU15" s="126"/>
      <c r="AV15" s="126"/>
      <c r="AW15" s="61"/>
      <c r="AX15" s="61"/>
      <c r="AY15" s="61"/>
      <c r="AZ15" s="61"/>
      <c r="BA15" s="61"/>
    </row>
    <row r="16" spans="1:53" ht="15.75">
      <c r="A16" s="88">
        <v>8</v>
      </c>
      <c r="B16" s="89">
        <v>0</v>
      </c>
      <c r="C16" s="90">
        <v>5</v>
      </c>
      <c r="D16" s="90">
        <v>4</v>
      </c>
      <c r="E16" s="91" t="s">
        <v>4138</v>
      </c>
      <c r="F16" s="92"/>
      <c r="G16" s="93">
        <v>2</v>
      </c>
      <c r="H16" s="90">
        <v>4</v>
      </c>
      <c r="I16" s="113">
        <v>2</v>
      </c>
      <c r="J16" s="90">
        <v>1</v>
      </c>
      <c r="K16" s="105" t="s">
        <v>480</v>
      </c>
      <c r="L16" s="92"/>
      <c r="M16" s="126"/>
      <c r="N16" s="126"/>
      <c r="O16" s="129"/>
      <c r="P16" s="129"/>
      <c r="Q16" s="126"/>
      <c r="R16" s="126"/>
      <c r="S16" s="92"/>
      <c r="T16" s="93">
        <v>1</v>
      </c>
      <c r="U16" s="101">
        <v>1</v>
      </c>
      <c r="V16" s="114">
        <v>4</v>
      </c>
      <c r="W16" s="114">
        <v>1</v>
      </c>
      <c r="X16" s="128" t="s">
        <v>1233</v>
      </c>
      <c r="Y16" s="92"/>
      <c r="Z16" s="93">
        <v>4</v>
      </c>
      <c r="AA16" s="97">
        <v>0</v>
      </c>
      <c r="AB16" s="90">
        <v>4</v>
      </c>
      <c r="AC16" s="90">
        <v>2</v>
      </c>
      <c r="AD16" s="103" t="s">
        <v>566</v>
      </c>
      <c r="AE16" s="92"/>
      <c r="AF16" s="126"/>
      <c r="AG16" s="126"/>
      <c r="AH16" s="129"/>
      <c r="AI16" s="129"/>
      <c r="AJ16" s="126"/>
      <c r="AK16" s="126"/>
      <c r="AL16" s="126"/>
      <c r="AM16" s="126"/>
      <c r="AN16" s="198"/>
      <c r="AO16" s="198"/>
      <c r="AP16" s="126"/>
      <c r="AQ16" s="126"/>
      <c r="AR16" s="126"/>
      <c r="AS16" s="126"/>
      <c r="AT16" s="126"/>
      <c r="AU16" s="126"/>
      <c r="AV16" s="126"/>
      <c r="AW16" s="61"/>
      <c r="AX16" s="61"/>
      <c r="AY16" s="61"/>
      <c r="AZ16" s="61"/>
      <c r="BA16" s="61"/>
    </row>
    <row r="17" spans="1:53" ht="15.75">
      <c r="A17" s="88">
        <v>8</v>
      </c>
      <c r="B17" s="89">
        <v>0</v>
      </c>
      <c r="C17" s="90">
        <v>6</v>
      </c>
      <c r="D17" s="90">
        <v>1</v>
      </c>
      <c r="E17" s="91" t="s">
        <v>750</v>
      </c>
      <c r="F17" s="92"/>
      <c r="G17" s="93">
        <v>2</v>
      </c>
      <c r="H17" s="90">
        <v>4</v>
      </c>
      <c r="I17" s="113">
        <v>3</v>
      </c>
      <c r="J17" s="90">
        <v>1</v>
      </c>
      <c r="K17" s="105" t="s">
        <v>1422</v>
      </c>
      <c r="L17" s="92"/>
      <c r="M17" s="126"/>
      <c r="N17" s="126"/>
      <c r="O17" s="129"/>
      <c r="P17" s="129"/>
      <c r="Q17" s="126" t="s">
        <v>143</v>
      </c>
      <c r="R17" s="126"/>
      <c r="S17" s="92"/>
      <c r="T17" s="93">
        <v>1</v>
      </c>
      <c r="U17" s="101">
        <v>1</v>
      </c>
      <c r="V17" s="114">
        <v>5</v>
      </c>
      <c r="W17" s="114">
        <v>1</v>
      </c>
      <c r="X17" s="128" t="s">
        <v>185</v>
      </c>
      <c r="Y17" s="92"/>
      <c r="Z17" s="93">
        <v>4</v>
      </c>
      <c r="AA17" s="97">
        <v>0</v>
      </c>
      <c r="AB17" s="90">
        <v>4</v>
      </c>
      <c r="AC17" s="90">
        <v>3</v>
      </c>
      <c r="AD17" s="103" t="s">
        <v>493</v>
      </c>
      <c r="AE17" s="92"/>
      <c r="AF17" s="126"/>
      <c r="AG17" s="126"/>
      <c r="AH17" s="129"/>
      <c r="AI17" s="129"/>
      <c r="AJ17" s="126"/>
      <c r="AK17" s="126"/>
      <c r="AL17" s="126"/>
      <c r="AM17" s="126"/>
      <c r="AN17" s="198"/>
      <c r="AO17" s="198"/>
      <c r="AP17" s="126"/>
      <c r="AQ17" s="126"/>
      <c r="AR17" s="126"/>
      <c r="AS17" s="126"/>
      <c r="AT17" s="126"/>
      <c r="AU17" s="126"/>
      <c r="AV17" s="126"/>
      <c r="AW17" s="61"/>
      <c r="AX17" s="61"/>
      <c r="AY17" s="61"/>
      <c r="AZ17" s="61"/>
      <c r="BA17" s="61"/>
    </row>
    <row r="18" spans="1:53" ht="15.75">
      <c r="A18" s="88">
        <v>8</v>
      </c>
      <c r="B18" s="89">
        <v>0</v>
      </c>
      <c r="C18" s="90">
        <v>7</v>
      </c>
      <c r="D18" s="90">
        <v>1</v>
      </c>
      <c r="E18" s="91" t="s">
        <v>209</v>
      </c>
      <c r="F18" s="92"/>
      <c r="G18" s="93">
        <v>2</v>
      </c>
      <c r="H18" s="90">
        <v>4</v>
      </c>
      <c r="I18" s="113">
        <v>4</v>
      </c>
      <c r="J18" s="90">
        <v>1</v>
      </c>
      <c r="K18" s="105" t="s">
        <v>410</v>
      </c>
      <c r="L18" s="92"/>
      <c r="M18" s="126"/>
      <c r="N18" s="126"/>
      <c r="O18" s="129"/>
      <c r="P18" s="129"/>
      <c r="Q18" s="126" t="s">
        <v>1545</v>
      </c>
      <c r="R18" s="126"/>
      <c r="S18" s="92"/>
      <c r="T18" s="93">
        <v>1</v>
      </c>
      <c r="U18" s="101">
        <v>1</v>
      </c>
      <c r="V18" s="114">
        <v>5</v>
      </c>
      <c r="W18" s="114">
        <v>2</v>
      </c>
      <c r="X18" s="128" t="s">
        <v>2202</v>
      </c>
      <c r="Y18" s="92"/>
      <c r="Z18" s="93">
        <v>4</v>
      </c>
      <c r="AA18" s="97">
        <v>0</v>
      </c>
      <c r="AB18" s="90">
        <v>5</v>
      </c>
      <c r="AC18" s="90">
        <v>1</v>
      </c>
      <c r="AD18" s="103" t="s">
        <v>4139</v>
      </c>
      <c r="AE18" s="92"/>
      <c r="AF18" s="126"/>
      <c r="AG18" s="126"/>
      <c r="AH18" s="129"/>
      <c r="AI18" s="129"/>
      <c r="AJ18" s="126"/>
      <c r="AK18" s="126"/>
      <c r="AL18" s="126"/>
      <c r="AM18" s="126"/>
      <c r="AN18" s="198"/>
      <c r="AO18" s="198"/>
      <c r="AP18" s="126"/>
      <c r="AQ18" s="126"/>
      <c r="AR18" s="126"/>
      <c r="AS18" s="126"/>
      <c r="AT18" s="126"/>
      <c r="AU18" s="126"/>
      <c r="AV18" s="126"/>
      <c r="AW18" s="61"/>
      <c r="AX18" s="61"/>
      <c r="AY18" s="61"/>
      <c r="AZ18" s="61"/>
      <c r="BA18" s="61"/>
    </row>
    <row r="19" spans="1:53" ht="15.75">
      <c r="A19" s="88">
        <v>8</v>
      </c>
      <c r="B19" s="89">
        <v>0</v>
      </c>
      <c r="C19" s="90">
        <v>8</v>
      </c>
      <c r="D19" s="90">
        <v>1</v>
      </c>
      <c r="E19" s="91" t="s">
        <v>399</v>
      </c>
      <c r="F19" s="92"/>
      <c r="G19" s="93">
        <v>2</v>
      </c>
      <c r="H19" s="90">
        <v>4</v>
      </c>
      <c r="I19" s="113">
        <v>5</v>
      </c>
      <c r="J19" s="90">
        <v>1</v>
      </c>
      <c r="K19" s="105" t="s">
        <v>1566</v>
      </c>
      <c r="L19" s="92"/>
      <c r="M19" s="126"/>
      <c r="N19" s="126"/>
      <c r="O19" s="129"/>
      <c r="P19" s="129"/>
      <c r="Q19" s="126" t="s">
        <v>1131</v>
      </c>
      <c r="R19" s="126"/>
      <c r="S19" s="92"/>
      <c r="T19" s="93">
        <v>1</v>
      </c>
      <c r="U19" s="101">
        <v>1</v>
      </c>
      <c r="V19" s="114">
        <v>5</v>
      </c>
      <c r="W19" s="114">
        <v>3</v>
      </c>
      <c r="X19" s="128" t="s">
        <v>1721</v>
      </c>
      <c r="Y19" s="92"/>
      <c r="Z19" s="117">
        <v>4</v>
      </c>
      <c r="AA19" s="118">
        <v>0</v>
      </c>
      <c r="AB19" s="119">
        <v>5</v>
      </c>
      <c r="AC19" s="119">
        <v>2</v>
      </c>
      <c r="AD19" s="145" t="s">
        <v>1657</v>
      </c>
      <c r="AE19" s="92"/>
      <c r="AF19" s="126"/>
      <c r="AG19" s="126"/>
      <c r="AH19" s="129"/>
      <c r="AI19" s="129"/>
      <c r="AJ19" s="126"/>
      <c r="AK19" s="126"/>
      <c r="AL19" s="126"/>
      <c r="AM19" s="126"/>
      <c r="AN19" s="198"/>
      <c r="AO19" s="198"/>
      <c r="AP19" s="126"/>
      <c r="AQ19" s="126"/>
      <c r="AR19" s="126"/>
      <c r="AS19" s="126"/>
      <c r="AT19" s="126"/>
      <c r="AU19" s="126"/>
      <c r="AV19" s="126"/>
      <c r="AW19" s="61"/>
      <c r="AX19" s="61"/>
      <c r="AY19" s="61"/>
      <c r="AZ19" s="61"/>
      <c r="BA19" s="61"/>
    </row>
    <row r="20" spans="1:53" ht="15.75">
      <c r="A20" s="88">
        <v>8</v>
      </c>
      <c r="B20" s="89">
        <v>0</v>
      </c>
      <c r="C20" s="90">
        <v>8</v>
      </c>
      <c r="D20" s="90">
        <v>2</v>
      </c>
      <c r="E20" s="91" t="s">
        <v>507</v>
      </c>
      <c r="F20" s="92"/>
      <c r="G20" s="93">
        <v>2</v>
      </c>
      <c r="H20" s="90">
        <v>4</v>
      </c>
      <c r="I20" s="113">
        <v>6</v>
      </c>
      <c r="J20" s="90">
        <v>1</v>
      </c>
      <c r="K20" s="105" t="s">
        <v>290</v>
      </c>
      <c r="L20" s="92"/>
      <c r="M20" s="126"/>
      <c r="N20" s="126"/>
      <c r="O20" s="129"/>
      <c r="P20" s="129"/>
      <c r="Q20" s="126" t="s">
        <v>571</v>
      </c>
      <c r="R20" s="126"/>
      <c r="S20" s="92"/>
      <c r="T20" s="93">
        <v>1</v>
      </c>
      <c r="U20" s="101">
        <v>1</v>
      </c>
      <c r="V20" s="114">
        <v>5</v>
      </c>
      <c r="W20" s="114">
        <v>4</v>
      </c>
      <c r="X20" s="128" t="s">
        <v>933</v>
      </c>
      <c r="Y20" s="92"/>
      <c r="Z20" s="92"/>
      <c r="AA20" s="92"/>
      <c r="AB20" s="144"/>
      <c r="AC20" s="144"/>
      <c r="AD20" s="92"/>
      <c r="AE20" s="92"/>
      <c r="AF20" s="126"/>
      <c r="AG20" s="126"/>
      <c r="AH20" s="129"/>
      <c r="AI20" s="129"/>
      <c r="AJ20" s="126"/>
      <c r="AK20" s="126"/>
      <c r="AL20" s="126"/>
      <c r="AM20" s="126"/>
      <c r="AN20" s="198"/>
      <c r="AO20" s="198"/>
      <c r="AP20" s="126"/>
      <c r="AQ20" s="126"/>
      <c r="AR20" s="126"/>
      <c r="AS20" s="126"/>
      <c r="AT20" s="126"/>
      <c r="AU20" s="126"/>
      <c r="AV20" s="126"/>
      <c r="AW20" s="61"/>
      <c r="AX20" s="61"/>
      <c r="AY20" s="61"/>
      <c r="AZ20" s="61"/>
      <c r="BA20" s="61"/>
    </row>
    <row r="21" spans="1:53" ht="15.75">
      <c r="A21" s="88">
        <v>8</v>
      </c>
      <c r="B21" s="89">
        <v>0</v>
      </c>
      <c r="C21" s="90">
        <v>8</v>
      </c>
      <c r="D21" s="90">
        <v>3</v>
      </c>
      <c r="E21" s="146" t="s">
        <v>2404</v>
      </c>
      <c r="F21" s="92"/>
      <c r="G21" s="93">
        <v>2</v>
      </c>
      <c r="H21" s="90">
        <v>0</v>
      </c>
      <c r="I21" s="113">
        <v>1</v>
      </c>
      <c r="J21" s="90">
        <v>0</v>
      </c>
      <c r="K21" s="104" t="s">
        <v>1411</v>
      </c>
      <c r="L21" s="92"/>
      <c r="M21" s="126"/>
      <c r="N21" s="126"/>
      <c r="O21" s="129"/>
      <c r="P21" s="129"/>
      <c r="Q21" s="126"/>
      <c r="R21" s="126"/>
      <c r="S21" s="92"/>
      <c r="T21" s="93">
        <v>1</v>
      </c>
      <c r="U21" s="101">
        <v>1</v>
      </c>
      <c r="V21" s="114">
        <v>6</v>
      </c>
      <c r="W21" s="114">
        <v>1</v>
      </c>
      <c r="X21" s="128" t="s">
        <v>454</v>
      </c>
      <c r="Y21" s="92"/>
      <c r="Z21" s="126"/>
      <c r="AA21" s="126"/>
      <c r="AB21" s="129"/>
      <c r="AC21" s="129"/>
      <c r="AD21" s="126"/>
      <c r="AE21" s="126"/>
      <c r="AF21" s="126"/>
      <c r="AG21" s="126"/>
      <c r="AH21" s="129"/>
      <c r="AI21" s="129"/>
      <c r="AJ21" s="126"/>
      <c r="AK21" s="126"/>
      <c r="AL21" s="126"/>
      <c r="AM21" s="126"/>
      <c r="AN21" s="206"/>
      <c r="AO21" s="206"/>
      <c r="AP21" s="126"/>
      <c r="AQ21" s="126"/>
      <c r="AR21" s="126"/>
      <c r="AS21" s="126"/>
      <c r="AT21" s="126"/>
      <c r="AU21" s="126"/>
      <c r="AV21" s="126"/>
      <c r="AW21" s="61"/>
      <c r="AX21" s="61"/>
      <c r="AY21" s="61"/>
      <c r="AZ21" s="61"/>
      <c r="BA21" s="61"/>
    </row>
    <row r="22" spans="1:53" ht="15.75">
      <c r="A22" s="88">
        <v>8</v>
      </c>
      <c r="B22" s="89">
        <v>0</v>
      </c>
      <c r="C22" s="90">
        <v>8</v>
      </c>
      <c r="D22" s="90">
        <v>4</v>
      </c>
      <c r="E22" s="146" t="s">
        <v>2369</v>
      </c>
      <c r="F22" s="92"/>
      <c r="G22" s="93">
        <v>2</v>
      </c>
      <c r="H22" s="90">
        <v>0</v>
      </c>
      <c r="I22" s="113">
        <v>2</v>
      </c>
      <c r="J22" s="90">
        <v>0</v>
      </c>
      <c r="K22" s="104" t="s">
        <v>3681</v>
      </c>
      <c r="L22" s="92"/>
      <c r="M22" s="126"/>
      <c r="N22" s="126"/>
      <c r="O22" s="129"/>
      <c r="P22" s="129"/>
      <c r="Q22" s="126"/>
      <c r="R22" s="126"/>
      <c r="S22" s="92"/>
      <c r="T22" s="93">
        <v>1</v>
      </c>
      <c r="U22" s="101">
        <v>1</v>
      </c>
      <c r="V22" s="114">
        <v>6</v>
      </c>
      <c r="W22" s="114">
        <v>2</v>
      </c>
      <c r="X22" s="128" t="s">
        <v>82</v>
      </c>
      <c r="Y22" s="92"/>
      <c r="Z22" s="126"/>
      <c r="AA22" s="126"/>
      <c r="AB22" s="129"/>
      <c r="AC22" s="129"/>
      <c r="AD22" s="126"/>
      <c r="AE22" s="126"/>
      <c r="AF22" s="126"/>
      <c r="AG22" s="126"/>
      <c r="AH22" s="129"/>
      <c r="AI22" s="129"/>
      <c r="AJ22" s="126"/>
      <c r="AK22" s="126"/>
      <c r="AL22" s="126"/>
      <c r="AM22" s="126"/>
      <c r="AN22" s="198"/>
      <c r="AO22" s="198"/>
      <c r="AP22" s="126"/>
      <c r="AQ22" s="126"/>
      <c r="AR22" s="126"/>
      <c r="AS22" s="126"/>
      <c r="AT22" s="126"/>
      <c r="AU22" s="126"/>
      <c r="AV22" s="126"/>
      <c r="AW22" s="61"/>
      <c r="AX22" s="61"/>
      <c r="AY22" s="61"/>
      <c r="AZ22" s="61"/>
      <c r="BA22" s="61"/>
    </row>
    <row r="23" spans="1:53" ht="15.75">
      <c r="A23" s="88">
        <v>8</v>
      </c>
      <c r="B23" s="89">
        <v>0</v>
      </c>
      <c r="C23" s="90">
        <v>0</v>
      </c>
      <c r="D23" s="90">
        <v>1</v>
      </c>
      <c r="E23" s="99" t="s">
        <v>1880</v>
      </c>
      <c r="F23" s="92"/>
      <c r="G23" s="93">
        <v>2</v>
      </c>
      <c r="H23" s="90">
        <v>0</v>
      </c>
      <c r="I23" s="113">
        <v>2</v>
      </c>
      <c r="J23" s="90">
        <v>1</v>
      </c>
      <c r="K23" s="104" t="s">
        <v>171</v>
      </c>
      <c r="L23" s="92"/>
      <c r="M23" s="126"/>
      <c r="N23" s="126"/>
      <c r="O23" s="129"/>
      <c r="P23" s="129"/>
      <c r="Q23" s="126"/>
      <c r="R23" s="126"/>
      <c r="S23" s="92"/>
      <c r="T23" s="93">
        <v>1</v>
      </c>
      <c r="U23" s="101">
        <v>3</v>
      </c>
      <c r="V23" s="114">
        <v>1</v>
      </c>
      <c r="W23" s="114">
        <v>1</v>
      </c>
      <c r="X23" s="115" t="s">
        <v>936</v>
      </c>
      <c r="Y23" s="92"/>
      <c r="Z23" s="126"/>
      <c r="AA23" s="126"/>
      <c r="AB23" s="129"/>
      <c r="AC23" s="129"/>
      <c r="AD23" s="126"/>
      <c r="AE23" s="126"/>
      <c r="AF23" s="126"/>
      <c r="AG23" s="126"/>
      <c r="AH23" s="129"/>
      <c r="AI23" s="129"/>
      <c r="AJ23" s="126"/>
      <c r="AK23" s="126"/>
      <c r="AL23" s="126"/>
      <c r="AM23" s="126"/>
      <c r="AN23" s="206"/>
      <c r="AO23" s="206"/>
      <c r="AP23" s="126"/>
      <c r="AQ23" s="126"/>
      <c r="AR23" s="126"/>
      <c r="AS23" s="126"/>
      <c r="AT23" s="126"/>
      <c r="AU23" s="126"/>
      <c r="AV23" s="126"/>
      <c r="AW23" s="61"/>
      <c r="AX23" s="61"/>
      <c r="AY23" s="61"/>
      <c r="AZ23" s="61"/>
      <c r="BA23" s="61"/>
    </row>
    <row r="24" spans="1:53" ht="15.75">
      <c r="A24" s="88">
        <v>8</v>
      </c>
      <c r="B24" s="89">
        <v>0</v>
      </c>
      <c r="C24" s="90">
        <v>0</v>
      </c>
      <c r="D24" s="90">
        <v>2</v>
      </c>
      <c r="E24" s="99" t="s">
        <v>420</v>
      </c>
      <c r="F24" s="92"/>
      <c r="G24" s="117">
        <v>2</v>
      </c>
      <c r="H24" s="119">
        <v>0</v>
      </c>
      <c r="I24" s="147">
        <v>3</v>
      </c>
      <c r="J24" s="119">
        <v>0</v>
      </c>
      <c r="K24" s="148" t="s">
        <v>4140</v>
      </c>
      <c r="L24" s="92"/>
      <c r="M24" s="126"/>
      <c r="N24" s="126"/>
      <c r="O24" s="129"/>
      <c r="P24" s="129"/>
      <c r="Q24" s="126"/>
      <c r="R24" s="126"/>
      <c r="S24" s="92"/>
      <c r="T24" s="93">
        <v>1</v>
      </c>
      <c r="U24" s="101">
        <v>3</v>
      </c>
      <c r="V24" s="114">
        <v>1</v>
      </c>
      <c r="W24" s="114">
        <v>2</v>
      </c>
      <c r="X24" s="115" t="s">
        <v>335</v>
      </c>
      <c r="Y24" s="92"/>
      <c r="Z24" s="126"/>
      <c r="AA24" s="126"/>
      <c r="AB24" s="129"/>
      <c r="AC24" s="129"/>
      <c r="AD24" s="126"/>
      <c r="AE24" s="126"/>
      <c r="AF24" s="126"/>
      <c r="AG24" s="126"/>
      <c r="AH24" s="129"/>
      <c r="AI24" s="129"/>
      <c r="AJ24" s="126"/>
      <c r="AK24" s="126"/>
      <c r="AL24" s="126"/>
      <c r="AM24" s="126"/>
      <c r="AN24" s="206"/>
      <c r="AO24" s="206"/>
      <c r="AP24" s="126"/>
      <c r="AQ24" s="126"/>
      <c r="AR24" s="126"/>
      <c r="AS24" s="126"/>
      <c r="AT24" s="126"/>
      <c r="AU24" s="126"/>
      <c r="AV24" s="126"/>
      <c r="AW24" s="61"/>
      <c r="AX24" s="61"/>
      <c r="AY24" s="61"/>
      <c r="AZ24" s="61"/>
      <c r="BA24" s="61"/>
    </row>
    <row r="25" spans="1:53" ht="15.75">
      <c r="A25" s="88">
        <v>8</v>
      </c>
      <c r="B25" s="89">
        <v>0</v>
      </c>
      <c r="C25" s="90">
        <v>0</v>
      </c>
      <c r="D25" s="90">
        <v>3</v>
      </c>
      <c r="E25" s="99" t="s">
        <v>1665</v>
      </c>
      <c r="F25" s="92"/>
      <c r="G25" s="92"/>
      <c r="H25" s="144"/>
      <c r="I25" s="144"/>
      <c r="J25" s="144"/>
      <c r="K25" s="121"/>
      <c r="L25" s="121"/>
      <c r="M25" s="198"/>
      <c r="N25" s="198"/>
      <c r="O25" s="129"/>
      <c r="P25" s="129"/>
      <c r="Q25" s="126"/>
      <c r="R25" s="126"/>
      <c r="S25" s="92"/>
      <c r="T25" s="93">
        <v>1</v>
      </c>
      <c r="U25" s="101">
        <v>3</v>
      </c>
      <c r="V25" s="114">
        <v>1</v>
      </c>
      <c r="W25" s="114">
        <v>3</v>
      </c>
      <c r="X25" s="115" t="s">
        <v>665</v>
      </c>
      <c r="Y25" s="92"/>
      <c r="Z25" s="126"/>
      <c r="AA25" s="126"/>
      <c r="AB25" s="129"/>
      <c r="AC25" s="129"/>
      <c r="AD25" s="126"/>
      <c r="AE25" s="126"/>
      <c r="AF25" s="126"/>
      <c r="AG25" s="126"/>
      <c r="AH25" s="129"/>
      <c r="AI25" s="129"/>
      <c r="AJ25" s="126"/>
      <c r="AK25" s="126"/>
      <c r="AL25" s="126"/>
      <c r="AM25" s="126"/>
      <c r="AN25" s="206"/>
      <c r="AO25" s="206"/>
      <c r="AP25" s="126"/>
      <c r="AQ25" s="126"/>
      <c r="AR25" s="126"/>
      <c r="AS25" s="126"/>
      <c r="AT25" s="126"/>
      <c r="AU25" s="126"/>
      <c r="AV25" s="126"/>
      <c r="AW25" s="61"/>
      <c r="AX25" s="61"/>
      <c r="AY25" s="61"/>
      <c r="AZ25" s="61"/>
      <c r="BA25" s="61"/>
    </row>
    <row r="26" spans="1:53" ht="15.75">
      <c r="A26" s="88">
        <v>8</v>
      </c>
      <c r="B26" s="89">
        <v>0</v>
      </c>
      <c r="C26" s="90">
        <v>0</v>
      </c>
      <c r="D26" s="90">
        <v>4</v>
      </c>
      <c r="E26" s="99" t="s">
        <v>547</v>
      </c>
      <c r="F26" s="92"/>
      <c r="G26" s="126"/>
      <c r="H26" s="129"/>
      <c r="I26" s="129"/>
      <c r="J26" s="129"/>
      <c r="K26" s="198"/>
      <c r="L26" s="198"/>
      <c r="M26" s="198"/>
      <c r="N26" s="198"/>
      <c r="O26" s="129"/>
      <c r="P26" s="129"/>
      <c r="Q26" s="126"/>
      <c r="R26" s="126"/>
      <c r="S26" s="92"/>
      <c r="T26" s="93">
        <v>1</v>
      </c>
      <c r="U26" s="101">
        <v>3</v>
      </c>
      <c r="V26" s="114">
        <v>3</v>
      </c>
      <c r="W26" s="114">
        <v>3</v>
      </c>
      <c r="X26" s="115" t="s">
        <v>1799</v>
      </c>
      <c r="Y26" s="92"/>
      <c r="Z26" s="126"/>
      <c r="AA26" s="126"/>
      <c r="AB26" s="129"/>
      <c r="AC26" s="129"/>
      <c r="AD26" s="126"/>
      <c r="AE26" s="126"/>
      <c r="AF26" s="126"/>
      <c r="AG26" s="126"/>
      <c r="AH26" s="129"/>
      <c r="AI26" s="129"/>
      <c r="AJ26" s="126"/>
      <c r="AK26" s="126"/>
      <c r="AL26" s="126"/>
      <c r="AM26" s="126"/>
      <c r="AN26" s="207"/>
      <c r="AO26" s="207"/>
      <c r="AP26" s="149"/>
      <c r="AQ26" s="149"/>
      <c r="AR26" s="149"/>
      <c r="AS26" s="149"/>
      <c r="AT26" s="149"/>
      <c r="AU26" s="149"/>
      <c r="AV26" s="149"/>
      <c r="AW26" s="61"/>
      <c r="AX26" s="61"/>
      <c r="AY26" s="61"/>
      <c r="AZ26" s="61"/>
      <c r="BA26" s="61"/>
    </row>
    <row r="27" spans="1:53" ht="15.75">
      <c r="A27" s="88">
        <v>8</v>
      </c>
      <c r="B27" s="89">
        <v>0</v>
      </c>
      <c r="C27" s="90">
        <v>0</v>
      </c>
      <c r="D27" s="90">
        <v>5</v>
      </c>
      <c r="E27" s="99" t="s">
        <v>327</v>
      </c>
      <c r="F27" s="92"/>
      <c r="G27" s="126"/>
      <c r="H27" s="129"/>
      <c r="I27" s="129"/>
      <c r="J27" s="129"/>
      <c r="K27" s="198" t="s">
        <v>4141</v>
      </c>
      <c r="L27" s="198"/>
      <c r="M27" s="198"/>
      <c r="N27" s="198"/>
      <c r="O27" s="129"/>
      <c r="P27" s="129"/>
      <c r="Q27" s="126"/>
      <c r="R27" s="126"/>
      <c r="S27" s="92"/>
      <c r="T27" s="93">
        <v>1</v>
      </c>
      <c r="U27" s="101">
        <v>3</v>
      </c>
      <c r="V27" s="114">
        <v>3</v>
      </c>
      <c r="W27" s="114">
        <v>4</v>
      </c>
      <c r="X27" s="115" t="s">
        <v>1738</v>
      </c>
      <c r="Y27" s="92"/>
      <c r="Z27" s="126"/>
      <c r="AA27" s="126"/>
      <c r="AB27" s="129"/>
      <c r="AC27" s="129"/>
      <c r="AD27" s="126"/>
      <c r="AE27" s="126"/>
      <c r="AF27" s="126"/>
      <c r="AG27" s="126"/>
      <c r="AH27" s="129"/>
      <c r="AI27" s="129"/>
      <c r="AJ27" s="126"/>
      <c r="AK27" s="126"/>
      <c r="AL27" s="126"/>
      <c r="AM27" s="126"/>
      <c r="AN27" s="207"/>
      <c r="AO27" s="207"/>
      <c r="AP27" s="149"/>
      <c r="AQ27" s="149"/>
      <c r="AR27" s="149"/>
      <c r="AS27" s="149"/>
      <c r="AT27" s="149"/>
      <c r="AU27" s="149"/>
      <c r="AV27" s="149"/>
      <c r="AW27" s="61"/>
      <c r="AX27" s="61"/>
      <c r="AY27" s="61"/>
      <c r="AZ27" s="61"/>
      <c r="BA27" s="61"/>
    </row>
    <row r="28" spans="1:53" ht="15.75">
      <c r="A28" s="88">
        <v>8</v>
      </c>
      <c r="B28" s="89">
        <v>0</v>
      </c>
      <c r="C28" s="90">
        <v>0</v>
      </c>
      <c r="D28" s="90">
        <v>6</v>
      </c>
      <c r="E28" s="99" t="s">
        <v>4142</v>
      </c>
      <c r="F28" s="92"/>
      <c r="G28" s="126"/>
      <c r="H28" s="150"/>
      <c r="I28" s="150"/>
      <c r="J28" s="207" t="s">
        <v>4143</v>
      </c>
      <c r="K28" s="207"/>
      <c r="L28" s="199"/>
      <c r="M28" s="199"/>
      <c r="N28" s="199"/>
      <c r="O28" s="150"/>
      <c r="P28" s="150"/>
      <c r="Q28" s="149"/>
      <c r="R28" s="149"/>
      <c r="S28" s="92"/>
      <c r="T28" s="117">
        <v>1</v>
      </c>
      <c r="U28" s="151">
        <v>3</v>
      </c>
      <c r="V28" s="152">
        <v>3</v>
      </c>
      <c r="W28" s="152">
        <v>5</v>
      </c>
      <c r="X28" s="153" t="s">
        <v>1994</v>
      </c>
      <c r="Y28" s="92"/>
      <c r="Z28" s="126"/>
      <c r="AA28" s="126"/>
      <c r="AB28" s="129"/>
      <c r="AC28" s="129"/>
      <c r="AD28" s="126"/>
      <c r="AE28" s="126"/>
      <c r="AF28" s="126"/>
      <c r="AG28" s="126"/>
      <c r="AH28" s="129"/>
      <c r="AI28" s="129"/>
      <c r="AJ28" s="126"/>
      <c r="AK28" s="126"/>
      <c r="AL28" s="126"/>
      <c r="AM28" s="126"/>
      <c r="AN28" s="207"/>
      <c r="AO28" s="207"/>
      <c r="AP28" s="149"/>
      <c r="AQ28" s="149"/>
      <c r="AR28" s="149"/>
      <c r="AS28" s="149"/>
      <c r="AT28" s="149"/>
      <c r="AU28" s="149"/>
      <c r="AV28" s="149"/>
      <c r="AW28" s="61"/>
      <c r="AX28" s="61"/>
      <c r="AY28" s="61"/>
      <c r="AZ28" s="61"/>
      <c r="BA28" s="61"/>
    </row>
    <row r="29" spans="1:53" ht="15.75">
      <c r="A29" s="154">
        <v>8</v>
      </c>
      <c r="B29" s="155">
        <v>0</v>
      </c>
      <c r="C29" s="124">
        <v>0</v>
      </c>
      <c r="D29" s="124">
        <v>7</v>
      </c>
      <c r="E29" s="156" t="s">
        <v>3943</v>
      </c>
      <c r="F29" s="92"/>
      <c r="G29" s="126"/>
      <c r="H29" s="150"/>
      <c r="I29" s="150"/>
      <c r="J29" s="199"/>
      <c r="K29" s="199"/>
      <c r="L29" s="199"/>
      <c r="M29" s="199"/>
      <c r="N29" s="199"/>
      <c r="O29" s="150"/>
      <c r="P29" s="150"/>
      <c r="Q29" s="149"/>
      <c r="R29" s="149"/>
      <c r="S29" s="157"/>
      <c r="T29" s="157"/>
      <c r="U29" s="157"/>
      <c r="V29" s="158"/>
      <c r="W29" s="158"/>
      <c r="X29" s="157"/>
      <c r="Y29" s="157"/>
      <c r="Z29" s="126"/>
      <c r="AA29" s="126"/>
      <c r="AB29" s="129"/>
      <c r="AC29" s="129"/>
      <c r="AD29" s="126"/>
      <c r="AE29" s="126"/>
      <c r="AF29" s="126"/>
      <c r="AG29" s="126"/>
      <c r="AH29" s="129"/>
      <c r="AI29" s="129"/>
      <c r="AJ29" s="126"/>
      <c r="AK29" s="126"/>
      <c r="AL29" s="126"/>
      <c r="AM29" s="126"/>
      <c r="AN29" s="199"/>
      <c r="AO29" s="199"/>
      <c r="AP29" s="149"/>
      <c r="AQ29" s="149"/>
      <c r="AR29" s="149"/>
      <c r="AS29" s="149"/>
      <c r="AT29" s="149"/>
      <c r="AU29" s="149"/>
      <c r="AV29" s="149"/>
      <c r="AW29" s="61"/>
      <c r="AX29" s="61"/>
      <c r="AY29" s="61"/>
      <c r="AZ29" s="61"/>
      <c r="BA29" s="61"/>
    </row>
    <row r="30" spans="1:53">
      <c r="A30" s="159"/>
      <c r="B30" s="159"/>
      <c r="C30" s="160"/>
      <c r="D30" s="160"/>
      <c r="E30" s="161"/>
      <c r="F30" s="161"/>
      <c r="G30" s="162"/>
      <c r="H30" s="163"/>
      <c r="I30" s="163"/>
      <c r="J30" s="203"/>
      <c r="K30" s="203"/>
      <c r="L30" s="196"/>
      <c r="M30" s="196"/>
      <c r="N30" s="196"/>
      <c r="O30" s="163"/>
      <c r="P30" s="163"/>
      <c r="Q30" s="164"/>
      <c r="R30" s="164"/>
      <c r="S30" s="164"/>
      <c r="T30" s="164"/>
      <c r="U30" s="164"/>
      <c r="V30" s="163"/>
      <c r="W30" s="163"/>
      <c r="X30" s="164"/>
      <c r="Y30" s="164"/>
      <c r="Z30" s="149"/>
      <c r="AA30" s="149"/>
      <c r="AB30" s="150"/>
      <c r="AC30" s="150"/>
      <c r="AD30" s="149"/>
      <c r="AE30" s="149"/>
      <c r="AF30" s="149"/>
      <c r="AG30" s="149"/>
      <c r="AH30" s="150"/>
      <c r="AI30" s="150"/>
      <c r="AJ30" s="149"/>
      <c r="AK30" s="149"/>
      <c r="AL30" s="149"/>
      <c r="AM30" s="149"/>
      <c r="AN30" s="207"/>
      <c r="AO30" s="207"/>
      <c r="AP30" s="149"/>
      <c r="AQ30" s="149"/>
      <c r="AR30" s="149"/>
      <c r="AS30" s="149"/>
      <c r="AT30" s="149"/>
      <c r="AU30" s="149"/>
      <c r="AV30" s="149"/>
      <c r="AW30" s="61"/>
      <c r="AX30" s="61"/>
      <c r="AY30" s="61"/>
      <c r="AZ30" s="61"/>
      <c r="BA30" s="61"/>
    </row>
    <row r="31" spans="1:53">
      <c r="A31" s="165"/>
      <c r="B31" s="165"/>
      <c r="C31" s="163"/>
      <c r="D31" s="163"/>
      <c r="E31" s="164"/>
      <c r="F31" s="164"/>
      <c r="G31" s="166"/>
      <c r="H31" s="196" t="s">
        <v>4144</v>
      </c>
      <c r="I31" s="163"/>
      <c r="J31" s="203"/>
      <c r="K31" s="203"/>
      <c r="L31" s="196"/>
      <c r="M31" s="196"/>
      <c r="N31" s="196"/>
      <c r="O31" s="163"/>
      <c r="P31" s="163"/>
      <c r="Q31" s="164"/>
      <c r="R31" s="164"/>
      <c r="S31" s="164"/>
      <c r="T31" s="164"/>
      <c r="U31" s="164"/>
      <c r="V31" s="163"/>
      <c r="W31" s="163"/>
      <c r="X31" s="164"/>
      <c r="Y31" s="164"/>
      <c r="Z31" s="164"/>
      <c r="AA31" s="164"/>
      <c r="AB31" s="163"/>
      <c r="AC31" s="163"/>
      <c r="AD31" s="164"/>
      <c r="AE31" s="164"/>
      <c r="AF31" s="164"/>
      <c r="AG31" s="164"/>
      <c r="AH31" s="163"/>
      <c r="AI31" s="163"/>
      <c r="AJ31" s="164"/>
      <c r="AK31" s="164"/>
      <c r="AL31" s="164"/>
      <c r="AM31" s="164"/>
      <c r="AN31" s="203"/>
      <c r="AO31" s="203"/>
      <c r="AP31" s="164"/>
      <c r="AQ31" s="164"/>
      <c r="AR31" s="164"/>
      <c r="AS31" s="164"/>
      <c r="AT31" s="164"/>
      <c r="AU31" s="164"/>
      <c r="AV31" s="164"/>
      <c r="AW31" s="165"/>
      <c r="AX31" s="165"/>
      <c r="AY31" s="165"/>
      <c r="AZ31" s="165"/>
      <c r="BA31" s="165"/>
    </row>
    <row r="32" spans="1:53">
      <c r="A32" s="165"/>
      <c r="B32" s="165"/>
      <c r="C32" s="163"/>
      <c r="D32" s="163"/>
      <c r="E32" s="164"/>
      <c r="F32" s="164"/>
      <c r="G32" s="164"/>
      <c r="H32" s="163"/>
      <c r="I32" s="163"/>
      <c r="J32" s="203"/>
      <c r="K32" s="203"/>
      <c r="L32" s="196"/>
      <c r="M32" s="196"/>
      <c r="N32" s="196"/>
      <c r="O32" s="163"/>
      <c r="P32" s="163"/>
      <c r="Q32" s="164"/>
      <c r="R32" s="164"/>
      <c r="S32" s="164"/>
      <c r="T32" s="164"/>
      <c r="U32" s="164"/>
      <c r="V32" s="163"/>
      <c r="W32" s="163"/>
      <c r="X32" s="164"/>
      <c r="Y32" s="164"/>
      <c r="Z32" s="164"/>
      <c r="AA32" s="164"/>
      <c r="AB32" s="163"/>
      <c r="AC32" s="163"/>
      <c r="AD32" s="164"/>
      <c r="AE32" s="164"/>
      <c r="AF32" s="164"/>
      <c r="AG32" s="164"/>
      <c r="AH32" s="163"/>
      <c r="AI32" s="163"/>
      <c r="AJ32" s="164"/>
      <c r="AK32" s="164"/>
      <c r="AL32" s="164"/>
      <c r="AM32" s="164"/>
      <c r="AN32" s="203"/>
      <c r="AO32" s="203"/>
      <c r="AP32" s="164"/>
      <c r="AQ32" s="164"/>
      <c r="AR32" s="164"/>
      <c r="AS32" s="164"/>
      <c r="AT32" s="164"/>
      <c r="AU32" s="164"/>
      <c r="AV32" s="164"/>
      <c r="AW32" s="165"/>
      <c r="AX32" s="165"/>
      <c r="AY32" s="165"/>
      <c r="AZ32" s="165"/>
      <c r="BA32" s="165"/>
    </row>
    <row r="33" spans="1:53">
      <c r="A33" s="165"/>
      <c r="B33" s="165"/>
      <c r="C33" s="163"/>
      <c r="D33" s="163"/>
      <c r="E33" s="164"/>
      <c r="F33" s="164"/>
      <c r="G33" s="164"/>
      <c r="H33" s="165"/>
      <c r="I33" s="165"/>
      <c r="J33" s="167"/>
      <c r="K33" s="165"/>
      <c r="L33" s="165"/>
      <c r="M33" s="165"/>
      <c r="N33" s="165"/>
      <c r="O33" s="163"/>
      <c r="P33" s="163"/>
      <c r="Q33" s="164"/>
      <c r="R33" s="164"/>
      <c r="S33" s="164"/>
      <c r="T33" s="164"/>
      <c r="U33" s="164"/>
      <c r="V33" s="163"/>
      <c r="W33" s="163"/>
      <c r="X33" s="164"/>
      <c r="Y33" s="164"/>
      <c r="Z33" s="164"/>
      <c r="AA33" s="164"/>
      <c r="AB33" s="163"/>
      <c r="AC33" s="163"/>
      <c r="AD33" s="164"/>
      <c r="AE33" s="164"/>
      <c r="AF33" s="164"/>
      <c r="AG33" s="164"/>
      <c r="AH33" s="163"/>
      <c r="AI33" s="163"/>
      <c r="AJ33" s="164"/>
      <c r="AK33" s="164"/>
      <c r="AL33" s="164"/>
      <c r="AM33" s="164"/>
      <c r="AN33" s="203"/>
      <c r="AO33" s="203"/>
      <c r="AP33" s="164"/>
      <c r="AQ33" s="164"/>
      <c r="AR33" s="164"/>
      <c r="AS33" s="164"/>
      <c r="AT33" s="164"/>
      <c r="AU33" s="164"/>
      <c r="AV33" s="164"/>
      <c r="AW33" s="165"/>
      <c r="AX33" s="165"/>
      <c r="AY33" s="165"/>
      <c r="AZ33" s="165"/>
      <c r="BA33" s="165"/>
    </row>
    <row r="34" spans="1:53">
      <c r="A34" s="165"/>
      <c r="B34" s="165"/>
      <c r="C34" s="163"/>
      <c r="D34" s="163"/>
      <c r="E34" s="164"/>
      <c r="F34" s="164"/>
      <c r="G34" s="164"/>
      <c r="H34" s="163"/>
      <c r="I34" s="163"/>
      <c r="J34" s="203"/>
      <c r="K34" s="203"/>
      <c r="L34" s="196"/>
      <c r="M34" s="196"/>
      <c r="N34" s="196"/>
      <c r="O34" s="163"/>
      <c r="P34" s="163"/>
      <c r="Q34" s="164"/>
      <c r="R34" s="164"/>
      <c r="S34" s="164"/>
      <c r="T34" s="164"/>
      <c r="U34" s="164"/>
      <c r="V34" s="163"/>
      <c r="W34" s="163"/>
      <c r="X34" s="164"/>
      <c r="Y34" s="164"/>
      <c r="Z34" s="164"/>
      <c r="AA34" s="164"/>
      <c r="AB34" s="163"/>
      <c r="AC34" s="163"/>
      <c r="AD34" s="164"/>
      <c r="AE34" s="164"/>
      <c r="AF34" s="164"/>
      <c r="AG34" s="164"/>
      <c r="AH34" s="163"/>
      <c r="AI34" s="163"/>
      <c r="AJ34" s="164"/>
      <c r="AK34" s="164"/>
      <c r="AL34" s="164"/>
      <c r="AM34" s="164"/>
      <c r="AN34" s="203"/>
      <c r="AO34" s="203"/>
      <c r="AP34" s="164"/>
      <c r="AQ34" s="164"/>
      <c r="AR34" s="164"/>
      <c r="AS34" s="164"/>
      <c r="AT34" s="164"/>
      <c r="AU34" s="164"/>
      <c r="AV34" s="164"/>
      <c r="AW34" s="165"/>
      <c r="AX34" s="165"/>
      <c r="AY34" s="165"/>
      <c r="AZ34" s="165"/>
      <c r="BA34" s="165"/>
    </row>
    <row r="35" spans="1:53">
      <c r="F35" s="164"/>
      <c r="G35" s="164"/>
      <c r="H35" s="163"/>
      <c r="I35" s="163"/>
      <c r="J35" s="203"/>
      <c r="K35" s="203"/>
      <c r="L35" s="196"/>
      <c r="M35" s="196"/>
      <c r="N35" s="196"/>
      <c r="O35" s="163"/>
      <c r="P35" s="163"/>
      <c r="Q35" s="164"/>
      <c r="R35" s="164"/>
      <c r="S35" s="164"/>
      <c r="T35" s="164"/>
      <c r="U35" s="164"/>
      <c r="V35" s="163"/>
      <c r="W35" s="163"/>
      <c r="X35" s="164"/>
      <c r="Y35" s="164"/>
      <c r="Z35" s="164"/>
      <c r="AA35" s="164"/>
      <c r="AB35" s="163"/>
      <c r="AC35" s="163"/>
      <c r="AD35" s="164"/>
      <c r="AE35" s="164"/>
      <c r="AF35" s="164"/>
      <c r="AG35" s="164"/>
      <c r="AH35" s="163"/>
      <c r="AI35" s="163"/>
      <c r="AJ35" s="164"/>
      <c r="AK35" s="164"/>
      <c r="AL35" s="164"/>
      <c r="AM35" s="164"/>
      <c r="AN35" s="203"/>
      <c r="AO35" s="203"/>
      <c r="AP35" s="164"/>
      <c r="AQ35" s="164"/>
      <c r="AR35" s="164"/>
      <c r="AS35" s="164"/>
      <c r="AT35" s="164"/>
      <c r="AU35" s="164"/>
      <c r="AV35" s="164"/>
      <c r="AW35" s="165"/>
      <c r="AX35" s="165"/>
      <c r="AY35" s="165"/>
      <c r="AZ35" s="165"/>
      <c r="BA35" s="165"/>
    </row>
    <row r="36" spans="1:53">
      <c r="F36" s="164"/>
      <c r="G36" s="164"/>
      <c r="H36" s="163"/>
      <c r="I36" s="163"/>
      <c r="J36" s="196"/>
      <c r="K36" s="196"/>
      <c r="L36" s="196"/>
      <c r="M36" s="196"/>
      <c r="N36" s="196"/>
      <c r="O36" s="163"/>
      <c r="P36" s="163"/>
      <c r="Q36" s="164"/>
      <c r="R36" s="164"/>
      <c r="S36" s="164"/>
      <c r="T36" s="164"/>
      <c r="U36" s="164"/>
      <c r="V36" s="163"/>
      <c r="W36" s="163"/>
      <c r="X36" s="164"/>
      <c r="Y36" s="164"/>
      <c r="Z36" s="164"/>
      <c r="AA36" s="164"/>
      <c r="AB36" s="163"/>
      <c r="AC36" s="163"/>
      <c r="AD36" s="164"/>
      <c r="AE36" s="164"/>
      <c r="AF36" s="164"/>
      <c r="AG36" s="164"/>
      <c r="AH36" s="163"/>
      <c r="AI36" s="163"/>
      <c r="AJ36" s="164"/>
      <c r="AK36" s="164"/>
      <c r="AL36" s="164"/>
      <c r="AM36" s="164"/>
      <c r="AN36" s="203"/>
      <c r="AO36" s="203"/>
      <c r="AP36" s="164"/>
      <c r="AQ36" s="164"/>
      <c r="AR36" s="164"/>
      <c r="AS36" s="164"/>
      <c r="AT36" s="164"/>
      <c r="AU36" s="164"/>
      <c r="AV36" s="164"/>
      <c r="AW36" s="165"/>
      <c r="AX36" s="165"/>
      <c r="AY36" s="165"/>
      <c r="AZ36" s="165"/>
      <c r="BA36" s="165"/>
    </row>
    <row r="37" spans="1:53">
      <c r="F37" s="164"/>
      <c r="G37" s="164"/>
      <c r="H37" s="163"/>
      <c r="I37" s="163"/>
      <c r="J37" s="196"/>
      <c r="K37" s="196"/>
      <c r="L37" s="196"/>
      <c r="M37" s="196"/>
      <c r="N37" s="196"/>
      <c r="O37" s="163"/>
      <c r="P37" s="163"/>
      <c r="Q37" s="164"/>
      <c r="R37" s="164"/>
      <c r="S37" s="164"/>
      <c r="T37" s="164"/>
      <c r="U37" s="164"/>
      <c r="V37" s="163"/>
      <c r="W37" s="163"/>
      <c r="X37" s="164"/>
      <c r="Y37" s="164"/>
      <c r="Z37" s="164"/>
      <c r="AA37" s="164"/>
      <c r="AB37" s="163"/>
      <c r="AC37" s="163"/>
      <c r="AD37" s="164"/>
      <c r="AE37" s="164"/>
      <c r="AF37" s="164"/>
      <c r="AG37" s="164"/>
      <c r="AH37" s="163"/>
      <c r="AI37" s="163"/>
      <c r="AJ37" s="164"/>
      <c r="AK37" s="164"/>
      <c r="AL37" s="164"/>
      <c r="AM37" s="164"/>
      <c r="AN37" s="196"/>
      <c r="AO37" s="196"/>
      <c r="AP37" s="164"/>
      <c r="AQ37" s="164"/>
      <c r="AR37" s="164"/>
      <c r="AS37" s="164"/>
      <c r="AT37" s="164"/>
      <c r="AU37" s="164"/>
      <c r="AV37" s="164"/>
      <c r="AW37" s="165"/>
      <c r="AX37" s="165"/>
      <c r="AY37" s="165"/>
      <c r="AZ37" s="165"/>
      <c r="BA37" s="165"/>
    </row>
  </sheetData>
  <mergeCells count="27">
    <mergeCell ref="C1:E1"/>
    <mergeCell ref="H1:K1"/>
    <mergeCell ref="O1:Q1"/>
    <mergeCell ref="V1:X1"/>
    <mergeCell ref="AH1:AJ1"/>
    <mergeCell ref="J31:K31"/>
    <mergeCell ref="AN31:AO31"/>
    <mergeCell ref="AT1:AV1"/>
    <mergeCell ref="AN21:AO21"/>
    <mergeCell ref="AN23:AO23"/>
    <mergeCell ref="AN24:AO24"/>
    <mergeCell ref="AN25:AO25"/>
    <mergeCell ref="AN26:AO26"/>
    <mergeCell ref="AN1:AP1"/>
    <mergeCell ref="AN27:AO27"/>
    <mergeCell ref="J28:K28"/>
    <mergeCell ref="AN28:AO28"/>
    <mergeCell ref="J30:K30"/>
    <mergeCell ref="AN30:AO30"/>
    <mergeCell ref="AN36:AO36"/>
    <mergeCell ref="J32:K32"/>
    <mergeCell ref="AN32:AO32"/>
    <mergeCell ref="AN33:AO33"/>
    <mergeCell ref="J34:K34"/>
    <mergeCell ref="AN34:AO34"/>
    <mergeCell ref="J35:K35"/>
    <mergeCell ref="AN35:AO3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EA0AF-E119-44D9-BA2E-23825B943F22}">
  <dimension ref="B2:N125"/>
  <sheetViews>
    <sheetView topLeftCell="A105" workbookViewId="0">
      <selection activeCell="AN823" sqref="AN823"/>
    </sheetView>
  </sheetViews>
  <sheetFormatPr defaultRowHeight="15"/>
  <cols>
    <col min="2" max="2" width="2" bestFit="1" customWidth="1"/>
    <col min="3" max="5" width="2.140625" bestFit="1" customWidth="1"/>
    <col min="6" max="6" width="21.42578125" bestFit="1" customWidth="1"/>
    <col min="7" max="7" width="12.140625" customWidth="1"/>
    <col min="14" max="14" width="18.42578125" bestFit="1" customWidth="1"/>
  </cols>
  <sheetData>
    <row r="2" spans="2:14" ht="15.75">
      <c r="B2" s="62" t="s">
        <v>10</v>
      </c>
      <c r="C2" s="63" t="s">
        <v>11</v>
      </c>
      <c r="D2" s="64" t="s">
        <v>12</v>
      </c>
      <c r="E2" s="64" t="s">
        <v>13</v>
      </c>
      <c r="F2" s="174" t="s">
        <v>4114</v>
      </c>
      <c r="G2" s="71" t="s">
        <v>15</v>
      </c>
    </row>
    <row r="3" spans="2:14" ht="15.75">
      <c r="B3" s="88">
        <v>8</v>
      </c>
      <c r="C3" s="89">
        <v>0</v>
      </c>
      <c r="D3" s="90">
        <v>1</v>
      </c>
      <c r="E3" s="90">
        <v>1</v>
      </c>
      <c r="F3" s="175" t="s">
        <v>115</v>
      </c>
      <c r="G3" s="173" t="s">
        <v>4118</v>
      </c>
    </row>
    <row r="4" spans="2:14" ht="15.75">
      <c r="B4" s="88">
        <v>8</v>
      </c>
      <c r="C4" s="89">
        <v>0</v>
      </c>
      <c r="D4" s="90">
        <v>1</v>
      </c>
      <c r="E4" s="90">
        <v>2</v>
      </c>
      <c r="F4" s="175" t="s">
        <v>68</v>
      </c>
      <c r="G4" s="173" t="s">
        <v>4118</v>
      </c>
      <c r="J4" s="214" t="s">
        <v>4054</v>
      </c>
      <c r="K4" s="214"/>
    </row>
    <row r="5" spans="2:14" ht="15.75">
      <c r="B5" s="88">
        <v>8</v>
      </c>
      <c r="C5" s="89">
        <v>0</v>
      </c>
      <c r="D5" s="90">
        <v>1</v>
      </c>
      <c r="E5" s="90">
        <v>3</v>
      </c>
      <c r="F5" s="175" t="s">
        <v>121</v>
      </c>
      <c r="G5" s="173" t="s">
        <v>4118</v>
      </c>
      <c r="J5" s="214" t="s">
        <v>4059</v>
      </c>
      <c r="K5" s="214"/>
    </row>
    <row r="6" spans="2:14" ht="15.75">
      <c r="B6" s="88">
        <v>8</v>
      </c>
      <c r="C6" s="89">
        <v>0</v>
      </c>
      <c r="D6" s="90">
        <v>2</v>
      </c>
      <c r="E6" s="90">
        <v>1</v>
      </c>
      <c r="F6" s="175" t="s">
        <v>161</v>
      </c>
      <c r="G6" s="173" t="s">
        <v>4118</v>
      </c>
      <c r="J6" s="214" t="s">
        <v>4088</v>
      </c>
      <c r="K6" s="214"/>
      <c r="N6" t="s">
        <v>4054</v>
      </c>
    </row>
    <row r="7" spans="2:14" ht="15.75">
      <c r="B7" s="88">
        <v>8</v>
      </c>
      <c r="C7" s="89">
        <v>0</v>
      </c>
      <c r="D7" s="90">
        <v>2</v>
      </c>
      <c r="E7" s="90">
        <v>2</v>
      </c>
      <c r="F7" s="175" t="s">
        <v>388</v>
      </c>
      <c r="G7" s="173" t="s">
        <v>4118</v>
      </c>
      <c r="J7" s="214" t="s">
        <v>4145</v>
      </c>
      <c r="K7" s="214"/>
      <c r="N7" t="s">
        <v>4059</v>
      </c>
    </row>
    <row r="8" spans="2:14" ht="15.75">
      <c r="B8" s="88">
        <v>8</v>
      </c>
      <c r="C8" s="89">
        <v>0</v>
      </c>
      <c r="D8" s="90">
        <v>2</v>
      </c>
      <c r="E8" s="90">
        <v>3</v>
      </c>
      <c r="F8" s="175" t="s">
        <v>198</v>
      </c>
      <c r="G8" s="173" t="s">
        <v>4118</v>
      </c>
      <c r="J8" s="214" t="s">
        <v>4146</v>
      </c>
      <c r="K8" s="214"/>
      <c r="N8" t="s">
        <v>4088</v>
      </c>
    </row>
    <row r="9" spans="2:14" ht="15.75">
      <c r="B9" s="88">
        <v>8</v>
      </c>
      <c r="C9" s="89">
        <v>0</v>
      </c>
      <c r="D9" s="90">
        <v>3</v>
      </c>
      <c r="E9" s="90">
        <v>1</v>
      </c>
      <c r="F9" s="175" t="s">
        <v>25</v>
      </c>
      <c r="G9" s="173" t="s">
        <v>4118</v>
      </c>
      <c r="N9" t="s">
        <v>4147</v>
      </c>
    </row>
    <row r="10" spans="2:14" ht="15.75">
      <c r="B10" s="88">
        <v>8</v>
      </c>
      <c r="C10" s="89">
        <v>0</v>
      </c>
      <c r="D10" s="90">
        <v>3</v>
      </c>
      <c r="E10" s="90">
        <v>2</v>
      </c>
      <c r="F10" s="175" t="s">
        <v>560</v>
      </c>
      <c r="G10" s="173" t="s">
        <v>4118</v>
      </c>
      <c r="N10" t="s">
        <v>4146</v>
      </c>
    </row>
    <row r="11" spans="2:14" ht="15.75">
      <c r="B11" s="88">
        <v>8</v>
      </c>
      <c r="C11" s="89">
        <v>0</v>
      </c>
      <c r="D11" s="90">
        <v>3</v>
      </c>
      <c r="E11" s="90">
        <v>3</v>
      </c>
      <c r="F11" s="175" t="s">
        <v>275</v>
      </c>
      <c r="G11" s="173" t="s">
        <v>4118</v>
      </c>
    </row>
    <row r="12" spans="2:14" ht="15.75">
      <c r="B12" s="88">
        <v>8</v>
      </c>
      <c r="C12" s="89">
        <v>0</v>
      </c>
      <c r="D12" s="90">
        <v>4</v>
      </c>
      <c r="E12" s="90">
        <v>1</v>
      </c>
      <c r="F12" s="175" t="s">
        <v>343</v>
      </c>
      <c r="G12" s="173" t="s">
        <v>4118</v>
      </c>
    </row>
    <row r="13" spans="2:14" ht="15.75">
      <c r="B13" s="88">
        <v>8</v>
      </c>
      <c r="C13" s="89">
        <v>0</v>
      </c>
      <c r="D13" s="90">
        <v>5</v>
      </c>
      <c r="E13" s="90">
        <v>1</v>
      </c>
      <c r="F13" s="175" t="s">
        <v>31</v>
      </c>
      <c r="G13" s="173" t="s">
        <v>4118</v>
      </c>
      <c r="J13" t="s">
        <v>24</v>
      </c>
    </row>
    <row r="14" spans="2:14" ht="15.75">
      <c r="B14" s="88">
        <v>8</v>
      </c>
      <c r="C14" s="89">
        <v>0</v>
      </c>
      <c r="D14" s="90">
        <v>5</v>
      </c>
      <c r="E14" s="90">
        <v>2</v>
      </c>
      <c r="F14" s="175" t="s">
        <v>1120</v>
      </c>
      <c r="G14" s="173" t="s">
        <v>4118</v>
      </c>
      <c r="J14" t="s">
        <v>39</v>
      </c>
    </row>
    <row r="15" spans="2:14" ht="15.75">
      <c r="B15" s="88">
        <v>8</v>
      </c>
      <c r="C15" s="89">
        <v>0</v>
      </c>
      <c r="D15" s="90">
        <v>5</v>
      </c>
      <c r="E15" s="90">
        <v>3</v>
      </c>
      <c r="F15" s="175" t="s">
        <v>2776</v>
      </c>
      <c r="G15" s="173" t="s">
        <v>4118</v>
      </c>
      <c r="J15" t="s">
        <v>102</v>
      </c>
    </row>
    <row r="16" spans="2:14" ht="15.75">
      <c r="B16" s="88">
        <v>8</v>
      </c>
      <c r="C16" s="89">
        <v>0</v>
      </c>
      <c r="D16" s="90">
        <v>5</v>
      </c>
      <c r="E16" s="90">
        <v>4</v>
      </c>
      <c r="F16" s="175" t="s">
        <v>88</v>
      </c>
      <c r="G16" s="173" t="s">
        <v>4118</v>
      </c>
      <c r="J16" t="s">
        <v>75</v>
      </c>
    </row>
    <row r="17" spans="2:10" ht="15.75">
      <c r="B17" s="88">
        <v>8</v>
      </c>
      <c r="C17" s="89">
        <v>0</v>
      </c>
      <c r="D17" s="90">
        <v>6</v>
      </c>
      <c r="E17" s="90">
        <v>1</v>
      </c>
      <c r="F17" s="175" t="s">
        <v>750</v>
      </c>
      <c r="G17" s="173" t="s">
        <v>4118</v>
      </c>
      <c r="J17" t="s">
        <v>55</v>
      </c>
    </row>
    <row r="18" spans="2:10" ht="15.75">
      <c r="B18" s="88">
        <v>8</v>
      </c>
      <c r="C18" s="89">
        <v>0</v>
      </c>
      <c r="D18" s="90">
        <v>7</v>
      </c>
      <c r="E18" s="90">
        <v>1</v>
      </c>
      <c r="F18" s="175" t="s">
        <v>209</v>
      </c>
      <c r="G18" s="173" t="s">
        <v>4118</v>
      </c>
      <c r="J18" t="s">
        <v>144</v>
      </c>
    </row>
    <row r="19" spans="2:10" ht="15.75">
      <c r="B19" s="88">
        <v>8</v>
      </c>
      <c r="C19" s="89">
        <v>0</v>
      </c>
      <c r="D19" s="90">
        <v>8</v>
      </c>
      <c r="E19" s="90">
        <v>1</v>
      </c>
      <c r="F19" s="175" t="s">
        <v>399</v>
      </c>
      <c r="G19" s="173" t="s">
        <v>4118</v>
      </c>
      <c r="J19" t="s">
        <v>172</v>
      </c>
    </row>
    <row r="20" spans="2:10" ht="15.75">
      <c r="B20" s="88">
        <v>8</v>
      </c>
      <c r="C20" s="89">
        <v>0</v>
      </c>
      <c r="D20" s="90">
        <v>8</v>
      </c>
      <c r="E20" s="90">
        <v>2</v>
      </c>
      <c r="F20" s="175" t="s">
        <v>507</v>
      </c>
      <c r="G20" s="173" t="s">
        <v>4118</v>
      </c>
      <c r="J20" t="s">
        <v>808</v>
      </c>
    </row>
    <row r="21" spans="2:10" ht="15.75">
      <c r="B21" s="88">
        <v>8</v>
      </c>
      <c r="C21" s="89">
        <v>0</v>
      </c>
      <c r="D21" s="90">
        <v>8</v>
      </c>
      <c r="E21" s="90">
        <v>3</v>
      </c>
      <c r="F21" s="176" t="s">
        <v>2404</v>
      </c>
      <c r="G21" s="173" t="s">
        <v>4118</v>
      </c>
      <c r="J21" t="s">
        <v>576</v>
      </c>
    </row>
    <row r="22" spans="2:10" ht="15.75">
      <c r="B22" s="88">
        <v>8</v>
      </c>
      <c r="C22" s="89">
        <v>0</v>
      </c>
      <c r="D22" s="90">
        <v>8</v>
      </c>
      <c r="E22" s="90">
        <v>4</v>
      </c>
      <c r="F22" s="176" t="s">
        <v>2369</v>
      </c>
      <c r="G22" s="173" t="s">
        <v>4118</v>
      </c>
    </row>
    <row r="23" spans="2:10" ht="15.75">
      <c r="B23" s="88">
        <v>8</v>
      </c>
      <c r="C23" s="89">
        <v>0</v>
      </c>
      <c r="D23" s="90">
        <v>0</v>
      </c>
      <c r="E23" s="90">
        <v>1</v>
      </c>
      <c r="F23" s="177" t="s">
        <v>1880</v>
      </c>
      <c r="G23" s="173" t="s">
        <v>4118</v>
      </c>
    </row>
    <row r="24" spans="2:10" ht="15.75">
      <c r="B24" s="88">
        <v>8</v>
      </c>
      <c r="C24" s="89">
        <v>0</v>
      </c>
      <c r="D24" s="90">
        <v>0</v>
      </c>
      <c r="E24" s="90">
        <v>2</v>
      </c>
      <c r="F24" s="177" t="s">
        <v>420</v>
      </c>
      <c r="G24" s="173" t="s">
        <v>4118</v>
      </c>
    </row>
    <row r="25" spans="2:10" ht="15.75">
      <c r="B25" s="88">
        <v>8</v>
      </c>
      <c r="C25" s="89">
        <v>0</v>
      </c>
      <c r="D25" s="90">
        <v>0</v>
      </c>
      <c r="E25" s="90">
        <v>3</v>
      </c>
      <c r="F25" s="177" t="s">
        <v>1665</v>
      </c>
      <c r="G25" s="173" t="s">
        <v>4118</v>
      </c>
    </row>
    <row r="26" spans="2:10" ht="15.75">
      <c r="B26" s="88">
        <v>8</v>
      </c>
      <c r="C26" s="89">
        <v>0</v>
      </c>
      <c r="D26" s="90">
        <v>0</v>
      </c>
      <c r="E26" s="90">
        <v>4</v>
      </c>
      <c r="F26" s="177" t="s">
        <v>547</v>
      </c>
      <c r="G26" s="173" t="s">
        <v>4118</v>
      </c>
    </row>
    <row r="27" spans="2:10" ht="15.75">
      <c r="B27" s="88">
        <v>8</v>
      </c>
      <c r="C27" s="89">
        <v>0</v>
      </c>
      <c r="D27" s="90">
        <v>0</v>
      </c>
      <c r="E27" s="90">
        <v>5</v>
      </c>
      <c r="F27" s="177" t="s">
        <v>327</v>
      </c>
      <c r="G27" s="173" t="s">
        <v>4118</v>
      </c>
    </row>
    <row r="28" spans="2:10" ht="15.75">
      <c r="B28" s="88">
        <v>8</v>
      </c>
      <c r="C28" s="89">
        <v>0</v>
      </c>
      <c r="D28" s="90">
        <v>0</v>
      </c>
      <c r="E28" s="90">
        <v>6</v>
      </c>
      <c r="F28" s="177" t="s">
        <v>4142</v>
      </c>
      <c r="G28" s="173" t="s">
        <v>4118</v>
      </c>
    </row>
    <row r="29" spans="2:10" ht="15.75">
      <c r="B29" s="154">
        <v>8</v>
      </c>
      <c r="C29" s="155">
        <v>0</v>
      </c>
      <c r="D29" s="124">
        <v>0</v>
      </c>
      <c r="E29" s="124">
        <v>7</v>
      </c>
      <c r="F29" s="178" t="s">
        <v>3943</v>
      </c>
      <c r="G29" s="173" t="s">
        <v>4118</v>
      </c>
    </row>
    <row r="30" spans="2:10" ht="15.75">
      <c r="B30" s="93">
        <v>2</v>
      </c>
      <c r="C30" s="90">
        <v>1</v>
      </c>
      <c r="D30" s="90">
        <v>1</v>
      </c>
      <c r="E30" s="90">
        <v>5</v>
      </c>
      <c r="F30" s="179" t="s">
        <v>222</v>
      </c>
      <c r="G30" s="173" t="s">
        <v>4118</v>
      </c>
    </row>
    <row r="31" spans="2:10" ht="15.75">
      <c r="B31" s="93">
        <v>2</v>
      </c>
      <c r="C31" s="90">
        <v>1</v>
      </c>
      <c r="D31" s="113">
        <v>1</v>
      </c>
      <c r="E31" s="90">
        <v>4</v>
      </c>
      <c r="F31" s="179" t="s">
        <v>624</v>
      </c>
      <c r="G31" s="173" t="s">
        <v>4148</v>
      </c>
    </row>
    <row r="32" spans="2:10" ht="15.75">
      <c r="B32" s="93">
        <v>2</v>
      </c>
      <c r="C32" s="90">
        <v>1</v>
      </c>
      <c r="D32" s="90">
        <v>1</v>
      </c>
      <c r="E32" s="90">
        <v>3</v>
      </c>
      <c r="F32" s="179" t="s">
        <v>1288</v>
      </c>
      <c r="G32" s="173" t="s">
        <v>4118</v>
      </c>
    </row>
    <row r="33" spans="2:7" ht="15.75">
      <c r="B33" s="93">
        <v>2</v>
      </c>
      <c r="C33" s="90">
        <v>1</v>
      </c>
      <c r="D33" s="90">
        <v>1</v>
      </c>
      <c r="E33" s="90">
        <v>2</v>
      </c>
      <c r="F33" s="179" t="s">
        <v>178</v>
      </c>
      <c r="G33" s="173" t="s">
        <v>4118</v>
      </c>
    </row>
    <row r="34" spans="2:7" ht="15.75">
      <c r="B34" s="93">
        <v>2</v>
      </c>
      <c r="C34" s="90">
        <v>1</v>
      </c>
      <c r="D34" s="90">
        <v>1</v>
      </c>
      <c r="E34" s="90">
        <v>1</v>
      </c>
      <c r="F34" s="179" t="s">
        <v>775</v>
      </c>
      <c r="G34" s="173" t="s">
        <v>4118</v>
      </c>
    </row>
    <row r="35" spans="2:7" ht="15.75">
      <c r="B35" s="93">
        <v>2</v>
      </c>
      <c r="C35" s="90">
        <v>2</v>
      </c>
      <c r="D35" s="90">
        <v>2</v>
      </c>
      <c r="E35" s="90">
        <v>1</v>
      </c>
      <c r="F35" s="179" t="s">
        <v>2122</v>
      </c>
      <c r="G35" s="173" t="s">
        <v>4118</v>
      </c>
    </row>
    <row r="36" spans="2:7" ht="15.75">
      <c r="B36" s="93">
        <v>2</v>
      </c>
      <c r="C36" s="90">
        <v>2</v>
      </c>
      <c r="D36" s="90">
        <v>2</v>
      </c>
      <c r="E36" s="90">
        <v>2</v>
      </c>
      <c r="F36" s="179" t="s">
        <v>177</v>
      </c>
      <c r="G36" s="173" t="s">
        <v>4118</v>
      </c>
    </row>
    <row r="37" spans="2:7" ht="15.75">
      <c r="B37" s="93">
        <v>2</v>
      </c>
      <c r="C37" s="90">
        <v>2</v>
      </c>
      <c r="D37" s="90">
        <v>2</v>
      </c>
      <c r="E37" s="90">
        <v>3</v>
      </c>
      <c r="F37" s="179" t="s">
        <v>847</v>
      </c>
      <c r="G37" s="173" t="s">
        <v>4118</v>
      </c>
    </row>
    <row r="38" spans="2:7" ht="15.75">
      <c r="B38" s="93">
        <v>2</v>
      </c>
      <c r="C38" s="90">
        <v>3</v>
      </c>
      <c r="D38" s="90">
        <v>0</v>
      </c>
      <c r="E38" s="90">
        <v>1</v>
      </c>
      <c r="F38" s="179" t="s">
        <v>321</v>
      </c>
      <c r="G38" s="173" t="s">
        <v>4149</v>
      </c>
    </row>
    <row r="39" spans="2:7" ht="15.75">
      <c r="B39" s="93">
        <v>2</v>
      </c>
      <c r="C39" s="90">
        <v>2</v>
      </c>
      <c r="D39" s="90">
        <v>2</v>
      </c>
      <c r="E39" s="90">
        <v>4</v>
      </c>
      <c r="F39" s="179" t="s">
        <v>259</v>
      </c>
      <c r="G39" s="173" t="s">
        <v>4148</v>
      </c>
    </row>
    <row r="40" spans="2:7" ht="15.75">
      <c r="B40" s="93">
        <v>2</v>
      </c>
      <c r="C40" s="90">
        <v>4</v>
      </c>
      <c r="D40" s="90">
        <v>1</v>
      </c>
      <c r="E40" s="90">
        <v>1</v>
      </c>
      <c r="F40" s="96" t="s">
        <v>214</v>
      </c>
      <c r="G40" s="173" t="s">
        <v>4150</v>
      </c>
    </row>
    <row r="41" spans="2:7" ht="15.75">
      <c r="B41" s="93">
        <v>2</v>
      </c>
      <c r="C41" s="90">
        <v>4</v>
      </c>
      <c r="D41" s="90">
        <v>1</v>
      </c>
      <c r="E41" s="90">
        <v>2</v>
      </c>
      <c r="F41" s="96" t="s">
        <v>985</v>
      </c>
      <c r="G41" s="173" t="s">
        <v>4150</v>
      </c>
    </row>
    <row r="42" spans="2:7" ht="15.75">
      <c r="B42" s="93">
        <v>2</v>
      </c>
      <c r="C42" s="90">
        <v>4</v>
      </c>
      <c r="D42" s="90">
        <v>1</v>
      </c>
      <c r="E42" s="142">
        <v>3</v>
      </c>
      <c r="F42" s="180" t="s">
        <v>2426</v>
      </c>
      <c r="G42" s="173" t="s">
        <v>4151</v>
      </c>
    </row>
    <row r="43" spans="2:7" ht="15.75">
      <c r="B43" s="93">
        <v>2</v>
      </c>
      <c r="C43" s="90">
        <v>4</v>
      </c>
      <c r="D43" s="113">
        <v>2</v>
      </c>
      <c r="E43" s="90">
        <v>1</v>
      </c>
      <c r="F43" s="96" t="s">
        <v>480</v>
      </c>
      <c r="G43" s="173" t="s">
        <v>4151</v>
      </c>
    </row>
    <row r="44" spans="2:7" ht="15.75">
      <c r="B44" s="93">
        <v>2</v>
      </c>
      <c r="C44" s="90">
        <v>4</v>
      </c>
      <c r="D44" s="113">
        <v>3</v>
      </c>
      <c r="E44" s="90">
        <v>1</v>
      </c>
      <c r="F44" s="96" t="s">
        <v>1422</v>
      </c>
      <c r="G44" s="173" t="s">
        <v>4151</v>
      </c>
    </row>
    <row r="45" spans="2:7" ht="15.75">
      <c r="B45" s="93">
        <v>2</v>
      </c>
      <c r="C45" s="90">
        <v>4</v>
      </c>
      <c r="D45" s="113">
        <v>4</v>
      </c>
      <c r="E45" s="90">
        <v>1</v>
      </c>
      <c r="F45" s="96" t="s">
        <v>410</v>
      </c>
      <c r="G45" s="173" t="s">
        <v>4151</v>
      </c>
    </row>
    <row r="46" spans="2:7" ht="15.75">
      <c r="B46" s="93">
        <v>2</v>
      </c>
      <c r="C46" s="90">
        <v>4</v>
      </c>
      <c r="D46" s="113">
        <v>5</v>
      </c>
      <c r="E46" s="90">
        <v>1</v>
      </c>
      <c r="F46" s="96" t="s">
        <v>1566</v>
      </c>
      <c r="G46" s="173" t="s">
        <v>4151</v>
      </c>
    </row>
    <row r="47" spans="2:7" ht="15.75">
      <c r="B47" s="93">
        <v>2</v>
      </c>
      <c r="C47" s="90">
        <v>4</v>
      </c>
      <c r="D47" s="113">
        <v>6</v>
      </c>
      <c r="E47" s="90">
        <v>1</v>
      </c>
      <c r="F47" s="96" t="s">
        <v>290</v>
      </c>
      <c r="G47" s="173" t="s">
        <v>4151</v>
      </c>
    </row>
    <row r="48" spans="2:7" ht="15.75">
      <c r="B48" s="93">
        <v>2</v>
      </c>
      <c r="C48" s="90">
        <v>0</v>
      </c>
      <c r="D48" s="113">
        <v>1</v>
      </c>
      <c r="E48" s="90">
        <v>0</v>
      </c>
      <c r="F48" s="134" t="s">
        <v>1411</v>
      </c>
      <c r="G48" s="173" t="s">
        <v>4118</v>
      </c>
    </row>
    <row r="49" spans="2:7" ht="15.75">
      <c r="B49" s="93">
        <v>2</v>
      </c>
      <c r="C49" s="90">
        <v>0</v>
      </c>
      <c r="D49" s="113">
        <v>2</v>
      </c>
      <c r="E49" s="90">
        <v>0</v>
      </c>
      <c r="F49" s="134" t="s">
        <v>3681</v>
      </c>
      <c r="G49" s="173" t="s">
        <v>4118</v>
      </c>
    </row>
    <row r="50" spans="2:7" ht="15.75">
      <c r="B50" s="93">
        <v>2</v>
      </c>
      <c r="C50" s="90">
        <v>0</v>
      </c>
      <c r="D50" s="113">
        <v>2</v>
      </c>
      <c r="E50" s="90">
        <v>1</v>
      </c>
      <c r="F50" s="134" t="s">
        <v>171</v>
      </c>
      <c r="G50" s="173" t="s">
        <v>4118</v>
      </c>
    </row>
    <row r="51" spans="2:7" ht="15.75">
      <c r="B51" s="117">
        <v>2</v>
      </c>
      <c r="C51" s="119">
        <v>0</v>
      </c>
      <c r="D51" s="147">
        <v>3</v>
      </c>
      <c r="E51" s="119">
        <v>0</v>
      </c>
      <c r="F51" s="140" t="s">
        <v>4140</v>
      </c>
      <c r="G51" s="173" t="s">
        <v>4118</v>
      </c>
    </row>
    <row r="52" spans="2:7" ht="15.75">
      <c r="B52" s="95">
        <v>5</v>
      </c>
      <c r="C52" s="90">
        <v>0</v>
      </c>
      <c r="D52" s="90">
        <v>1</v>
      </c>
      <c r="E52" s="90">
        <v>1</v>
      </c>
      <c r="F52" s="96" t="s">
        <v>145</v>
      </c>
      <c r="G52" s="97" t="s">
        <v>4118</v>
      </c>
    </row>
    <row r="53" spans="2:7" ht="15.75">
      <c r="B53" s="95">
        <v>5</v>
      </c>
      <c r="C53" s="90">
        <v>0</v>
      </c>
      <c r="D53" s="90">
        <v>2</v>
      </c>
      <c r="E53" s="90">
        <v>1</v>
      </c>
      <c r="F53" s="96" t="s">
        <v>2713</v>
      </c>
      <c r="G53" s="97" t="s">
        <v>4118</v>
      </c>
    </row>
    <row r="54" spans="2:7" ht="15.75">
      <c r="B54" s="95">
        <v>5</v>
      </c>
      <c r="C54" s="90">
        <v>0</v>
      </c>
      <c r="D54" s="90">
        <v>3</v>
      </c>
      <c r="E54" s="90">
        <v>1</v>
      </c>
      <c r="F54" s="96" t="s">
        <v>2865</v>
      </c>
      <c r="G54" s="97" t="s">
        <v>4118</v>
      </c>
    </row>
    <row r="55" spans="2:7" ht="15.75">
      <c r="B55" s="95">
        <v>5</v>
      </c>
      <c r="C55" s="90">
        <v>1</v>
      </c>
      <c r="D55" s="90">
        <v>1</v>
      </c>
      <c r="E55" s="90">
        <v>1</v>
      </c>
      <c r="F55" s="96" t="s">
        <v>1234</v>
      </c>
      <c r="G55" s="97" t="s">
        <v>4118</v>
      </c>
    </row>
    <row r="56" spans="2:7" ht="15.75">
      <c r="B56" s="95">
        <v>5</v>
      </c>
      <c r="C56" s="90">
        <v>1</v>
      </c>
      <c r="D56" s="90">
        <v>1</v>
      </c>
      <c r="E56" s="90">
        <v>2</v>
      </c>
      <c r="F56" s="96" t="s">
        <v>1545</v>
      </c>
      <c r="G56" s="97" t="s">
        <v>4118</v>
      </c>
    </row>
    <row r="57" spans="2:7" ht="15.75">
      <c r="B57" s="95">
        <v>5</v>
      </c>
      <c r="C57" s="90">
        <v>1</v>
      </c>
      <c r="D57" s="90">
        <v>2</v>
      </c>
      <c r="E57" s="90">
        <v>1</v>
      </c>
      <c r="F57" s="96" t="s">
        <v>4128</v>
      </c>
      <c r="G57" s="97" t="s">
        <v>4118</v>
      </c>
    </row>
    <row r="58" spans="2:7" ht="15.75">
      <c r="B58" s="95">
        <v>5</v>
      </c>
      <c r="C58" s="90">
        <v>1</v>
      </c>
      <c r="D58" s="90">
        <v>2</v>
      </c>
      <c r="E58" s="90">
        <v>2</v>
      </c>
      <c r="F58" s="96" t="s">
        <v>4130</v>
      </c>
      <c r="G58" s="97" t="s">
        <v>4118</v>
      </c>
    </row>
    <row r="59" spans="2:7" ht="15.75">
      <c r="B59" s="95">
        <v>5</v>
      </c>
      <c r="C59" s="90">
        <v>1</v>
      </c>
      <c r="D59" s="90">
        <v>3</v>
      </c>
      <c r="E59" s="90">
        <v>1</v>
      </c>
      <c r="F59" s="96" t="s">
        <v>2235</v>
      </c>
      <c r="G59" s="97" t="s">
        <v>4118</v>
      </c>
    </row>
    <row r="60" spans="2:7" ht="15.75">
      <c r="B60" s="95">
        <v>5</v>
      </c>
      <c r="C60" s="90">
        <v>2</v>
      </c>
      <c r="D60" s="90">
        <v>3</v>
      </c>
      <c r="E60" s="90">
        <v>1</v>
      </c>
      <c r="F60" s="134" t="s">
        <v>376</v>
      </c>
      <c r="G60" s="97" t="s">
        <v>4118</v>
      </c>
    </row>
    <row r="61" spans="2:7" ht="15.75">
      <c r="B61" s="95">
        <v>5</v>
      </c>
      <c r="C61" s="90">
        <v>3</v>
      </c>
      <c r="D61" s="90">
        <v>0</v>
      </c>
      <c r="E61" s="90">
        <v>1</v>
      </c>
      <c r="F61" s="134" t="s">
        <v>1131</v>
      </c>
      <c r="G61" s="97" t="s">
        <v>4135</v>
      </c>
    </row>
    <row r="62" spans="2:7" ht="15.75">
      <c r="B62" s="95">
        <v>5</v>
      </c>
      <c r="C62" s="90">
        <v>3</v>
      </c>
      <c r="D62" s="90">
        <v>0</v>
      </c>
      <c r="E62" s="90">
        <v>2</v>
      </c>
      <c r="F62" s="134" t="s">
        <v>2052</v>
      </c>
      <c r="G62" s="97" t="s">
        <v>4118</v>
      </c>
    </row>
    <row r="63" spans="2:7" ht="15.75">
      <c r="B63" s="139">
        <v>5</v>
      </c>
      <c r="C63" s="119">
        <v>4</v>
      </c>
      <c r="D63" s="119">
        <v>0</v>
      </c>
      <c r="E63" s="119">
        <v>1</v>
      </c>
      <c r="F63" s="140" t="s">
        <v>571</v>
      </c>
      <c r="G63" s="97" t="s">
        <v>4137</v>
      </c>
    </row>
    <row r="64" spans="2:7" ht="15.75">
      <c r="B64" s="93">
        <v>1</v>
      </c>
      <c r="C64" s="97">
        <v>0</v>
      </c>
      <c r="D64" s="98">
        <v>0</v>
      </c>
      <c r="E64" s="98">
        <v>1</v>
      </c>
      <c r="F64" s="177" t="s">
        <v>2954</v>
      </c>
      <c r="G64" s="173" t="s">
        <v>4118</v>
      </c>
    </row>
    <row r="65" spans="2:7" ht="15.75">
      <c r="B65" s="93">
        <v>1</v>
      </c>
      <c r="C65" s="101">
        <v>0</v>
      </c>
      <c r="D65" s="114">
        <v>0</v>
      </c>
      <c r="E65" s="114">
        <v>2</v>
      </c>
      <c r="F65" s="181" t="s">
        <v>73</v>
      </c>
      <c r="G65" s="173" t="s">
        <v>4118</v>
      </c>
    </row>
    <row r="66" spans="2:7" ht="15.75">
      <c r="B66" s="93">
        <v>1</v>
      </c>
      <c r="C66" s="101">
        <v>0</v>
      </c>
      <c r="D66" s="114">
        <v>1</v>
      </c>
      <c r="E66" s="114">
        <v>5</v>
      </c>
      <c r="F66" s="181" t="s">
        <v>759</v>
      </c>
      <c r="G66" s="173" t="s">
        <v>4118</v>
      </c>
    </row>
    <row r="67" spans="2:7" ht="15.75">
      <c r="B67" s="93">
        <v>1</v>
      </c>
      <c r="C67" s="101">
        <v>0</v>
      </c>
      <c r="D67" s="114">
        <v>4</v>
      </c>
      <c r="E67" s="114">
        <v>2</v>
      </c>
      <c r="F67" s="181" t="s">
        <v>835</v>
      </c>
      <c r="G67" s="173" t="s">
        <v>4118</v>
      </c>
    </row>
    <row r="68" spans="2:7" ht="15.75">
      <c r="B68" s="93">
        <v>1</v>
      </c>
      <c r="C68" s="101">
        <v>0</v>
      </c>
      <c r="D68" s="114">
        <v>5</v>
      </c>
      <c r="E68" s="114">
        <v>4</v>
      </c>
      <c r="F68" s="181" t="s">
        <v>1305</v>
      </c>
      <c r="G68" s="173" t="s">
        <v>4118</v>
      </c>
    </row>
    <row r="69" spans="2:7" ht="15.75">
      <c r="B69" s="93">
        <v>1</v>
      </c>
      <c r="C69" s="101">
        <v>1</v>
      </c>
      <c r="D69" s="114">
        <v>1</v>
      </c>
      <c r="E69" s="114">
        <v>1</v>
      </c>
      <c r="F69" s="182" t="s">
        <v>428</v>
      </c>
      <c r="G69" s="173" t="s">
        <v>4118</v>
      </c>
    </row>
    <row r="70" spans="2:7" ht="15.75">
      <c r="B70" s="93">
        <v>1</v>
      </c>
      <c r="C70" s="101">
        <v>1</v>
      </c>
      <c r="D70" s="114">
        <v>1</v>
      </c>
      <c r="E70" s="114">
        <v>2</v>
      </c>
      <c r="F70" s="182" t="s">
        <v>1158</v>
      </c>
      <c r="G70" s="173" t="s">
        <v>4118</v>
      </c>
    </row>
    <row r="71" spans="2:7" ht="15.75">
      <c r="B71" s="93">
        <v>1</v>
      </c>
      <c r="C71" s="101">
        <v>1</v>
      </c>
      <c r="D71" s="114">
        <v>1</v>
      </c>
      <c r="E71" s="114">
        <v>3</v>
      </c>
      <c r="F71" s="182" t="s">
        <v>4133</v>
      </c>
      <c r="G71" s="173" t="s">
        <v>4118</v>
      </c>
    </row>
    <row r="72" spans="2:7" ht="15.75">
      <c r="B72" s="93">
        <v>1</v>
      </c>
      <c r="C72" s="135">
        <v>1</v>
      </c>
      <c r="D72" s="136">
        <v>1</v>
      </c>
      <c r="E72" s="136">
        <v>4</v>
      </c>
      <c r="F72" s="183" t="s">
        <v>1405</v>
      </c>
      <c r="G72" s="173" t="s">
        <v>4118</v>
      </c>
    </row>
    <row r="73" spans="2:7" ht="15.75">
      <c r="B73" s="93">
        <v>1</v>
      </c>
      <c r="C73" s="97">
        <v>1</v>
      </c>
      <c r="D73" s="98">
        <v>2</v>
      </c>
      <c r="E73" s="98">
        <v>1</v>
      </c>
      <c r="F73" s="175" t="s">
        <v>656</v>
      </c>
      <c r="G73" s="173" t="s">
        <v>4118</v>
      </c>
    </row>
    <row r="74" spans="2:7" ht="15.75">
      <c r="B74" s="93">
        <v>1</v>
      </c>
      <c r="C74" s="101">
        <v>1</v>
      </c>
      <c r="D74" s="114">
        <v>2</v>
      </c>
      <c r="E74" s="114">
        <v>2</v>
      </c>
      <c r="F74" s="182" t="s">
        <v>1529</v>
      </c>
      <c r="G74" s="173" t="s">
        <v>4118</v>
      </c>
    </row>
    <row r="75" spans="2:7" ht="15.75">
      <c r="B75" s="93">
        <v>1</v>
      </c>
      <c r="C75" s="101">
        <v>1</v>
      </c>
      <c r="D75" s="114">
        <v>3</v>
      </c>
      <c r="E75" s="114">
        <v>1</v>
      </c>
      <c r="F75" s="182" t="s">
        <v>2570</v>
      </c>
      <c r="G75" s="173" t="s">
        <v>4118</v>
      </c>
    </row>
    <row r="76" spans="2:7" ht="15.75">
      <c r="B76" s="93">
        <v>1</v>
      </c>
      <c r="C76" s="101">
        <v>1</v>
      </c>
      <c r="D76" s="114">
        <v>3</v>
      </c>
      <c r="E76" s="114">
        <v>2</v>
      </c>
      <c r="F76" s="182" t="s">
        <v>1103</v>
      </c>
      <c r="G76" s="173" t="s">
        <v>4118</v>
      </c>
    </row>
    <row r="77" spans="2:7" ht="15.75">
      <c r="B77" s="93">
        <v>1</v>
      </c>
      <c r="C77" s="101">
        <v>1</v>
      </c>
      <c r="D77" s="114">
        <v>4</v>
      </c>
      <c r="E77" s="114">
        <v>1</v>
      </c>
      <c r="F77" s="182" t="s">
        <v>1233</v>
      </c>
      <c r="G77" s="173" t="s">
        <v>4118</v>
      </c>
    </row>
    <row r="78" spans="2:7" ht="15.75">
      <c r="B78" s="93">
        <v>1</v>
      </c>
      <c r="C78" s="101">
        <v>1</v>
      </c>
      <c r="D78" s="114">
        <v>5</v>
      </c>
      <c r="E78" s="114">
        <v>1</v>
      </c>
      <c r="F78" s="182" t="s">
        <v>185</v>
      </c>
      <c r="G78" s="173" t="s">
        <v>4118</v>
      </c>
    </row>
    <row r="79" spans="2:7" ht="15.75">
      <c r="B79" s="93">
        <v>1</v>
      </c>
      <c r="C79" s="101">
        <v>1</v>
      </c>
      <c r="D79" s="114">
        <v>5</v>
      </c>
      <c r="E79" s="114">
        <v>2</v>
      </c>
      <c r="F79" s="182" t="s">
        <v>2202</v>
      </c>
      <c r="G79" s="173" t="s">
        <v>4118</v>
      </c>
    </row>
    <row r="80" spans="2:7" ht="15.75">
      <c r="B80" s="93">
        <v>1</v>
      </c>
      <c r="C80" s="101">
        <v>1</v>
      </c>
      <c r="D80" s="114">
        <v>5</v>
      </c>
      <c r="E80" s="114">
        <v>3</v>
      </c>
      <c r="F80" s="182" t="s">
        <v>1721</v>
      </c>
      <c r="G80" s="173" t="s">
        <v>4118</v>
      </c>
    </row>
    <row r="81" spans="2:7" ht="15.75">
      <c r="B81" s="93">
        <v>1</v>
      </c>
      <c r="C81" s="101">
        <v>1</v>
      </c>
      <c r="D81" s="114">
        <v>5</v>
      </c>
      <c r="E81" s="114">
        <v>4</v>
      </c>
      <c r="F81" s="182" t="s">
        <v>933</v>
      </c>
      <c r="G81" s="173" t="s">
        <v>4118</v>
      </c>
    </row>
    <row r="82" spans="2:7" ht="15.75">
      <c r="B82" s="93">
        <v>1</v>
      </c>
      <c r="C82" s="101">
        <v>1</v>
      </c>
      <c r="D82" s="114">
        <v>6</v>
      </c>
      <c r="E82" s="114">
        <v>1</v>
      </c>
      <c r="F82" s="182" t="s">
        <v>454</v>
      </c>
      <c r="G82" s="173" t="s">
        <v>4118</v>
      </c>
    </row>
    <row r="83" spans="2:7" ht="15.75">
      <c r="B83" s="93">
        <v>1</v>
      </c>
      <c r="C83" s="101">
        <v>1</v>
      </c>
      <c r="D83" s="114">
        <v>6</v>
      </c>
      <c r="E83" s="114">
        <v>2</v>
      </c>
      <c r="F83" s="182" t="s">
        <v>82</v>
      </c>
      <c r="G83" s="173" t="s">
        <v>4118</v>
      </c>
    </row>
    <row r="84" spans="2:7" ht="15.75">
      <c r="B84" s="93">
        <v>1</v>
      </c>
      <c r="C84" s="101">
        <v>3</v>
      </c>
      <c r="D84" s="114">
        <v>1</v>
      </c>
      <c r="E84" s="114">
        <v>1</v>
      </c>
      <c r="F84" s="181" t="s">
        <v>936</v>
      </c>
      <c r="G84" s="173" t="s">
        <v>4118</v>
      </c>
    </row>
    <row r="85" spans="2:7" ht="15.75">
      <c r="B85" s="93">
        <v>1</v>
      </c>
      <c r="C85" s="101">
        <v>3</v>
      </c>
      <c r="D85" s="114">
        <v>1</v>
      </c>
      <c r="E85" s="114">
        <v>2</v>
      </c>
      <c r="F85" s="181" t="s">
        <v>335</v>
      </c>
      <c r="G85" s="173" t="s">
        <v>4118</v>
      </c>
    </row>
    <row r="86" spans="2:7" ht="15.75">
      <c r="B86" s="93">
        <v>1</v>
      </c>
      <c r="C86" s="101">
        <v>3</v>
      </c>
      <c r="D86" s="114">
        <v>1</v>
      </c>
      <c r="E86" s="114">
        <v>3</v>
      </c>
      <c r="F86" s="181" t="s">
        <v>665</v>
      </c>
      <c r="G86" s="173" t="s">
        <v>4118</v>
      </c>
    </row>
    <row r="87" spans="2:7" ht="15.75">
      <c r="B87" s="93">
        <v>1</v>
      </c>
      <c r="C87" s="101">
        <v>3</v>
      </c>
      <c r="D87" s="114">
        <v>3</v>
      </c>
      <c r="E87" s="114">
        <v>3</v>
      </c>
      <c r="F87" s="181" t="s">
        <v>1799</v>
      </c>
      <c r="G87" s="173" t="s">
        <v>4118</v>
      </c>
    </row>
    <row r="88" spans="2:7" ht="15.75">
      <c r="B88" s="93">
        <v>1</v>
      </c>
      <c r="C88" s="101">
        <v>3</v>
      </c>
      <c r="D88" s="114">
        <v>3</v>
      </c>
      <c r="E88" s="114">
        <v>4</v>
      </c>
      <c r="F88" s="181" t="s">
        <v>1738</v>
      </c>
      <c r="G88" s="173" t="s">
        <v>4118</v>
      </c>
    </row>
    <row r="89" spans="2:7" ht="15.75">
      <c r="B89" s="117">
        <v>1</v>
      </c>
      <c r="C89" s="151">
        <v>3</v>
      </c>
      <c r="D89" s="152">
        <v>3</v>
      </c>
      <c r="E89" s="152">
        <v>5</v>
      </c>
      <c r="F89" s="184" t="s">
        <v>1994</v>
      </c>
      <c r="G89" s="173" t="s">
        <v>4118</v>
      </c>
    </row>
    <row r="90" spans="2:7" ht="15.75">
      <c r="B90" s="100">
        <v>4</v>
      </c>
      <c r="C90" s="101">
        <v>0</v>
      </c>
      <c r="D90" s="102">
        <v>1</v>
      </c>
      <c r="E90" s="102">
        <v>1</v>
      </c>
      <c r="F90" s="185" t="s">
        <v>231</v>
      </c>
      <c r="G90" s="173" t="s">
        <v>4148</v>
      </c>
    </row>
    <row r="91" spans="2:7" ht="15.75">
      <c r="B91" s="93">
        <v>4</v>
      </c>
      <c r="C91" s="97">
        <v>0</v>
      </c>
      <c r="D91" s="90">
        <v>1</v>
      </c>
      <c r="E91" s="90">
        <v>2</v>
      </c>
      <c r="F91" s="185" t="s">
        <v>1559</v>
      </c>
      <c r="G91" s="173" t="s">
        <v>4148</v>
      </c>
    </row>
    <row r="92" spans="2:7" ht="15.75">
      <c r="B92" s="93">
        <v>4</v>
      </c>
      <c r="C92" s="97">
        <v>0</v>
      </c>
      <c r="D92" s="90">
        <v>1</v>
      </c>
      <c r="E92" s="90">
        <v>3</v>
      </c>
      <c r="F92" s="185" t="s">
        <v>235</v>
      </c>
      <c r="G92" s="173" t="s">
        <v>4148</v>
      </c>
    </row>
    <row r="93" spans="2:7" ht="15.75">
      <c r="B93" s="93">
        <v>4</v>
      </c>
      <c r="C93" s="97">
        <v>0</v>
      </c>
      <c r="D93" s="90">
        <v>2</v>
      </c>
      <c r="E93" s="90">
        <v>1</v>
      </c>
      <c r="F93" s="185" t="s">
        <v>300</v>
      </c>
      <c r="G93" s="173" t="s">
        <v>4148</v>
      </c>
    </row>
    <row r="94" spans="2:7" ht="15.75">
      <c r="B94" s="93">
        <v>4</v>
      </c>
      <c r="C94" s="97">
        <v>0</v>
      </c>
      <c r="D94" s="90">
        <v>2</v>
      </c>
      <c r="E94" s="90">
        <v>2</v>
      </c>
      <c r="F94" s="185" t="s">
        <v>944</v>
      </c>
      <c r="G94" s="173" t="s">
        <v>4148</v>
      </c>
    </row>
    <row r="95" spans="2:7" ht="15.75">
      <c r="B95" s="93">
        <v>4</v>
      </c>
      <c r="C95" s="97">
        <v>0</v>
      </c>
      <c r="D95" s="90">
        <v>2</v>
      </c>
      <c r="E95" s="90">
        <v>3</v>
      </c>
      <c r="F95" s="185" t="s">
        <v>1603</v>
      </c>
      <c r="G95" s="173" t="s">
        <v>4148</v>
      </c>
    </row>
    <row r="96" spans="2:7" ht="15.75">
      <c r="B96" s="93">
        <v>4</v>
      </c>
      <c r="C96" s="97">
        <v>0</v>
      </c>
      <c r="D96" s="90">
        <v>2</v>
      </c>
      <c r="E96" s="90">
        <v>4</v>
      </c>
      <c r="F96" s="185" t="s">
        <v>366</v>
      </c>
      <c r="G96" s="173" t="s">
        <v>4148</v>
      </c>
    </row>
    <row r="97" spans="2:7" ht="15.75">
      <c r="B97" s="93">
        <v>4</v>
      </c>
      <c r="C97" s="97">
        <v>0</v>
      </c>
      <c r="D97" s="90">
        <v>2</v>
      </c>
      <c r="E97" s="90">
        <v>5</v>
      </c>
      <c r="F97" s="185" t="s">
        <v>997</v>
      </c>
      <c r="G97" s="173" t="s">
        <v>4148</v>
      </c>
    </row>
    <row r="98" spans="2:7" ht="15.75">
      <c r="B98" s="93">
        <v>4</v>
      </c>
      <c r="C98" s="97">
        <v>0</v>
      </c>
      <c r="D98" s="90">
        <v>3</v>
      </c>
      <c r="E98" s="90">
        <v>1</v>
      </c>
      <c r="F98" s="185" t="s">
        <v>40</v>
      </c>
      <c r="G98" s="173" t="s">
        <v>4148</v>
      </c>
    </row>
    <row r="99" spans="2:7" ht="15.75">
      <c r="B99" s="93">
        <v>4</v>
      </c>
      <c r="C99" s="97">
        <v>0</v>
      </c>
      <c r="D99" s="90">
        <v>3</v>
      </c>
      <c r="E99" s="90">
        <v>2</v>
      </c>
      <c r="F99" s="185" t="s">
        <v>281</v>
      </c>
      <c r="G99" s="173" t="s">
        <v>4148</v>
      </c>
    </row>
    <row r="100" spans="2:7" ht="15.75">
      <c r="B100" s="93">
        <v>4</v>
      </c>
      <c r="C100" s="97">
        <v>0</v>
      </c>
      <c r="D100" s="90">
        <v>3</v>
      </c>
      <c r="E100" s="90">
        <v>3</v>
      </c>
      <c r="F100" s="185" t="s">
        <v>879</v>
      </c>
      <c r="G100" s="173" t="s">
        <v>4148</v>
      </c>
    </row>
    <row r="101" spans="2:7" ht="15.75">
      <c r="B101" s="93">
        <v>4</v>
      </c>
      <c r="C101" s="97">
        <v>0</v>
      </c>
      <c r="D101" s="90">
        <v>3</v>
      </c>
      <c r="E101" s="90">
        <v>4</v>
      </c>
      <c r="F101" s="185" t="s">
        <v>3553</v>
      </c>
      <c r="G101" s="173" t="s">
        <v>4148</v>
      </c>
    </row>
    <row r="102" spans="2:7" ht="15.75">
      <c r="B102" s="93">
        <v>4</v>
      </c>
      <c r="C102" s="97">
        <v>0</v>
      </c>
      <c r="D102" s="90">
        <v>4</v>
      </c>
      <c r="E102" s="90">
        <v>1</v>
      </c>
      <c r="F102" s="185" t="s">
        <v>62</v>
      </c>
      <c r="G102" s="173" t="s">
        <v>4148</v>
      </c>
    </row>
    <row r="103" spans="2:7" ht="15.75">
      <c r="B103" s="93">
        <v>4</v>
      </c>
      <c r="C103" s="97">
        <v>0</v>
      </c>
      <c r="D103" s="90">
        <v>4</v>
      </c>
      <c r="E103" s="90">
        <v>2</v>
      </c>
      <c r="F103" s="185" t="s">
        <v>566</v>
      </c>
      <c r="G103" s="173" t="s">
        <v>4148</v>
      </c>
    </row>
    <row r="104" spans="2:7" ht="15.75">
      <c r="B104" s="93">
        <v>4</v>
      </c>
      <c r="C104" s="97">
        <v>0</v>
      </c>
      <c r="D104" s="90">
        <v>4</v>
      </c>
      <c r="E104" s="90">
        <v>3</v>
      </c>
      <c r="F104" s="185" t="s">
        <v>493</v>
      </c>
      <c r="G104" s="173" t="s">
        <v>4148</v>
      </c>
    </row>
    <row r="105" spans="2:7" ht="15.75">
      <c r="B105" s="93">
        <v>4</v>
      </c>
      <c r="C105" s="97">
        <v>0</v>
      </c>
      <c r="D105" s="90">
        <v>5</v>
      </c>
      <c r="E105" s="90">
        <v>1</v>
      </c>
      <c r="F105" s="185" t="s">
        <v>4139</v>
      </c>
      <c r="G105" s="173" t="s">
        <v>4148</v>
      </c>
    </row>
    <row r="106" spans="2:7" ht="15.75">
      <c r="B106" s="117">
        <v>4</v>
      </c>
      <c r="C106" s="118">
        <v>0</v>
      </c>
      <c r="D106" s="119">
        <v>5</v>
      </c>
      <c r="E106" s="119">
        <v>2</v>
      </c>
      <c r="F106" s="186" t="s">
        <v>1657</v>
      </c>
      <c r="G106" s="173" t="s">
        <v>4148</v>
      </c>
    </row>
    <row r="107" spans="2:7" ht="15.75">
      <c r="B107" s="93">
        <v>4</v>
      </c>
      <c r="C107" s="97">
        <v>1</v>
      </c>
      <c r="D107" s="90">
        <v>0</v>
      </c>
      <c r="E107" s="90">
        <v>1</v>
      </c>
      <c r="F107" s="134" t="s">
        <v>894</v>
      </c>
      <c r="G107" s="173" t="s">
        <v>4148</v>
      </c>
    </row>
    <row r="108" spans="2:7" ht="15.75">
      <c r="B108" s="107">
        <v>4</v>
      </c>
      <c r="C108" s="108">
        <v>1</v>
      </c>
      <c r="D108" s="90">
        <v>0</v>
      </c>
      <c r="E108" s="90">
        <v>2</v>
      </c>
      <c r="F108" s="187" t="s">
        <v>744</v>
      </c>
      <c r="G108" s="173" t="s">
        <v>4148</v>
      </c>
    </row>
    <row r="109" spans="2:7" ht="15.75">
      <c r="B109" s="93">
        <v>4</v>
      </c>
      <c r="C109" s="97">
        <v>1</v>
      </c>
      <c r="D109" s="90">
        <v>0</v>
      </c>
      <c r="E109" s="90">
        <v>3</v>
      </c>
      <c r="F109" s="187" t="s">
        <v>137</v>
      </c>
      <c r="G109" s="173" t="s">
        <v>4148</v>
      </c>
    </row>
    <row r="110" spans="2:7" ht="15.75">
      <c r="B110" s="93">
        <v>4</v>
      </c>
      <c r="C110" s="97">
        <v>1</v>
      </c>
      <c r="D110" s="90">
        <v>1</v>
      </c>
      <c r="E110" s="90">
        <v>1</v>
      </c>
      <c r="F110" s="96" t="s">
        <v>103</v>
      </c>
      <c r="G110" s="173" t="s">
        <v>4148</v>
      </c>
    </row>
    <row r="111" spans="2:7" ht="15.75">
      <c r="B111" s="93">
        <v>4</v>
      </c>
      <c r="C111" s="97">
        <v>1</v>
      </c>
      <c r="D111" s="90">
        <v>1</v>
      </c>
      <c r="E111" s="90">
        <v>1</v>
      </c>
      <c r="F111" s="96" t="s">
        <v>587</v>
      </c>
      <c r="G111" s="173" t="s">
        <v>4148</v>
      </c>
    </row>
    <row r="112" spans="2:7" ht="15.75">
      <c r="B112" s="93">
        <v>4</v>
      </c>
      <c r="C112" s="97">
        <v>1</v>
      </c>
      <c r="D112" s="90">
        <v>1</v>
      </c>
      <c r="E112" s="90">
        <v>2</v>
      </c>
      <c r="F112" s="96" t="s">
        <v>731</v>
      </c>
      <c r="G112" s="173" t="s">
        <v>4148</v>
      </c>
    </row>
    <row r="113" spans="2:7" ht="15.75">
      <c r="B113" s="93">
        <v>4</v>
      </c>
      <c r="C113" s="97">
        <v>1</v>
      </c>
      <c r="D113" s="90">
        <v>2</v>
      </c>
      <c r="E113" s="90">
        <v>1</v>
      </c>
      <c r="F113" s="188" t="s">
        <v>4131</v>
      </c>
      <c r="G113" s="173" t="s">
        <v>4148</v>
      </c>
    </row>
    <row r="114" spans="2:7" ht="15.75">
      <c r="B114" s="93">
        <v>4</v>
      </c>
      <c r="C114" s="97">
        <v>1</v>
      </c>
      <c r="D114" s="90">
        <v>3</v>
      </c>
      <c r="E114" s="90">
        <v>1</v>
      </c>
      <c r="F114" s="189" t="s">
        <v>393</v>
      </c>
      <c r="G114" s="173" t="s">
        <v>4148</v>
      </c>
    </row>
    <row r="115" spans="2:7" ht="15.75">
      <c r="B115" s="93">
        <v>4</v>
      </c>
      <c r="C115" s="97">
        <v>1</v>
      </c>
      <c r="D115" s="90">
        <v>4</v>
      </c>
      <c r="E115" s="90">
        <v>1</v>
      </c>
      <c r="F115" s="96" t="s">
        <v>4134</v>
      </c>
      <c r="G115" s="173" t="s">
        <v>4148</v>
      </c>
    </row>
    <row r="116" spans="2:7" ht="15.75">
      <c r="B116" s="93">
        <v>4</v>
      </c>
      <c r="C116" s="97">
        <v>1</v>
      </c>
      <c r="D116" s="90">
        <v>5</v>
      </c>
      <c r="E116" s="90">
        <v>1</v>
      </c>
      <c r="F116" s="96" t="s">
        <v>4136</v>
      </c>
      <c r="G116" s="173" t="s">
        <v>4148</v>
      </c>
    </row>
    <row r="117" spans="2:7" ht="15.75">
      <c r="B117" s="107">
        <v>4</v>
      </c>
      <c r="C117" s="108">
        <v>1</v>
      </c>
      <c r="D117" s="138">
        <v>6</v>
      </c>
      <c r="E117" s="138">
        <v>1</v>
      </c>
      <c r="F117" s="188" t="s">
        <v>109</v>
      </c>
      <c r="G117" s="173" t="s">
        <v>4148</v>
      </c>
    </row>
    <row r="118" spans="2:7" ht="15.75">
      <c r="B118" s="122">
        <v>4</v>
      </c>
      <c r="C118" s="123">
        <v>1</v>
      </c>
      <c r="D118" s="124">
        <v>6</v>
      </c>
      <c r="E118" s="124">
        <v>2</v>
      </c>
      <c r="F118" s="190" t="s">
        <v>415</v>
      </c>
      <c r="G118" s="173" t="s">
        <v>4148</v>
      </c>
    </row>
    <row r="119" spans="2:7" ht="15.75">
      <c r="B119" s="93">
        <v>6</v>
      </c>
      <c r="C119" s="97">
        <v>0</v>
      </c>
      <c r="D119" s="90">
        <v>1</v>
      </c>
      <c r="E119" s="90">
        <v>1</v>
      </c>
      <c r="F119" s="96" t="s">
        <v>1713</v>
      </c>
      <c r="G119" s="173" t="s">
        <v>4148</v>
      </c>
    </row>
    <row r="120" spans="2:7" ht="15.75">
      <c r="B120" s="93">
        <v>6</v>
      </c>
      <c r="C120" s="97">
        <v>0</v>
      </c>
      <c r="D120" s="90">
        <v>2</v>
      </c>
      <c r="E120" s="90">
        <v>1</v>
      </c>
      <c r="F120" s="96" t="s">
        <v>56</v>
      </c>
      <c r="G120" s="173" t="s">
        <v>4148</v>
      </c>
    </row>
    <row r="121" spans="2:7" ht="15.75">
      <c r="B121" s="117">
        <v>6</v>
      </c>
      <c r="C121" s="118">
        <v>0</v>
      </c>
      <c r="D121" s="119">
        <v>3</v>
      </c>
      <c r="E121" s="119">
        <v>1</v>
      </c>
      <c r="F121" s="191" t="s">
        <v>2517</v>
      </c>
      <c r="G121" s="173" t="s">
        <v>4148</v>
      </c>
    </row>
    <row r="122" spans="2:7" ht="15.75">
      <c r="B122" s="107">
        <v>3</v>
      </c>
      <c r="C122" s="108">
        <v>0</v>
      </c>
      <c r="D122" s="90">
        <v>0</v>
      </c>
      <c r="E122" s="90">
        <v>1</v>
      </c>
      <c r="F122" s="188" t="s">
        <v>327</v>
      </c>
      <c r="G122" s="173" t="s">
        <v>4148</v>
      </c>
    </row>
    <row r="123" spans="2:7" ht="15.75">
      <c r="B123" s="107">
        <v>3</v>
      </c>
      <c r="C123" s="108">
        <v>0</v>
      </c>
      <c r="D123" s="90">
        <v>0</v>
      </c>
      <c r="E123" s="90">
        <v>2</v>
      </c>
      <c r="F123" s="188" t="s">
        <v>2392</v>
      </c>
      <c r="G123" s="173" t="s">
        <v>4148</v>
      </c>
    </row>
    <row r="124" spans="2:7" ht="15.75">
      <c r="B124" s="107">
        <v>3</v>
      </c>
      <c r="C124" s="108">
        <v>0</v>
      </c>
      <c r="D124" s="90">
        <v>0</v>
      </c>
      <c r="E124" s="90">
        <v>3</v>
      </c>
      <c r="F124" s="188" t="s">
        <v>4122</v>
      </c>
      <c r="G124" s="173" t="s">
        <v>4148</v>
      </c>
    </row>
    <row r="125" spans="2:7" ht="15.75">
      <c r="B125" s="122">
        <v>3</v>
      </c>
      <c r="C125" s="123">
        <v>0</v>
      </c>
      <c r="D125" s="124">
        <v>0</v>
      </c>
      <c r="E125" s="124">
        <v>4</v>
      </c>
      <c r="F125" s="192" t="s">
        <v>3164</v>
      </c>
      <c r="G125" s="173" t="s">
        <v>4148</v>
      </c>
    </row>
  </sheetData>
  <mergeCells count="5">
    <mergeCell ref="J4:K4"/>
    <mergeCell ref="J5:K5"/>
    <mergeCell ref="J6:K6"/>
    <mergeCell ref="J7:K7"/>
    <mergeCell ref="J8:K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6FC1-7440-48FC-B2B7-E93F8C64F4FE}">
  <dimension ref="A3:I19"/>
  <sheetViews>
    <sheetView workbookViewId="0">
      <selection activeCell="F8" sqref="F8:G8"/>
    </sheetView>
  </sheetViews>
  <sheetFormatPr defaultRowHeight="15"/>
  <cols>
    <col min="1" max="1" width="18.42578125" bestFit="1" customWidth="1"/>
    <col min="3" max="3" width="9.7109375" bestFit="1" customWidth="1"/>
    <col min="6" max="6" width="1.28515625" bestFit="1" customWidth="1"/>
  </cols>
  <sheetData>
    <row r="3" spans="1:9">
      <c r="B3" s="168" t="s">
        <v>4152</v>
      </c>
      <c r="C3" s="168" t="s">
        <v>4152</v>
      </c>
      <c r="D3" s="168" t="s">
        <v>4152</v>
      </c>
      <c r="E3" s="168" t="s">
        <v>4152</v>
      </c>
      <c r="F3" s="168" t="s">
        <v>4152</v>
      </c>
      <c r="G3" s="168" t="s">
        <v>4152</v>
      </c>
      <c r="H3" s="168" t="s">
        <v>4152</v>
      </c>
      <c r="I3" s="168" t="s">
        <v>4152</v>
      </c>
    </row>
    <row r="4" spans="1:9">
      <c r="B4" s="168" t="s">
        <v>4152</v>
      </c>
      <c r="C4" s="169" t="s">
        <v>4153</v>
      </c>
      <c r="D4" s="170" t="s">
        <v>4152</v>
      </c>
      <c r="E4" s="171">
        <v>1</v>
      </c>
      <c r="F4" s="215" t="s">
        <v>4054</v>
      </c>
      <c r="G4" s="216"/>
      <c r="H4" s="168" t="s">
        <v>4152</v>
      </c>
      <c r="I4" s="168" t="s">
        <v>4152</v>
      </c>
    </row>
    <row r="5" spans="1:9">
      <c r="B5" s="168" t="s">
        <v>4152</v>
      </c>
      <c r="C5" s="168" t="s">
        <v>4152</v>
      </c>
      <c r="D5" s="168" t="s">
        <v>4152</v>
      </c>
      <c r="E5" s="172">
        <v>2</v>
      </c>
      <c r="F5" s="215" t="s">
        <v>4059</v>
      </c>
      <c r="G5" s="216"/>
      <c r="H5" s="168" t="s">
        <v>4152</v>
      </c>
      <c r="I5" s="168" t="s">
        <v>4152</v>
      </c>
    </row>
    <row r="6" spans="1:9">
      <c r="B6" s="168" t="s">
        <v>4152</v>
      </c>
      <c r="C6" s="168" t="s">
        <v>4152</v>
      </c>
      <c r="D6" s="168" t="s">
        <v>4152</v>
      </c>
      <c r="E6" s="172">
        <v>3</v>
      </c>
      <c r="F6" s="215" t="s">
        <v>4088</v>
      </c>
      <c r="G6" s="216"/>
      <c r="H6" s="168" t="s">
        <v>4152</v>
      </c>
      <c r="I6" s="168" t="s">
        <v>4152</v>
      </c>
    </row>
    <row r="7" spans="1:9">
      <c r="B7" s="168" t="s">
        <v>4152</v>
      </c>
      <c r="C7" s="168" t="s">
        <v>4152</v>
      </c>
      <c r="D7" s="168" t="s">
        <v>4152</v>
      </c>
      <c r="E7" s="172">
        <v>4</v>
      </c>
      <c r="F7" s="215" t="s">
        <v>4145</v>
      </c>
      <c r="G7" s="216"/>
      <c r="H7" s="168" t="s">
        <v>4152</v>
      </c>
      <c r="I7" s="168" t="s">
        <v>4152</v>
      </c>
    </row>
    <row r="8" spans="1:9">
      <c r="B8" s="168" t="s">
        <v>4152</v>
      </c>
      <c r="C8" s="168" t="s">
        <v>4152</v>
      </c>
      <c r="D8" s="168" t="s">
        <v>4152</v>
      </c>
      <c r="E8" s="172">
        <v>5</v>
      </c>
      <c r="F8" s="215" t="s">
        <v>4146</v>
      </c>
      <c r="G8" s="216"/>
      <c r="H8" s="168" t="s">
        <v>4152</v>
      </c>
      <c r="I8" s="168" t="s">
        <v>4152</v>
      </c>
    </row>
    <row r="9" spans="1:9">
      <c r="B9" s="168" t="s">
        <v>4152</v>
      </c>
      <c r="C9" s="168" t="s">
        <v>4152</v>
      </c>
      <c r="D9" s="168" t="s">
        <v>4152</v>
      </c>
      <c r="E9" s="168" t="s">
        <v>4152</v>
      </c>
      <c r="F9" s="168" t="s">
        <v>4152</v>
      </c>
      <c r="G9" s="168" t="s">
        <v>4152</v>
      </c>
      <c r="H9" s="168" t="s">
        <v>4152</v>
      </c>
      <c r="I9" s="168" t="s">
        <v>4152</v>
      </c>
    </row>
    <row r="10" spans="1:9">
      <c r="B10" s="168" t="s">
        <v>4152</v>
      </c>
      <c r="C10" s="168" t="s">
        <v>4152</v>
      </c>
      <c r="D10" s="168" t="s">
        <v>4152</v>
      </c>
      <c r="E10" s="168" t="s">
        <v>4152</v>
      </c>
      <c r="F10" s="168" t="s">
        <v>4152</v>
      </c>
      <c r="G10" s="168" t="s">
        <v>4152</v>
      </c>
      <c r="H10" s="168" t="s">
        <v>4152</v>
      </c>
      <c r="I10" s="168" t="s">
        <v>4152</v>
      </c>
    </row>
    <row r="15" spans="1:9">
      <c r="A15" t="s">
        <v>4054</v>
      </c>
    </row>
    <row r="16" spans="1:9">
      <c r="A16" t="s">
        <v>4059</v>
      </c>
    </row>
    <row r="17" spans="1:1">
      <c r="A17" t="s">
        <v>4088</v>
      </c>
    </row>
    <row r="18" spans="1:1">
      <c r="A18" t="s">
        <v>4147</v>
      </c>
    </row>
    <row r="19" spans="1:1">
      <c r="A19" t="s">
        <v>4146</v>
      </c>
    </row>
  </sheetData>
  <mergeCells count="5"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A14E-0B97-4562-826A-12019653AF3B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2CC77-02EE-4E6C-8E0B-BD43B4A7F5EC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Master</vt:lpstr>
      <vt:lpstr>ZARC</vt:lpstr>
      <vt:lpstr>DATA</vt:lpstr>
      <vt:lpstr>Security Req</vt:lpstr>
      <vt:lpstr>Working hours</vt:lpstr>
      <vt:lpstr>Weekly 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Shivaputra B. Dinni</dc:creator>
  <cp:keywords/>
  <dc:description/>
  <cp:lastModifiedBy>USER</cp:lastModifiedBy>
  <cp:revision/>
  <dcterms:created xsi:type="dcterms:W3CDTF">2017-08-17T10:47:22Z</dcterms:created>
  <dcterms:modified xsi:type="dcterms:W3CDTF">2026-03-27T13:04:39Z</dcterms:modified>
  <cp:category/>
  <cp:contentStatus/>
</cp:coreProperties>
</file>